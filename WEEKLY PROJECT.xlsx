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8df879055b430355/Desktop/EXCEL/"/>
    </mc:Choice>
  </mc:AlternateContent>
  <xr:revisionPtr revIDLastSave="1501" documentId="8_{D8E2E01F-806B-41C8-8C9C-B4CE3995E036}" xr6:coauthVersionLast="47" xr6:coauthVersionMax="47" xr10:uidLastSave="{FBEACF1F-AE47-45B5-B693-F979F8DB830B}"/>
  <bookViews>
    <workbookView xWindow="-108" yWindow="-108" windowWidth="23256" windowHeight="12456" activeTab="3" xr2:uid="{00000000-000D-0000-FFFF-FFFF00000000}"/>
  </bookViews>
  <sheets>
    <sheet name="Raw Data" sheetId="1" r:id="rId1"/>
    <sheet name="cleaned data" sheetId="8" r:id="rId2"/>
    <sheet name="pivot analysis" sheetId="9" r:id="rId3"/>
    <sheet name="Dashboard" sheetId="14" r:id="rId4"/>
    <sheet name="Retail Domain &amp; KPIs" sheetId="3" r:id="rId5"/>
    <sheet name="Basic Analysis" sheetId="5" r:id="rId6"/>
  </sheets>
  <definedNames>
    <definedName name="ExternalData_2" localSheetId="1" hidden="1">'cleaned data'!$A$1:$W$751</definedName>
    <definedName name="NativeTimeline_Order_Date">#N/A</definedName>
    <definedName name="Slicer_Category">#N/A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1" i="1" l="1"/>
  <c r="W2" i="1"/>
  <c r="W3" i="1"/>
  <c r="W4" i="1"/>
  <c r="W5" i="1"/>
  <c r="W1" i="1"/>
  <c r="N754" i="9"/>
  <c r="K9" i="9"/>
  <c r="H8" i="9"/>
  <c r="B10" i="9"/>
  <c r="K3" i="5"/>
  <c r="K4" i="5"/>
  <c r="K5" i="5"/>
  <c r="K6" i="5"/>
  <c r="K2" i="5"/>
  <c r="H3" i="5"/>
  <c r="H4" i="5"/>
  <c r="H2" i="5"/>
  <c r="E3" i="5"/>
  <c r="E4" i="5"/>
  <c r="E5" i="5"/>
  <c r="E2" i="5"/>
  <c r="B3" i="5"/>
  <c r="B4" i="5"/>
  <c r="B5" i="5"/>
  <c r="B6" i="5"/>
  <c r="B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203C4E-A9F8-4F3F-B9E6-339A846281CC}" keepAlive="1" name="Query - Table1(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<sst xmlns="http://schemas.openxmlformats.org/spreadsheetml/2006/main" count="22748" uniqueCount="1592">
  <si>
    <t>Row ID</t>
  </si>
  <si>
    <t>Order ID</t>
  </si>
  <si>
    <t>Order Date</t>
  </si>
  <si>
    <t>Ship Date</t>
  </si>
  <si>
    <t>Ship Mode</t>
  </si>
  <si>
    <t>Customer ID</t>
  </si>
  <si>
    <t>Customer Name</t>
  </si>
  <si>
    <t>Segment</t>
  </si>
  <si>
    <t>Country</t>
  </si>
  <si>
    <t>City</t>
  </si>
  <si>
    <t>State</t>
  </si>
  <si>
    <t>Region</t>
  </si>
  <si>
    <t>Postal Code</t>
  </si>
  <si>
    <t>Product ID</t>
  </si>
  <si>
    <t>Category</t>
  </si>
  <si>
    <t>Sub-Category</t>
  </si>
  <si>
    <t>Product Name</t>
  </si>
  <si>
    <t>Sales</t>
  </si>
  <si>
    <t>Quantity</t>
  </si>
  <si>
    <t>Discount</t>
  </si>
  <si>
    <t>Profit</t>
  </si>
  <si>
    <t>ORD-2024-00595</t>
  </si>
  <si>
    <t>Standard Class</t>
  </si>
  <si>
    <t>CUST-1089</t>
  </si>
  <si>
    <t>Nikhil Varma</t>
  </si>
  <si>
    <t>Corporate</t>
  </si>
  <si>
    <t>India</t>
  </si>
  <si>
    <t>Bhubaneswar</t>
  </si>
  <si>
    <t>Odisha</t>
  </si>
  <si>
    <t>East</t>
  </si>
  <si>
    <t>682001</t>
  </si>
  <si>
    <t>P-235</t>
  </si>
  <si>
    <t xml:space="preserve"> Clothing </t>
  </si>
  <si>
    <t>Shirts</t>
  </si>
  <si>
    <t>Cotton Casual Shirt</t>
  </si>
  <si>
    <t>ORD-2024-00098</t>
  </si>
  <si>
    <t>CUST-1102</t>
  </si>
  <si>
    <t>Amal Thomas</t>
  </si>
  <si>
    <t xml:space="preserve"> Consumer </t>
  </si>
  <si>
    <t>Ahmedabad</t>
  </si>
  <si>
    <t>Gujarat</t>
  </si>
  <si>
    <t>South</t>
  </si>
  <si>
    <t>695001</t>
  </si>
  <si>
    <t>P-649</t>
  </si>
  <si>
    <t>Electronics</t>
  </si>
  <si>
    <t>Mobiles</t>
  </si>
  <si>
    <t>Samsung Galaxy A55</t>
  </si>
  <si>
    <t>ORD-2024-00282</t>
  </si>
  <si>
    <t>First Class</t>
  </si>
  <si>
    <t>CUST-1099</t>
  </si>
  <si>
    <t>Ananya Menon</t>
  </si>
  <si>
    <t>Consumer</t>
  </si>
  <si>
    <t>Delhi</t>
  </si>
  <si>
    <t>south</t>
  </si>
  <si>
    <t>P-858</t>
  </si>
  <si>
    <t>Furniture</t>
  </si>
  <si>
    <t>Tables</t>
  </si>
  <si>
    <t>Study Table</t>
  </si>
  <si>
    <t>ORD-2024-00658</t>
  </si>
  <si>
    <t>CUST-1026</t>
  </si>
  <si>
    <t>Rahul Kumar</t>
  </si>
  <si>
    <t>Hyderabad</t>
  </si>
  <si>
    <t>Telangana</t>
  </si>
  <si>
    <t>North</t>
  </si>
  <si>
    <t>P-129</t>
  </si>
  <si>
    <t xml:space="preserve"> Furniture </t>
  </si>
  <si>
    <t>Chairs</t>
  </si>
  <si>
    <t>Ergonomic Office Chair</t>
  </si>
  <si>
    <t>ORD-2024-00586</t>
  </si>
  <si>
    <t>Second Class</t>
  </si>
  <si>
    <t>CUST-1086</t>
  </si>
  <si>
    <t>Muhammed Shafi</t>
  </si>
  <si>
    <t>Bengaluru</t>
  </si>
  <si>
    <t>Karnataka</t>
  </si>
  <si>
    <t>673001</t>
  </si>
  <si>
    <t>P-760</t>
  </si>
  <si>
    <t>ORD-2024-00079</t>
  </si>
  <si>
    <t>CUST-1119</t>
  </si>
  <si>
    <t>Arjun Das</t>
  </si>
  <si>
    <t>Jaipur</t>
  </si>
  <si>
    <t>Rajasthan</t>
  </si>
  <si>
    <t>400001</t>
  </si>
  <si>
    <t>P-596</t>
  </si>
  <si>
    <t>Clothing</t>
  </si>
  <si>
    <t>Shoes</t>
  </si>
  <si>
    <t>Running Shoes</t>
  </si>
  <si>
    <t>ORD-2024-00055</t>
  </si>
  <si>
    <t>CUST-1100</t>
  </si>
  <si>
    <t>Riya Paul</t>
  </si>
  <si>
    <t>corporate</t>
  </si>
  <si>
    <t>Lucknow</t>
  </si>
  <si>
    <t>Uttar Pradesh</t>
  </si>
  <si>
    <t>West</t>
  </si>
  <si>
    <t>P-210</t>
  </si>
  <si>
    <t>electronics</t>
  </si>
  <si>
    <t>ORD-2024-00110</t>
  </si>
  <si>
    <t>CUST-1078</t>
  </si>
  <si>
    <t>P-381</t>
  </si>
  <si>
    <t>Bookcases</t>
  </si>
  <si>
    <t>Wooden Bookshelf</t>
  </si>
  <si>
    <t>ORD-2024-00325</t>
  </si>
  <si>
    <t>Same Day</t>
  </si>
  <si>
    <t>CUST-1015</t>
  </si>
  <si>
    <t>west</t>
  </si>
  <si>
    <t>P-680</t>
  </si>
  <si>
    <t>ORD-2024-00502</t>
  </si>
  <si>
    <t>CUST-1097</t>
  </si>
  <si>
    <t>Fathima Ali</t>
  </si>
  <si>
    <t>Home Office</t>
  </si>
  <si>
    <t>Pune</t>
  </si>
  <si>
    <t>Maharashtra</t>
  </si>
  <si>
    <t>P-549</t>
  </si>
  <si>
    <t>ORD-2024-00040</t>
  </si>
  <si>
    <t>CUST-1079</t>
  </si>
  <si>
    <t>Diya Mathew</t>
  </si>
  <si>
    <t>Chennai</t>
  </si>
  <si>
    <t>Tamil Nadu</t>
  </si>
  <si>
    <t xml:space="preserve"> North </t>
  </si>
  <si>
    <t>560001</t>
  </si>
  <si>
    <t>P-661</t>
  </si>
  <si>
    <t>office supplies</t>
  </si>
  <si>
    <t>Binders</t>
  </si>
  <si>
    <t>Office Binder Pack</t>
  </si>
  <si>
    <t>ORD-2024-00665</t>
  </si>
  <si>
    <t>CUST-1040</t>
  </si>
  <si>
    <t>Adil Khan</t>
  </si>
  <si>
    <t>home office</t>
  </si>
  <si>
    <t>110001</t>
  </si>
  <si>
    <t>P-801</t>
  </si>
  <si>
    <t>ORD-2024-00540</t>
  </si>
  <si>
    <t>CUST-1070</t>
  </si>
  <si>
    <t>Kochi</t>
  </si>
  <si>
    <t>Kerala</t>
  </si>
  <si>
    <t>P-778</t>
  </si>
  <si>
    <t>ORD-2024-00640</t>
  </si>
  <si>
    <t>CUST-1063</t>
  </si>
  <si>
    <t>Vishnu Raj</t>
  </si>
  <si>
    <t>P-886</t>
  </si>
  <si>
    <t>Office Supplies</t>
  </si>
  <si>
    <t>Storage</t>
  </si>
  <si>
    <t>Document Organizer</t>
  </si>
  <si>
    <t>ORD-2024-00600</t>
  </si>
  <si>
    <t>CUST-1072</t>
  </si>
  <si>
    <t>P-442</t>
  </si>
  <si>
    <t>furniture</t>
  </si>
  <si>
    <t>ORD-2024-00335</t>
  </si>
  <si>
    <t>CUST-1077</t>
  </si>
  <si>
    <t>Asha Krishnan</t>
  </si>
  <si>
    <t>P-358</t>
  </si>
  <si>
    <t>ORD-2024-00255</t>
  </si>
  <si>
    <t>P-133</t>
  </si>
  <si>
    <t>ORD-2024-00638</t>
  </si>
  <si>
    <t>CUST-1095</t>
  </si>
  <si>
    <t>consumer</t>
  </si>
  <si>
    <t xml:space="preserve"> West </t>
  </si>
  <si>
    <t>P-472</t>
  </si>
  <si>
    <t>Art</t>
  </si>
  <si>
    <t>Marker Set</t>
  </si>
  <si>
    <t>ORD-2024-00219</t>
  </si>
  <si>
    <t>CUST-1105</t>
  </si>
  <si>
    <t>Kolkata</t>
  </si>
  <si>
    <t>West Bengal</t>
  </si>
  <si>
    <t>P-106</t>
  </si>
  <si>
    <t>ORD-2024-00537</t>
  </si>
  <si>
    <t>CUST-1009</t>
  </si>
  <si>
    <t>Sneha Nair</t>
  </si>
  <si>
    <t>Thiruvananthapuram</t>
  </si>
  <si>
    <t>P-590</t>
  </si>
  <si>
    <t>ORD-2024-00351</t>
  </si>
  <si>
    <t>SOUTH</t>
  </si>
  <si>
    <t>600001</t>
  </si>
  <si>
    <t>P-149</t>
  </si>
  <si>
    <t>ORD-2024-00723</t>
  </si>
  <si>
    <t>CUST-1014</t>
  </si>
  <si>
    <t>Meera Joseph</t>
  </si>
  <si>
    <t>P-897</t>
  </si>
  <si>
    <t>ORD-2024-00431</t>
  </si>
  <si>
    <t>CUST-1115</t>
  </si>
  <si>
    <t>P-864</t>
  </si>
  <si>
    <t>ORD-2024-00287</t>
  </si>
  <si>
    <t>CUST-1001</t>
  </si>
  <si>
    <t>P-338</t>
  </si>
  <si>
    <t>Paper</t>
  </si>
  <si>
    <t>A4 Copier Paper</t>
  </si>
  <si>
    <t>ORD-2024-00592</t>
  </si>
  <si>
    <t>CUST-1012</t>
  </si>
  <si>
    <t>east</t>
  </si>
  <si>
    <t>P-321</t>
  </si>
  <si>
    <t>Home Appliances</t>
  </si>
  <si>
    <t>Kitchen</t>
  </si>
  <si>
    <t>Mixer Grinder</t>
  </si>
  <si>
    <t>ORD-2024-00435</t>
  </si>
  <si>
    <t>CUST-1059</t>
  </si>
  <si>
    <t>P-805</t>
  </si>
  <si>
    <t>ORD-2024-00382</t>
  </si>
  <si>
    <t>CUST-1021</t>
  </si>
  <si>
    <t>P-438</t>
  </si>
  <si>
    <t>ORD-2024-00369</t>
  </si>
  <si>
    <t>CUST-1071</t>
  </si>
  <si>
    <t>P-208</t>
  </si>
  <si>
    <t>ORD-2024-00702</t>
  </si>
  <si>
    <t>P-441</t>
  </si>
  <si>
    <t>ORD-2024-00175</t>
  </si>
  <si>
    <t>CUST-1047</t>
  </si>
  <si>
    <t>P-495</t>
  </si>
  <si>
    <t>ORD-2024-00471</t>
  </si>
  <si>
    <t>P-477</t>
  </si>
  <si>
    <t>Laptops</t>
  </si>
  <si>
    <t>Dell Inspiron 15</t>
  </si>
  <si>
    <t>ORD-2024-00581</t>
  </si>
  <si>
    <t>P-695</t>
  </si>
  <si>
    <t>Accessories</t>
  </si>
  <si>
    <t>Logitech Wireless Mouse</t>
  </si>
  <si>
    <t>ORD-2024-00156</t>
  </si>
  <si>
    <t>CUST-1094</t>
  </si>
  <si>
    <t>north</t>
  </si>
  <si>
    <t>P-545</t>
  </si>
  <si>
    <t>ORD-2024-00121</t>
  </si>
  <si>
    <t xml:space="preserve">Aarav Nair </t>
  </si>
  <si>
    <t>P-408</t>
  </si>
  <si>
    <t>ORD-2024-00353</t>
  </si>
  <si>
    <t>CUST-1085</t>
  </si>
  <si>
    <t>P-720</t>
  </si>
  <si>
    <t>HP Wireless Keyboard</t>
  </si>
  <si>
    <t>ORD-2024-00399</t>
  </si>
  <si>
    <t>CUST-1092</t>
  </si>
  <si>
    <t>Mumbai</t>
  </si>
  <si>
    <t>P-960</t>
  </si>
  <si>
    <t>ORD-2024-00232</t>
  </si>
  <si>
    <t>Aarav Nair</t>
  </si>
  <si>
    <t>P-667</t>
  </si>
  <si>
    <t>ORD-2024-00716</t>
  </si>
  <si>
    <t>CUST-1052</t>
  </si>
  <si>
    <t>P-162</t>
  </si>
  <si>
    <t>ORD-2024-00683</t>
  </si>
  <si>
    <t>CUST-1056</t>
  </si>
  <si>
    <t>P-552</t>
  </si>
  <si>
    <t>ORD-2024-00686</t>
  </si>
  <si>
    <t>CUST-1051</t>
  </si>
  <si>
    <t>P-431</t>
  </si>
  <si>
    <t xml:space="preserve">Office supplies </t>
  </si>
  <si>
    <t>ORD-2024-00423</t>
  </si>
  <si>
    <t>CUST-1120</t>
  </si>
  <si>
    <t>P-711</t>
  </si>
  <si>
    <t>ORD-2024-00372</t>
  </si>
  <si>
    <t>P-692</t>
  </si>
  <si>
    <t>ORD-2024-00067</t>
  </si>
  <si>
    <t>CUST-1106</t>
  </si>
  <si>
    <t>P-175</t>
  </si>
  <si>
    <t>ORD-2024-00291</t>
  </si>
  <si>
    <t>P-951</t>
  </si>
  <si>
    <t>ORD-2024-00745</t>
  </si>
  <si>
    <t>P-236</t>
  </si>
  <si>
    <t>ORD-2024-00473</t>
  </si>
  <si>
    <t>ORD-2024-00725</t>
  </si>
  <si>
    <t>CUST-1082</t>
  </si>
  <si>
    <t>P-601</t>
  </si>
  <si>
    <t>ORD-2024-00200</t>
  </si>
  <si>
    <t>P-573</t>
  </si>
  <si>
    <t>ORD-2024-00609</t>
  </si>
  <si>
    <t>CUST-1058</t>
  </si>
  <si>
    <t>ORD-2024-00233</t>
  </si>
  <si>
    <t>CUST-1050</t>
  </si>
  <si>
    <t xml:space="preserve"> South </t>
  </si>
  <si>
    <t>P-672</t>
  </si>
  <si>
    <t>ORD-2024-00034</t>
  </si>
  <si>
    <t>CUST-1035</t>
  </si>
  <si>
    <t>P-993</t>
  </si>
  <si>
    <t>ORD-2024-00606</t>
  </si>
  <si>
    <t>P-908</t>
  </si>
  <si>
    <t>ORD-2024-00078</t>
  </si>
  <si>
    <t>CUST-1053</t>
  </si>
  <si>
    <t>P-470</t>
  </si>
  <si>
    <t>ORD-2024-00659</t>
  </si>
  <si>
    <t>CUST-1101</t>
  </si>
  <si>
    <t>P-185</t>
  </si>
  <si>
    <t>ORD-2024-00182</t>
  </si>
  <si>
    <t>CUST-1067</t>
  </si>
  <si>
    <t>P-589</t>
  </si>
  <si>
    <t>ORD-2024-00480</t>
  </si>
  <si>
    <t>CUST-1005</t>
  </si>
  <si>
    <t>P-898</t>
  </si>
  <si>
    <t>ORD-2024-00211</t>
  </si>
  <si>
    <t>ORD-2024-00551</t>
  </si>
  <si>
    <t>ORD-2024-00677</t>
  </si>
  <si>
    <t>CUST-1011</t>
  </si>
  <si>
    <t>P-992</t>
  </si>
  <si>
    <t>ORD-2024-00011</t>
  </si>
  <si>
    <t>CUST-1068</t>
  </si>
  <si>
    <t>P-838</t>
  </si>
  <si>
    <t>ORD-2024-00261</t>
  </si>
  <si>
    <t>CUST-1019</t>
  </si>
  <si>
    <t>P-524</t>
  </si>
  <si>
    <t xml:space="preserve"> Electronics </t>
  </si>
  <si>
    <t>ORD-2024-00082</t>
  </si>
  <si>
    <t>CUST-1111</t>
  </si>
  <si>
    <t>ORD-2024-00032</t>
  </si>
  <si>
    <t>P-315</t>
  </si>
  <si>
    <t>ORD-2024-00628</t>
  </si>
  <si>
    <t>P-314</t>
  </si>
  <si>
    <t>ORD-2024-00432</t>
  </si>
  <si>
    <t>CUST-1112</t>
  </si>
  <si>
    <t xml:space="preserve"> Home Office </t>
  </si>
  <si>
    <t>P-307</t>
  </si>
  <si>
    <t>ORD-2024-00579</t>
  </si>
  <si>
    <t>P-923</t>
  </si>
  <si>
    <t>ORD-2024-00166</t>
  </si>
  <si>
    <t>P-740</t>
  </si>
  <si>
    <t>ORD-2024-00292</t>
  </si>
  <si>
    <t>CUST-1020</t>
  </si>
  <si>
    <t>CONSUMER</t>
  </si>
  <si>
    <t>P-577</t>
  </si>
  <si>
    <t>ORD-2024-00468</t>
  </si>
  <si>
    <t>P-389</t>
  </si>
  <si>
    <t>ORD-2024-00297</t>
  </si>
  <si>
    <t>CUST-1116</t>
  </si>
  <si>
    <t>P-231</t>
  </si>
  <si>
    <t>ORD-2024-00066</t>
  </si>
  <si>
    <t>P-391</t>
  </si>
  <si>
    <t>999999.99</t>
  </si>
  <si>
    <t>ORD-2024-00507</t>
  </si>
  <si>
    <t>P-704</t>
  </si>
  <si>
    <t>ORD-2024-00491</t>
  </si>
  <si>
    <t>ORD-2024-00197</t>
  </si>
  <si>
    <t>CUST-1090</t>
  </si>
  <si>
    <t>P-650</t>
  </si>
  <si>
    <t>ORD-2024-00463</t>
  </si>
  <si>
    <t>P-599</t>
  </si>
  <si>
    <t xml:space="preserve">Home appliances </t>
  </si>
  <si>
    <t>ORD-2024-00266</t>
  </si>
  <si>
    <t>CUST-1033</t>
  </si>
  <si>
    <t>P-764</t>
  </si>
  <si>
    <t>ORD-2024-00450</t>
  </si>
  <si>
    <t>CUST-1117</t>
  </si>
  <si>
    <t xml:space="preserve"> East </t>
  </si>
  <si>
    <t>P-332</t>
  </si>
  <si>
    <t>ORD-2024-00228</t>
  </si>
  <si>
    <t>CUST-1007</t>
  </si>
  <si>
    <t>P-958</t>
  </si>
  <si>
    <t>ORD-2024-00165</t>
  </si>
  <si>
    <t>CUST-1107</t>
  </si>
  <si>
    <t>P-268</t>
  </si>
  <si>
    <t>ORD-2024-00077</t>
  </si>
  <si>
    <t>P-218</t>
  </si>
  <si>
    <t>ORD-2024-00742</t>
  </si>
  <si>
    <t>CUST-1008</t>
  </si>
  <si>
    <t>Kozhikode</t>
  </si>
  <si>
    <t>P-712</t>
  </si>
  <si>
    <t>ORD-2024-00073</t>
  </si>
  <si>
    <t>P-612</t>
  </si>
  <si>
    <t>ORD-2024-00300</t>
  </si>
  <si>
    <t>P-240</t>
  </si>
  <si>
    <t>ORD-2024-00653</t>
  </si>
  <si>
    <t>P-739</t>
  </si>
  <si>
    <t>ORD-2024-00370</t>
  </si>
  <si>
    <t>CUST-1025</t>
  </si>
  <si>
    <t>P-568</t>
  </si>
  <si>
    <t>home appliances</t>
  </si>
  <si>
    <t>ORD-2024-00064</t>
  </si>
  <si>
    <t>P-841</t>
  </si>
  <si>
    <t>ORD-2024-00650</t>
  </si>
  <si>
    <t>CUST-1044</t>
  </si>
  <si>
    <t>P-729</t>
  </si>
  <si>
    <t>ORD-2024-00466</t>
  </si>
  <si>
    <t>P-475</t>
  </si>
  <si>
    <t>ORD-2024-00050</t>
  </si>
  <si>
    <t>P-597</t>
  </si>
  <si>
    <t>ORD-2024-00363</t>
  </si>
  <si>
    <t>P-454</t>
  </si>
  <si>
    <t>ORD-2024-00193</t>
  </si>
  <si>
    <t>CUST-1023</t>
  </si>
  <si>
    <t>P-537</t>
  </si>
  <si>
    <t>ORD-2024-00102</t>
  </si>
  <si>
    <t>CUST-1114</t>
  </si>
  <si>
    <t>ORD-2024-00376</t>
  </si>
  <si>
    <t>CUST-1087</t>
  </si>
  <si>
    <t>P-532</t>
  </si>
  <si>
    <t>ORD-2024-00245</t>
  </si>
  <si>
    <t>CUST-1045</t>
  </si>
  <si>
    <t>P-839</t>
  </si>
  <si>
    <t>ORD-2024-00251</t>
  </si>
  <si>
    <t>P-344</t>
  </si>
  <si>
    <t>ORD-2024-00008</t>
  </si>
  <si>
    <t>P-771</t>
  </si>
  <si>
    <t>ORD-2024-00546</t>
  </si>
  <si>
    <t>P-425</t>
  </si>
  <si>
    <t>Electric Kettle</t>
  </si>
  <si>
    <t>ORD-2024-00024</t>
  </si>
  <si>
    <t>CUST-1109</t>
  </si>
  <si>
    <t xml:space="preserve"> Corporate </t>
  </si>
  <si>
    <t>P-169</t>
  </si>
  <si>
    <t>143,735.29</t>
  </si>
  <si>
    <t>ORD-2024-00623</t>
  </si>
  <si>
    <t>P-298</t>
  </si>
  <si>
    <t>ORD-2024-00222</t>
  </si>
  <si>
    <t>CUST-1031</t>
  </si>
  <si>
    <t>P-462</t>
  </si>
  <si>
    <t>ORD-2024-00236</t>
  </si>
  <si>
    <t>CUST-1103</t>
  </si>
  <si>
    <t>ORD-2024-00324</t>
  </si>
  <si>
    <t>P-497</t>
  </si>
  <si>
    <t>ORD-2024-00421</t>
  </si>
  <si>
    <t>P-319</t>
  </si>
  <si>
    <t>ORD-2024-00307</t>
  </si>
  <si>
    <t>CUST-1118</t>
  </si>
  <si>
    <t>P-122</t>
  </si>
  <si>
    <t>ORD-2024-00159</t>
  </si>
  <si>
    <t>P-216</t>
  </si>
  <si>
    <t>ORD-2024-00119</t>
  </si>
  <si>
    <t>P-183</t>
  </si>
  <si>
    <t>ORD-2024-00087</t>
  </si>
  <si>
    <t>CUST-1084</t>
  </si>
  <si>
    <t>P-790</t>
  </si>
  <si>
    <t>ORD-2024-00749</t>
  </si>
  <si>
    <t>CUST-1104</t>
  </si>
  <si>
    <t>P-605</t>
  </si>
  <si>
    <t>ORD-2024-00003</t>
  </si>
  <si>
    <t>CUST-1098</t>
  </si>
  <si>
    <t>P-489</t>
  </si>
  <si>
    <t>ORD-2024-00553</t>
  </si>
  <si>
    <t>CUST-1069</t>
  </si>
  <si>
    <t>P-564</t>
  </si>
  <si>
    <t>ORD-2024-00652</t>
  </si>
  <si>
    <t>ORD-2024-00031</t>
  </si>
  <si>
    <t>P-807</t>
  </si>
  <si>
    <t>ORD-2024-00631</t>
  </si>
  <si>
    <t>CUST-1004</t>
  </si>
  <si>
    <t>ORD-2024-00705</t>
  </si>
  <si>
    <t>P-265</t>
  </si>
  <si>
    <t>ORD-2024-00698</t>
  </si>
  <si>
    <t>P-773</t>
  </si>
  <si>
    <t>ORD-2024-00212</t>
  </si>
  <si>
    <t>P-719</t>
  </si>
  <si>
    <t>ORD-2024-00571</t>
  </si>
  <si>
    <t>CUST-1062</t>
  </si>
  <si>
    <t>P-845</t>
  </si>
  <si>
    <t>ORD-2024-00697</t>
  </si>
  <si>
    <t>CUST-1024</t>
  </si>
  <si>
    <t>P-789</t>
  </si>
  <si>
    <t>ORD-2024-00437</t>
  </si>
  <si>
    <t>P-561</t>
  </si>
  <si>
    <t>ORD-2024-00394</t>
  </si>
  <si>
    <t>CUST-1016</t>
  </si>
  <si>
    <t>P-710</t>
  </si>
  <si>
    <t>20%</t>
  </si>
  <si>
    <t>ORD-2024-00149</t>
  </si>
  <si>
    <t>CUST-1048</t>
  </si>
  <si>
    <t>P-907</t>
  </si>
  <si>
    <t>ORD-2024-00598</t>
  </si>
  <si>
    <t>CUST-1038</t>
  </si>
  <si>
    <t>P-727</t>
  </si>
  <si>
    <t>ORD-2024-00736</t>
  </si>
  <si>
    <t>CUST-1013</t>
  </si>
  <si>
    <t>P-247</t>
  </si>
  <si>
    <t>ORD-2024-00248</t>
  </si>
  <si>
    <t>P-385</t>
  </si>
  <si>
    <t>ORD-2024-00357</t>
  </si>
  <si>
    <t>P-140</t>
  </si>
  <si>
    <t>ORD-2024-00312</t>
  </si>
  <si>
    <t>P-355</t>
  </si>
  <si>
    <t>ORD-2024-00085</t>
  </si>
  <si>
    <t>CUST-1064</t>
  </si>
  <si>
    <t>17,789.26</t>
  </si>
  <si>
    <t>ORD-2024-00327</t>
  </si>
  <si>
    <t>P-505</t>
  </si>
  <si>
    <t>ORD-2024-00080</t>
  </si>
  <si>
    <t>P-330</t>
  </si>
  <si>
    <t>ORD-2024-00739</t>
  </si>
  <si>
    <t>CUST-1041</t>
  </si>
  <si>
    <t>P-595</t>
  </si>
  <si>
    <t>ORD-2024-00389</t>
  </si>
  <si>
    <t>P-189</t>
  </si>
  <si>
    <t>ORD-2024-00368</t>
  </si>
  <si>
    <t>P-563</t>
  </si>
  <si>
    <t>ORD-2024-00209</t>
  </si>
  <si>
    <t>P-637</t>
  </si>
  <si>
    <t>ORD-2024-00134</t>
  </si>
  <si>
    <t>P-815</t>
  </si>
  <si>
    <t>ORD-2024-00560</t>
  </si>
  <si>
    <t>CUST-1061</t>
  </si>
  <si>
    <t>P-799</t>
  </si>
  <si>
    <t>ORD-2024-00056</t>
  </si>
  <si>
    <t>CUST-1010</t>
  </si>
  <si>
    <t>P-813</t>
  </si>
  <si>
    <t>ORD-2024-00221</t>
  </si>
  <si>
    <t>P-932</t>
  </si>
  <si>
    <t>ORD-2024-00449</t>
  </si>
  <si>
    <t>ORD-2024-00527</t>
  </si>
  <si>
    <t>P-554</t>
  </si>
  <si>
    <t>ORD-2024-00332</t>
  </si>
  <si>
    <t>CUST-1065</t>
  </si>
  <si>
    <t>P-131</t>
  </si>
  <si>
    <t>ORD-2024-00635</t>
  </si>
  <si>
    <t>P-494</t>
  </si>
  <si>
    <t>ORD-2024-00336</t>
  </si>
  <si>
    <t>P-409</t>
  </si>
  <si>
    <t>ORD-2024-00061</t>
  </si>
  <si>
    <t>P-347</t>
  </si>
  <si>
    <t>ORD-2024-00334</t>
  </si>
  <si>
    <t>CUST-1083</t>
  </si>
  <si>
    <t>P-767</t>
  </si>
  <si>
    <t>ORD-2024-00504</t>
  </si>
  <si>
    <t>P-631</t>
  </si>
  <si>
    <t>ORD-2024-00621</t>
  </si>
  <si>
    <t>P-937</t>
  </si>
  <si>
    <t>ORD-2024-00328</t>
  </si>
  <si>
    <t>P-387</t>
  </si>
  <si>
    <t>ORD-2024-00214</t>
  </si>
  <si>
    <t>P-429</t>
  </si>
  <si>
    <t>ORD-2024-00381</t>
  </si>
  <si>
    <t>P-277</t>
  </si>
  <si>
    <t>ORD-2024-00358</t>
  </si>
  <si>
    <t>CUST-1002</t>
  </si>
  <si>
    <t>P-762</t>
  </si>
  <si>
    <t>ORD-2024-00091</t>
  </si>
  <si>
    <t>P-576</t>
  </si>
  <si>
    <t>ORD-2024-00362</t>
  </si>
  <si>
    <t>CUST-1006</t>
  </si>
  <si>
    <t>P-421</t>
  </si>
  <si>
    <t>ORD-2024-00213</t>
  </si>
  <si>
    <t>CUST-1039</t>
  </si>
  <si>
    <t xml:space="preserve">Muhammed Shafi </t>
  </si>
  <si>
    <t>P-294</t>
  </si>
  <si>
    <t>ORD-2024-00070</t>
  </si>
  <si>
    <t>P-518</t>
  </si>
  <si>
    <t>ORD-2024-00627</t>
  </si>
  <si>
    <t>CUST-1018</t>
  </si>
  <si>
    <t>P-635</t>
  </si>
  <si>
    <t>ORD-2024-00132</t>
  </si>
  <si>
    <t>ORD-2024-00045</t>
  </si>
  <si>
    <t>P-934</t>
  </si>
  <si>
    <t>ORD-2024-00071</t>
  </si>
  <si>
    <t>P-803</t>
  </si>
  <si>
    <t>ORD-2024-00395</t>
  </si>
  <si>
    <t>P-288</t>
  </si>
  <si>
    <t>ORD-2024-00216</t>
  </si>
  <si>
    <t>P-249</t>
  </si>
  <si>
    <t>ORD-2024-00709</t>
  </si>
  <si>
    <t>P-675</t>
  </si>
  <si>
    <t>ORD-2024-00446</t>
  </si>
  <si>
    <t>ORD-2024-00136</t>
  </si>
  <si>
    <t>CUST-1066</t>
  </si>
  <si>
    <t>P-416</t>
  </si>
  <si>
    <t>clothing</t>
  </si>
  <si>
    <t>ORD-2024-00465</t>
  </si>
  <si>
    <t>P-456</t>
  </si>
  <si>
    <t>ORD-2024-00029</t>
  </si>
  <si>
    <t>P-749</t>
  </si>
  <si>
    <t>ORD-2024-00361</t>
  </si>
  <si>
    <t>P-800</t>
  </si>
  <si>
    <t>ORD-2024-00397</t>
  </si>
  <si>
    <t>CUST-1046</t>
  </si>
  <si>
    <t>ORD-2024-00482</t>
  </si>
  <si>
    <t>CUST-1042</t>
  </si>
  <si>
    <t>P-151</t>
  </si>
  <si>
    <t>ORD-2024-00137</t>
  </si>
  <si>
    <t>P-889</t>
  </si>
  <si>
    <t>ORD-2024-00412</t>
  </si>
  <si>
    <t>P-324</t>
  </si>
  <si>
    <t>ORD-2024-00265</t>
  </si>
  <si>
    <t>CUST-1057</t>
  </si>
  <si>
    <t>ORD-2024-00007</t>
  </si>
  <si>
    <t>P-432</t>
  </si>
  <si>
    <t>ORD-2024-00538</t>
  </si>
  <si>
    <t>P-669</t>
  </si>
  <si>
    <t>ORD-2024-00074</t>
  </si>
  <si>
    <t>P-956</t>
  </si>
  <si>
    <t>ORD-2024-00694</t>
  </si>
  <si>
    <t>ORD-2024-00632</t>
  </si>
  <si>
    <t>P-322</t>
  </si>
  <si>
    <t>ORD-2024-00146</t>
  </si>
  <si>
    <t>P-912</t>
  </si>
  <si>
    <t>ORD-2024-00573</t>
  </si>
  <si>
    <t>P-884</t>
  </si>
  <si>
    <t>ORD-2024-00337</t>
  </si>
  <si>
    <t>ORD-2024-00133</t>
  </si>
  <si>
    <t>ORD-2024-00333</t>
  </si>
  <si>
    <t>P-950</t>
  </si>
  <si>
    <t>ORD-2024-00587</t>
  </si>
  <si>
    <t>P-904</t>
  </si>
  <si>
    <t>30%</t>
  </si>
  <si>
    <t>ORD-2024-00710</t>
  </si>
  <si>
    <t>ORD-2024-00042</t>
  </si>
  <si>
    <t>CUST-1029</t>
  </si>
  <si>
    <t>P-125</t>
  </si>
  <si>
    <t>ORD-2024-00440</t>
  </si>
  <si>
    <t>P-959</t>
  </si>
  <si>
    <t>ORD-2024-00109</t>
  </si>
  <si>
    <t>ORD-2024-00624</t>
  </si>
  <si>
    <t>ORD-2024-00057</t>
  </si>
  <si>
    <t>P-618</t>
  </si>
  <si>
    <t>ORD-2024-00205</t>
  </si>
  <si>
    <t>ORD-2024-00235</t>
  </si>
  <si>
    <t>CUST-1093</t>
  </si>
  <si>
    <t>P-731</t>
  </si>
  <si>
    <t>ORD-2024-00364</t>
  </si>
  <si>
    <t>P-607</t>
  </si>
  <si>
    <t>ORD-2024-00585</t>
  </si>
  <si>
    <t>CUST-1060</t>
  </si>
  <si>
    <t>P-154</t>
  </si>
  <si>
    <t>ORD-2024-00293</t>
  </si>
  <si>
    <t>CUST-1034</t>
  </si>
  <si>
    <t>P-261</t>
  </si>
  <si>
    <t>ORD-2024-00025</t>
  </si>
  <si>
    <t>CUST-1080</t>
  </si>
  <si>
    <t>P-697</t>
  </si>
  <si>
    <t>ORD-2024-00608</t>
  </si>
  <si>
    <t>P-366</t>
  </si>
  <si>
    <t>5%</t>
  </si>
  <si>
    <t>ORD-2024-00612</t>
  </si>
  <si>
    <t>P-156</t>
  </si>
  <si>
    <t>ORD-2024-00607</t>
  </si>
  <si>
    <t>P-648</t>
  </si>
  <si>
    <t>ORD-2024-00339</t>
  </si>
  <si>
    <t>P-528</t>
  </si>
  <si>
    <t>ORD-2024-00315</t>
  </si>
  <si>
    <t>P-176</t>
  </si>
  <si>
    <t>ORD-2024-00111</t>
  </si>
  <si>
    <t>ORD-2024-00083</t>
  </si>
  <si>
    <t>CUST-1108</t>
  </si>
  <si>
    <t>P-252</t>
  </si>
  <si>
    <t>ORD-2024-00052</t>
  </si>
  <si>
    <t>P-565</t>
  </si>
  <si>
    <t>ORD-2024-00429</t>
  </si>
  <si>
    <t>P-818</t>
  </si>
  <si>
    <t>ORD-2024-00611</t>
  </si>
  <si>
    <t>ORD-2024-00199</t>
  </si>
  <si>
    <t>ORD-2024-00531</t>
  </si>
  <si>
    <t>P-220</t>
  </si>
  <si>
    <t>ORD-2024-00629</t>
  </si>
  <si>
    <t>ORD-2024-00692</t>
  </si>
  <si>
    <t>P-802</t>
  </si>
  <si>
    <t>ORD-2024-00413</t>
  </si>
  <si>
    <t>CUST-1022</t>
  </si>
  <si>
    <t>ORD-2024-00140</t>
  </si>
  <si>
    <t>P-887</t>
  </si>
  <si>
    <t>ORD-2024-00295</t>
  </si>
  <si>
    <t>ORD-2024-00616</t>
  </si>
  <si>
    <t>P-988</t>
  </si>
  <si>
    <t>ORD-2024-00019</t>
  </si>
  <si>
    <t>P-769</t>
  </si>
  <si>
    <t>ORD-2024-00555</t>
  </si>
  <si>
    <t>ORD-2024-00141</t>
  </si>
  <si>
    <t>P-592</t>
  </si>
  <si>
    <t>ORD-2024-00481</t>
  </si>
  <si>
    <t>CUST-1096</t>
  </si>
  <si>
    <t>P-896</t>
  </si>
  <si>
    <t>ORD-2024-00469</t>
  </si>
  <si>
    <t>ORD-2024-00517</t>
  </si>
  <si>
    <t>CUST-1074</t>
  </si>
  <si>
    <t>ORD-2024-00084</t>
  </si>
  <si>
    <t>P-976</t>
  </si>
  <si>
    <t>ORD-2024-00062</t>
  </si>
  <si>
    <t>P-401</t>
  </si>
  <si>
    <t>ORD-2024-00722</t>
  </si>
  <si>
    <t>P-406</t>
  </si>
  <si>
    <t>ORD-2024-00454</t>
  </si>
  <si>
    <t>P-239</t>
  </si>
  <si>
    <t>ORD-2024-00030</t>
  </si>
  <si>
    <t>ORD-2024-00260</t>
  </si>
  <si>
    <t>CUST-1036</t>
  </si>
  <si>
    <t>P-986</t>
  </si>
  <si>
    <t>ORD-2024-00267</t>
  </si>
  <si>
    <t>CUST-1091</t>
  </si>
  <si>
    <t>P-588</t>
  </si>
  <si>
    <t>ORD-2024-00343</t>
  </si>
  <si>
    <t>P-222</t>
  </si>
  <si>
    <t>ORD-2024-00409</t>
  </si>
  <si>
    <t>ORD-2024-00400</t>
  </si>
  <si>
    <t>P-211</t>
  </si>
  <si>
    <t>ORD-2024-00183</t>
  </si>
  <si>
    <t>ORD-2024-00614</t>
  </si>
  <si>
    <t xml:space="preserve">Nikhil Varma </t>
  </si>
  <si>
    <t>ORD-2024-00681</t>
  </si>
  <si>
    <t>P-949</t>
  </si>
  <si>
    <t>ORD-2024-00444</t>
  </si>
  <si>
    <t>P-373</t>
  </si>
  <si>
    <t>ORD-2024-00224</t>
  </si>
  <si>
    <t>CUST-1049</t>
  </si>
  <si>
    <t>P-752</t>
  </si>
  <si>
    <t>ORD-2024-00378</t>
  </si>
  <si>
    <t>P-730</t>
  </si>
  <si>
    <t>ORD-2024-00433</t>
  </si>
  <si>
    <t>P-593</t>
  </si>
  <si>
    <t>ORD-2024-00676</t>
  </si>
  <si>
    <t>P-397</t>
  </si>
  <si>
    <t>ORD-2024-00441</t>
  </si>
  <si>
    <t>P-459</t>
  </si>
  <si>
    <t>ORD-2024-00604</t>
  </si>
  <si>
    <t>P-455</t>
  </si>
  <si>
    <t>ORD-2024-00210</t>
  </si>
  <si>
    <t>P-978</t>
  </si>
  <si>
    <t>ORD-2024-00396</t>
  </si>
  <si>
    <t>P-662</t>
  </si>
  <si>
    <t>ORD-2024-00240</t>
  </si>
  <si>
    <t>P-533</t>
  </si>
  <si>
    <t>ORD-2024-00515</t>
  </si>
  <si>
    <t>ORD-2024-00177</t>
  </si>
  <si>
    <t>P-567</t>
  </si>
  <si>
    <t>ORD-2024-00518</t>
  </si>
  <si>
    <t>ORD-2024-00410</t>
  </si>
  <si>
    <t>CUST-1003</t>
  </si>
  <si>
    <t>P-687</t>
  </si>
  <si>
    <t>ORD-2024-00427</t>
  </si>
  <si>
    <t>P-219</t>
  </si>
  <si>
    <t>ORD-2024-00639</t>
  </si>
  <si>
    <t>P-830</t>
  </si>
  <si>
    <t>ORD-2024-00276</t>
  </si>
  <si>
    <t>CUST-1081</t>
  </si>
  <si>
    <t>ORD-2024-00138</t>
  </si>
  <si>
    <t>P-809</t>
  </si>
  <si>
    <t>ORD-2024-00301</t>
  </si>
  <si>
    <t>P-657</t>
  </si>
  <si>
    <t>ORD-2024-00249</t>
  </si>
  <si>
    <t>P-368</t>
  </si>
  <si>
    <t>ORD-2024-00711</t>
  </si>
  <si>
    <t>P-207</t>
  </si>
  <si>
    <t>0%</t>
  </si>
  <si>
    <t>ORD-2024-00673</t>
  </si>
  <si>
    <t>P-510</t>
  </si>
  <si>
    <t>ORD-2024-00164</t>
  </si>
  <si>
    <t>P-999</t>
  </si>
  <si>
    <t>ORD-2024-00345</t>
  </si>
  <si>
    <t>P-380</t>
  </si>
  <si>
    <t>ORD-2024-00668</t>
  </si>
  <si>
    <t>P-530</t>
  </si>
  <si>
    <t>ORD-2024-00075</t>
  </si>
  <si>
    <t>P-285</t>
  </si>
  <si>
    <t>ORD-2024-00655</t>
  </si>
  <si>
    <t>P-251</t>
  </si>
  <si>
    <t>ORD-2024-00597</t>
  </si>
  <si>
    <t>P-575</t>
  </si>
  <si>
    <t>ORD-2024-00105</t>
  </si>
  <si>
    <t>ORD-2024-00115</t>
  </si>
  <si>
    <t>P-772</t>
  </si>
  <si>
    <t>ORD-2024-00726</t>
  </si>
  <si>
    <t>CUST-1017</t>
  </si>
  <si>
    <t>P-317</t>
  </si>
  <si>
    <t>ORD-2024-00093</t>
  </si>
  <si>
    <t>P-774</t>
  </si>
  <si>
    <t>ORD-2024-00090</t>
  </si>
  <si>
    <t>P-991</t>
  </si>
  <si>
    <t>ORD-2024-00670</t>
  </si>
  <si>
    <t>ORD-2024-00457</t>
  </si>
  <si>
    <t>CUST-1043</t>
  </si>
  <si>
    <t>P-372</t>
  </si>
  <si>
    <t>ORD-2024-00704</t>
  </si>
  <si>
    <t>P-423</t>
  </si>
  <si>
    <t>ORD-2024-00434</t>
  </si>
  <si>
    <t>P-638</t>
  </si>
  <si>
    <t>ORD-2024-00717</t>
  </si>
  <si>
    <t>CUST-1054</t>
  </si>
  <si>
    <t>P-860</t>
  </si>
  <si>
    <t>ORD-2024-00012</t>
  </si>
  <si>
    <t>P-996</t>
  </si>
  <si>
    <t>1,175.56</t>
  </si>
  <si>
    <t>ORD-2024-00044</t>
  </si>
  <si>
    <t>P-670</t>
  </si>
  <si>
    <t>ORD-2024-00043</t>
  </si>
  <si>
    <t>P-509</t>
  </si>
  <si>
    <t>ORD-2024-00168</t>
  </si>
  <si>
    <t>P-742</t>
  </si>
  <si>
    <t>ORD-2024-00666</t>
  </si>
  <si>
    <t>ORD-2024-00584</t>
  </si>
  <si>
    <t>ORD-2024-00696</t>
  </si>
  <si>
    <t>CUST-1113</t>
  </si>
  <si>
    <t>P-701</t>
  </si>
  <si>
    <t>ORD-2024-00179</t>
  </si>
  <si>
    <t>P-585</t>
  </si>
  <si>
    <t>ORD-2024-00487</t>
  </si>
  <si>
    <t>ORD-2024-00715</t>
  </si>
  <si>
    <t>CUST-1110</t>
  </si>
  <si>
    <t>P-553</t>
  </si>
  <si>
    <t>ORD-2024-00178</t>
  </si>
  <si>
    <t>CUST-1076</t>
  </si>
  <si>
    <t>P-676</t>
  </si>
  <si>
    <t>ORD-2024-00618</t>
  </si>
  <si>
    <t>P-942</t>
  </si>
  <si>
    <t>ORD-2024-00532</t>
  </si>
  <si>
    <t>P-821</t>
  </si>
  <si>
    <t>ORD-2024-00258</t>
  </si>
  <si>
    <t>CUST-1027</t>
  </si>
  <si>
    <t>P-827</t>
  </si>
  <si>
    <t>ORD-2024-00508</t>
  </si>
  <si>
    <t>ORD-2024-00522</t>
  </si>
  <si>
    <t>P-916</t>
  </si>
  <si>
    <t>737.96</t>
  </si>
  <si>
    <t>ORD-2024-00016</t>
  </si>
  <si>
    <t>P-353</t>
  </si>
  <si>
    <t>ORD-2024-00458</t>
  </si>
  <si>
    <t>ORD-2024-00257</t>
  </si>
  <si>
    <t>CUST-1055</t>
  </si>
  <si>
    <t>P-995</t>
  </si>
  <si>
    <t>ORD-2024-00329</t>
  </si>
  <si>
    <t>P-846</t>
  </si>
  <si>
    <t>ORD-2024-00347</t>
  </si>
  <si>
    <t>P-851</t>
  </si>
  <si>
    <t>ORD-2024-00620</t>
  </si>
  <si>
    <t>ORD-2024-00426</t>
  </si>
  <si>
    <t>ORD-2024-00689</t>
  </si>
  <si>
    <t>ORD-2024-00330</t>
  </si>
  <si>
    <t>P-157</t>
  </si>
  <si>
    <t>ORD-2024-00303</t>
  </si>
  <si>
    <t>P-646</t>
  </si>
  <si>
    <t>ORD-2024-00408</t>
  </si>
  <si>
    <t>P-626</t>
  </si>
  <si>
    <t>ORD-2024-00010</t>
  </si>
  <si>
    <t>ORD-2024-00250</t>
  </si>
  <si>
    <t>P-965</t>
  </si>
  <si>
    <t>ORD-2024-00023</t>
  </si>
  <si>
    <t>CUST-1028</t>
  </si>
  <si>
    <t>ORD-2024-00519</t>
  </si>
  <si>
    <t>P-221</t>
  </si>
  <si>
    <t>ORD-2024-00498</t>
  </si>
  <si>
    <t>P-521</t>
  </si>
  <si>
    <t>ORD-2024-00743</t>
  </si>
  <si>
    <t>P-191</t>
  </si>
  <si>
    <t>ORD-2024-00406</t>
  </si>
  <si>
    <t>P-859</t>
  </si>
  <si>
    <t>ORD-2024-00636</t>
  </si>
  <si>
    <t>P-977</t>
  </si>
  <si>
    <t>ORD-2024-00204</t>
  </si>
  <si>
    <t>P-488</t>
  </si>
  <si>
    <t>ORD-2024-00479</t>
  </si>
  <si>
    <t>P-594</t>
  </si>
  <si>
    <t>ORD-2024-00094</t>
  </si>
  <si>
    <t>P-918</t>
  </si>
  <si>
    <t>ORD-2024-00356</t>
  </si>
  <si>
    <t>P-840</t>
  </si>
  <si>
    <t>ORD-2024-00320</t>
  </si>
  <si>
    <t>ORD-2024-00452</t>
  </si>
  <si>
    <t>P-107</t>
  </si>
  <si>
    <t>ORD-2024-00285</t>
  </si>
  <si>
    <t>ORD-2024-00185</t>
  </si>
  <si>
    <t>ORD-2024-00619</t>
  </si>
  <si>
    <t>P-954</t>
  </si>
  <si>
    <t>ORD-2024-00352</t>
  </si>
  <si>
    <t>ORD-2024-00154</t>
  </si>
  <si>
    <t>P-184</t>
  </si>
  <si>
    <t>ORD-2024-00076</t>
  </si>
  <si>
    <t>P-264</t>
  </si>
  <si>
    <t>ORD-2024-00494</t>
  </si>
  <si>
    <t>P-163</t>
  </si>
  <si>
    <t>ORD-2024-00278</t>
  </si>
  <si>
    <t>P-350</t>
  </si>
  <si>
    <t>ORD-2024-00069</t>
  </si>
  <si>
    <t>P-857</t>
  </si>
  <si>
    <t>ORD-2024-00596</t>
  </si>
  <si>
    <t>P-684</t>
  </si>
  <si>
    <t>ORD-2024-00189</t>
  </si>
  <si>
    <t>ORD-2024-00272</t>
  </si>
  <si>
    <t>P-666</t>
  </si>
  <si>
    <t>ORD-2024-00237</t>
  </si>
  <si>
    <t>P-426</t>
  </si>
  <si>
    <t>ORD-2024-00089</t>
  </si>
  <si>
    <t>P-915</t>
  </si>
  <si>
    <t>ORD-2024-00645</t>
  </si>
  <si>
    <t>ORD-2024-00118</t>
  </si>
  <si>
    <t>ORD-2024-00126</t>
  </si>
  <si>
    <t>P-457</t>
  </si>
  <si>
    <t>ORD-2024-00625</t>
  </si>
  <si>
    <t>ORD-2024-00290</t>
  </si>
  <si>
    <t>P-706</t>
  </si>
  <si>
    <t>ORD-2024-00239</t>
  </si>
  <si>
    <t>ORD-2024-00001</t>
  </si>
  <si>
    <t>ORD-2024-00750</t>
  </si>
  <si>
    <t>ORD-2024-00341</t>
  </si>
  <si>
    <t>P-927</t>
  </si>
  <si>
    <t>ORD-2024-00663</t>
  </si>
  <si>
    <t>P-352</t>
  </si>
  <si>
    <t>ORD-2024-00542</t>
  </si>
  <si>
    <t>ORD-2024-00279</t>
  </si>
  <si>
    <t>P-111</t>
  </si>
  <si>
    <t>ORD-2024-00594</t>
  </si>
  <si>
    <t>P-929</t>
  </si>
  <si>
    <t>ORD-2024-00117</t>
  </si>
  <si>
    <t>ORD-2024-00229</t>
  </si>
  <si>
    <t>P-464</t>
  </si>
  <si>
    <t>ORD-2024-00591</t>
  </si>
  <si>
    <t>P-451</t>
  </si>
  <si>
    <t>ORD-2024-00691</t>
  </si>
  <si>
    <t>P-874</t>
  </si>
  <si>
    <t>ORD-2024-00275</t>
  </si>
  <si>
    <t>ORD-2024-00319</t>
  </si>
  <si>
    <t>P-776</t>
  </si>
  <si>
    <t>ORD-2024-00523</t>
  </si>
  <si>
    <t>ORD-2024-00145</t>
  </si>
  <si>
    <t>P-253</t>
  </si>
  <si>
    <t>ORD-2024-00746</t>
  </si>
  <si>
    <t>P-502</t>
  </si>
  <si>
    <t>ORD-2024-00451</t>
  </si>
  <si>
    <t>P-393</t>
  </si>
  <si>
    <t>ORD-2024-00719</t>
  </si>
  <si>
    <t>P-653</t>
  </si>
  <si>
    <t>ORD-2024-00610</t>
  </si>
  <si>
    <t>P-822</t>
  </si>
  <si>
    <t>ORD-2024-00269</t>
  </si>
  <si>
    <t>P-892</t>
  </si>
  <si>
    <t>ORD-2024-00539</t>
  </si>
  <si>
    <t>P-493</t>
  </si>
  <si>
    <t>ORD-2024-00308</t>
  </si>
  <si>
    <t>P-203</t>
  </si>
  <si>
    <t>ORD-2024-00311</t>
  </si>
  <si>
    <t>P-863</t>
  </si>
  <si>
    <t>ORD-2024-00549</t>
  </si>
  <si>
    <t>P-284</t>
  </si>
  <si>
    <t>ORD-2024-00047</t>
  </si>
  <si>
    <t>P-443</t>
  </si>
  <si>
    <t>ORD-2024-00350</t>
  </si>
  <si>
    <t>P-616</t>
  </si>
  <si>
    <t>ORD-2024-00262</t>
  </si>
  <si>
    <t>ORD-2024-00196</t>
  </si>
  <si>
    <t>ORD-2024-00637</t>
  </si>
  <si>
    <t>ORD-2024-00108</t>
  </si>
  <si>
    <t>P-707</t>
  </si>
  <si>
    <t>ORD-2024-00060</t>
  </si>
  <si>
    <t>ORD-2024-00570</t>
  </si>
  <si>
    <t>P-780</t>
  </si>
  <si>
    <t>ORD-2024-00737</t>
  </si>
  <si>
    <t>ORD-2024-00101</t>
  </si>
  <si>
    <t>ORD-2024-00425</t>
  </si>
  <si>
    <t>P-700</t>
  </si>
  <si>
    <t>ORD-2024-00680</t>
  </si>
  <si>
    <t>ORD-2024-00630</t>
  </si>
  <si>
    <t>P-198</t>
  </si>
  <si>
    <t>ORD-2024-00405</t>
  </si>
  <si>
    <t>CUST-1030</t>
  </si>
  <si>
    <t>P-910</t>
  </si>
  <si>
    <t>ORD-2024-00180</t>
  </si>
  <si>
    <t>P-941</t>
  </si>
  <si>
    <t>ORD-2024-00305</t>
  </si>
  <si>
    <t>CUST-1073</t>
  </si>
  <si>
    <t>P-292</t>
  </si>
  <si>
    <t>ORD-2024-00383</t>
  </si>
  <si>
    <t>P-902</t>
  </si>
  <si>
    <t>ORD-2024-00424</t>
  </si>
  <si>
    <t>P-273</t>
  </si>
  <si>
    <t>ORD-2024-00730</t>
  </si>
  <si>
    <t>P-241</t>
  </si>
  <si>
    <t>ORD-2024-00150</t>
  </si>
  <si>
    <t>P-446</t>
  </si>
  <si>
    <t>ORD-2024-00125</t>
  </si>
  <si>
    <t>3,544.79</t>
  </si>
  <si>
    <t>ORD-2024-00603</t>
  </si>
  <si>
    <t>P-178</t>
  </si>
  <si>
    <t>ORD-2024-00660</t>
  </si>
  <si>
    <t>P-214</t>
  </si>
  <si>
    <t>ORD-2024-00186</t>
  </si>
  <si>
    <t xml:space="preserve">Sneha Nair </t>
  </si>
  <si>
    <t>P-947</t>
  </si>
  <si>
    <t>ORD-2024-00513</t>
  </si>
  <si>
    <t>P-248</t>
  </si>
  <si>
    <t>ORD-2024-00474</t>
  </si>
  <si>
    <t>ORD-2024-00417</t>
  </si>
  <si>
    <t>ORD-2024-00748</t>
  </si>
  <si>
    <t>P-326</t>
  </si>
  <si>
    <t>ORD-2024-00418</t>
  </si>
  <si>
    <t>ORD-2024-00322</t>
  </si>
  <si>
    <t>ORD-2024-00354</t>
  </si>
  <si>
    <t>P-369</t>
  </si>
  <si>
    <t>ORD-2024-00721</t>
  </si>
  <si>
    <t>P-148</t>
  </si>
  <si>
    <t>ORD-2024-00143</t>
  </si>
  <si>
    <t>ORD-2024-00483</t>
  </si>
  <si>
    <t>P-444</t>
  </si>
  <si>
    <t>ORD-2024-00142</t>
  </si>
  <si>
    <t>P-547</t>
  </si>
  <si>
    <t>ORD-2024-00590</t>
  </si>
  <si>
    <t>ORD-2024-00321</t>
  </si>
  <si>
    <t>P-654</t>
  </si>
  <si>
    <t>ORD-2024-00020</t>
  </si>
  <si>
    <t>P-287</t>
  </si>
  <si>
    <t>ORD-2024-00173</t>
  </si>
  <si>
    <t>ORD-2024-00313</t>
  </si>
  <si>
    <t>P-604</t>
  </si>
  <si>
    <t>ORD-2024-00391</t>
  </si>
  <si>
    <t>P-968</t>
  </si>
  <si>
    <t>ORD-2024-00706</t>
  </si>
  <si>
    <t>P-400</t>
  </si>
  <si>
    <t>ORD-2024-00013</t>
  </si>
  <si>
    <t>ORD-2024-00306</t>
  </si>
  <si>
    <t>ORD-2024-00355</t>
  </si>
  <si>
    <t>ORD-2024-00026</t>
  </si>
  <si>
    <t>ORD-2024-00568</t>
  </si>
  <si>
    <t>ORD-2024-00170</t>
  </si>
  <si>
    <t>P-233</t>
  </si>
  <si>
    <t>ORD-2024-00039</t>
  </si>
  <si>
    <t>ORD-2024-00486</t>
  </si>
  <si>
    <t>ORD-2024-00246</t>
  </si>
  <si>
    <t>P-349</t>
  </si>
  <si>
    <t>ORD-2024-00299</t>
  </si>
  <si>
    <t>P-135</t>
  </si>
  <si>
    <t>ORD-2024-00633</t>
  </si>
  <si>
    <t>ORD-2024-00520</t>
  </si>
  <si>
    <t>P-925</t>
  </si>
  <si>
    <t>ORD-2024-00273</t>
  </si>
  <si>
    <t>P-501</t>
  </si>
  <si>
    <t>ORD-2024-00582</t>
  </si>
  <si>
    <t>ORD-2024-00155</t>
  </si>
  <si>
    <t>P-402</t>
  </si>
  <si>
    <t>ORD-2024-00127</t>
  </si>
  <si>
    <t>P-256</t>
  </si>
  <si>
    <t>ORD-2024-00543</t>
  </si>
  <si>
    <t>ORD-2024-00342</t>
  </si>
  <si>
    <t>ORD-2024-00288</t>
  </si>
  <si>
    <t>P-310</t>
  </si>
  <si>
    <t>ORD-2024-00114</t>
  </si>
  <si>
    <t>P-994</t>
  </si>
  <si>
    <t>ORD-2024-00501</t>
  </si>
  <si>
    <t>ORD-2024-00174</t>
  </si>
  <si>
    <t>P-370</t>
  </si>
  <si>
    <t>ORD-2024-00360</t>
  </si>
  <si>
    <t>P-263</t>
  </si>
  <si>
    <t>ORD-2024-00430</t>
  </si>
  <si>
    <t>CUST-1037</t>
  </si>
  <si>
    <t>P-866</t>
  </si>
  <si>
    <t>ORD-2024-00058</t>
  </si>
  <si>
    <t>ORD-2024-00524</t>
  </si>
  <si>
    <t>P-914</t>
  </si>
  <si>
    <t>ORD-2024-00223</t>
  </si>
  <si>
    <t>ORD-2024-00281</t>
  </si>
  <si>
    <t>P-566</t>
  </si>
  <si>
    <t>15%</t>
  </si>
  <si>
    <t>ORD-2024-00018</t>
  </si>
  <si>
    <t>P-903</t>
  </si>
  <si>
    <t>ORD-2024-00488</t>
  </si>
  <si>
    <t>ORD-2024-00323</t>
  </si>
  <si>
    <t>P-143</t>
  </si>
  <si>
    <t>ORD-2024-00256</t>
  </si>
  <si>
    <t>ORD-2024-00500</t>
  </si>
  <si>
    <t>P-614</t>
  </si>
  <si>
    <t>ORD-2024-00569</t>
  </si>
  <si>
    <t>ORD-2024-00728</t>
  </si>
  <si>
    <t>ORD-2024-00191</t>
  </si>
  <si>
    <t>ORD-2024-00116</t>
  </si>
  <si>
    <t>ORD-2024-00672</t>
  </si>
  <si>
    <t>ORD-2024-00447</t>
  </si>
  <si>
    <t>P-334</t>
  </si>
  <si>
    <t>ORD-2024-00095</t>
  </si>
  <si>
    <t>ORD-2024-00181</t>
  </si>
  <si>
    <t>ORD-2024-00302</t>
  </si>
  <si>
    <t>P-930</t>
  </si>
  <si>
    <t>ORD-2024-00512</t>
  </si>
  <si>
    <t>P-715</t>
  </si>
  <si>
    <t>ORD-2024-00727</t>
  </si>
  <si>
    <t>P-396</t>
  </si>
  <si>
    <t>ORD-2024-00533</t>
  </si>
  <si>
    <t>P-791</t>
  </si>
  <si>
    <t>ORD-2024-00530</t>
  </si>
  <si>
    <t>P-691</t>
  </si>
  <si>
    <t>ORD-2024-00671</t>
  </si>
  <si>
    <t>ORD-2024-00514</t>
  </si>
  <si>
    <t>P-788</t>
  </si>
  <si>
    <t>ORD-2024-00006</t>
  </si>
  <si>
    <t>ORD-2024-00744</t>
  </si>
  <si>
    <t>P-367</t>
  </si>
  <si>
    <t>ORD-2024-00046</t>
  </si>
  <si>
    <t>ORD-2024-00478</t>
  </si>
  <si>
    <t>ORD-2024-00576</t>
  </si>
  <si>
    <t>ORD-2024-00172</t>
  </si>
  <si>
    <t>P-627</t>
  </si>
  <si>
    <t>ORD-2024-00017</t>
  </si>
  <si>
    <t>ORD-2024-00049</t>
  </si>
  <si>
    <t>ORD-2024-00734</t>
  </si>
  <si>
    <t>ORD-2024-00695</t>
  </si>
  <si>
    <t>ORD-2024-00004</t>
  </si>
  <si>
    <t>ORD-2024-00548</t>
  </si>
  <si>
    <t>P-598</t>
  </si>
  <si>
    <t>ORD-2024-00495</t>
  </si>
  <si>
    <t>ORD-2024-00317</t>
  </si>
  <si>
    <t>P-685</t>
  </si>
  <si>
    <t>ORD-2024-00534</t>
  </si>
  <si>
    <t>ORD-2024-00448</t>
  </si>
  <si>
    <t>P-433</t>
  </si>
  <si>
    <t>ORD-2024-00699</t>
  </si>
  <si>
    <t>P-238</t>
  </si>
  <si>
    <t>ORD-2024-00284</t>
  </si>
  <si>
    <t>P-945</t>
  </si>
  <si>
    <t>ORD-2024-00097</t>
  </si>
  <si>
    <t>P-217</t>
  </si>
  <si>
    <t>ORD-2024-00286</t>
  </si>
  <si>
    <t>P-737</t>
  </si>
  <si>
    <t>ORD-2024-00496</t>
  </si>
  <si>
    <t>P-655</t>
  </si>
  <si>
    <t>10%</t>
  </si>
  <si>
    <t>ORD-2024-00226</t>
  </si>
  <si>
    <t>P-970</t>
  </si>
  <si>
    <t>ORD-2024-00027</t>
  </si>
  <si>
    <t>P-170</t>
  </si>
  <si>
    <t>ORD-2024-00599</t>
  </si>
  <si>
    <t>P-213</t>
  </si>
  <si>
    <t>0</t>
  </si>
  <si>
    <t>ORD-2024-00264</t>
  </si>
  <si>
    <t>ORD-2024-00438</t>
  </si>
  <si>
    <t>P-490</t>
  </si>
  <si>
    <t>ORD-2024-00051</t>
  </si>
  <si>
    <t>ORD-2024-00365</t>
  </si>
  <si>
    <t>P-936</t>
  </si>
  <si>
    <t>ORD-2024-00230</t>
  </si>
  <si>
    <t>P-374</t>
  </si>
  <si>
    <t>ORD-2024-00038</t>
  </si>
  <si>
    <t>P-541</t>
  </si>
  <si>
    <t>ORD-2024-00158</t>
  </si>
  <si>
    <t>P-257</t>
  </si>
  <si>
    <t>ORD-2024-00238</t>
  </si>
  <si>
    <t>ORD-2024-00729</t>
  </si>
  <si>
    <t>ORD-2024-00375</t>
  </si>
  <si>
    <t>ORD-2024-00470</t>
  </si>
  <si>
    <t>P-835</t>
  </si>
  <si>
    <t>ORD-2024-00371</t>
  </si>
  <si>
    <t>ORD-2024-00443</t>
  </si>
  <si>
    <t>P-746</t>
  </si>
  <si>
    <t>ORD-2024-00731</t>
  </si>
  <si>
    <t>ORD-2024-00176</t>
  </si>
  <si>
    <t>P-474</t>
  </si>
  <si>
    <t>ORD-2024-00646</t>
  </si>
  <si>
    <t>P-128</t>
  </si>
  <si>
    <t>ORD-2024-00128</t>
  </si>
  <si>
    <t>CUST-1088</t>
  </si>
  <si>
    <t>ORD-2024-00718</t>
  </si>
  <si>
    <t>P-453</t>
  </si>
  <si>
    <t>ORD-2024-00195</t>
  </si>
  <si>
    <t>P-341</t>
  </si>
  <si>
    <t>ORD-2024-00740</t>
  </si>
  <si>
    <t>CUST-1032</t>
  </si>
  <si>
    <t>P-681</t>
  </si>
  <si>
    <t>ORD-2024-00656</t>
  </si>
  <si>
    <t>P-943</t>
  </si>
  <si>
    <t>ORD-2024-00516</t>
  </si>
  <si>
    <t>P-980</t>
  </si>
  <si>
    <t>ORD-2024-00526</t>
  </si>
  <si>
    <t>P-480</t>
  </si>
  <si>
    <t>ORD-2024-00536</t>
  </si>
  <si>
    <t>ORD-2024-00733</t>
  </si>
  <si>
    <t>P-634</t>
  </si>
  <si>
    <t>ORD-2024-00634</t>
  </si>
  <si>
    <t>ORD-2024-00654</t>
  </si>
  <si>
    <t>ORD-2024-00068</t>
  </si>
  <si>
    <t>ORD-2024-00732</t>
  </si>
  <si>
    <t>P-745</t>
  </si>
  <si>
    <t>ORD-2024-00484</t>
  </si>
  <si>
    <t>ORD-2024-00169</t>
  </si>
  <si>
    <t>P-550</t>
  </si>
  <si>
    <t>ORD-2024-00445</t>
  </si>
  <si>
    <t>P-123</t>
  </si>
  <si>
    <t>ORD-2024-00528</t>
  </si>
  <si>
    <t>P-435</t>
  </si>
  <si>
    <t>ORD-2024-00163</t>
  </si>
  <si>
    <t>P-836</t>
  </si>
  <si>
    <t>ORD-2024-00310</t>
  </si>
  <si>
    <t>ORD-2024-00194</t>
  </si>
  <si>
    <t>P-492</t>
  </si>
  <si>
    <t>ORD-2024-00545</t>
  </si>
  <si>
    <t>P-820</t>
  </si>
  <si>
    <t>ORD-2024-00366</t>
  </si>
  <si>
    <t>ORD-2024-00384</t>
  </si>
  <si>
    <t>ORD-2024-00685</t>
  </si>
  <si>
    <t>2,390.85</t>
  </si>
  <si>
    <t>ORD-2024-00552</t>
  </si>
  <si>
    <t>P-583</t>
  </si>
  <si>
    <t>ORD-2024-00153</t>
  </si>
  <si>
    <t>ORD-2024-00529</t>
  </si>
  <si>
    <t>P-418</t>
  </si>
  <si>
    <t>ORD-2024-00544</t>
  </si>
  <si>
    <t>P-452</t>
  </si>
  <si>
    <t>ORD-2024-00583</t>
  </si>
  <si>
    <t>ORD-2024-00112</t>
  </si>
  <si>
    <t>P-525</t>
  </si>
  <si>
    <t>ORD-2024-00227</t>
  </si>
  <si>
    <t>ORD-2024-00535</t>
  </si>
  <si>
    <t>ORD-2024-00104</t>
  </si>
  <si>
    <t>ORD-2024-00422</t>
  </si>
  <si>
    <t>P-714</t>
  </si>
  <si>
    <t>ORD-2024-00420</t>
  </si>
  <si>
    <t>P-414</t>
  </si>
  <si>
    <t>ORD-2024-00120</t>
  </si>
  <si>
    <t>P-540</t>
  </si>
  <si>
    <t>967.00</t>
  </si>
  <si>
    <t>ORD-2024-00054</t>
  </si>
  <si>
    <t>P-584</t>
  </si>
  <si>
    <t>ORD-2024-00152</t>
  </si>
  <si>
    <t>P-137</t>
  </si>
  <si>
    <t>ORD-2024-00404</t>
  </si>
  <si>
    <t>P-849</t>
  </si>
  <si>
    <t>ORD-2024-00714</t>
  </si>
  <si>
    <t>P-871</t>
  </si>
  <si>
    <t>ORD-2024-00208</t>
  </si>
  <si>
    <t>ORD-2024-00641</t>
  </si>
  <si>
    <t>ORD-2024-00589</t>
  </si>
  <si>
    <t>P-546</t>
  </si>
  <si>
    <t>ORD-2024-00009</t>
  </si>
  <si>
    <t>P-698</t>
  </si>
  <si>
    <t>ORD-2024-00617</t>
  </si>
  <si>
    <t>P-279</t>
  </si>
  <si>
    <t>ORD-2024-00037</t>
  </si>
  <si>
    <t>ORD-2024-00453</t>
  </si>
  <si>
    <t>P-487</t>
  </si>
  <si>
    <t>ORD-2024-00254</t>
  </si>
  <si>
    <t>ORD-2024-00304</t>
  </si>
  <si>
    <t>P-342</t>
  </si>
  <si>
    <t>ORD-2024-00577</t>
  </si>
  <si>
    <t>ORD-2024-00550</t>
  </si>
  <si>
    <t>P-610</t>
  </si>
  <si>
    <t>ORD-2024-00558</t>
  </si>
  <si>
    <t>ORD-2024-00263</t>
  </si>
  <si>
    <t>P-539</t>
  </si>
  <si>
    <t>ORD-2024-00298</t>
  </si>
  <si>
    <t>ORD-2024-00415</t>
  </si>
  <si>
    <t>P-794</t>
  </si>
  <si>
    <t>ORD-2024-00151</t>
  </si>
  <si>
    <t>P-894</t>
  </si>
  <si>
    <t>ORD-2024-00605</t>
  </si>
  <si>
    <t>ORD-2024-00675</t>
  </si>
  <si>
    <t>ORD-2024-00489</t>
  </si>
  <si>
    <t>ORD-2024-00148</t>
  </si>
  <si>
    <t>ORD-2024-00147</t>
  </si>
  <si>
    <t>ORD-2024-00559</t>
  </si>
  <si>
    <t>P-757</t>
  </si>
  <si>
    <t>ORD-2024-00703</t>
  </si>
  <si>
    <t>P-625</t>
  </si>
  <si>
    <t>ORD-2024-00572</t>
  </si>
  <si>
    <t>P-798</t>
  </si>
  <si>
    <t>ORD-2024-00349</t>
  </si>
  <si>
    <t>ORD-2024-00464</t>
  </si>
  <si>
    <t>ORD-2024-00326</t>
  </si>
  <si>
    <t>ORD-2024-00187</t>
  </si>
  <si>
    <t>ORD-2024-00124</t>
  </si>
  <si>
    <t>P-732</t>
  </si>
  <si>
    <t>ORD-2024-00712</t>
  </si>
  <si>
    <t>ORD-2024-00144</t>
  </si>
  <si>
    <t>ORD-2024-00724</t>
  </si>
  <si>
    <t>ORD-2024-00198</t>
  </si>
  <si>
    <t>P-948</t>
  </si>
  <si>
    <t>ORD-2024-00280</t>
  </si>
  <si>
    <t>ORD-2024-00294</t>
  </si>
  <si>
    <t>ORD-2024-00401</t>
  </si>
  <si>
    <t>P-177</t>
  </si>
  <si>
    <t>ORD-2024-00123</t>
  </si>
  <si>
    <t>P-982</t>
  </si>
  <si>
    <t>3,099.51</t>
  </si>
  <si>
    <t>ORD-2024-00184</t>
  </si>
  <si>
    <t>P-591</t>
  </si>
  <si>
    <t>ORD-2024-00203</t>
  </si>
  <si>
    <t>ORD-2024-00439</t>
  </si>
  <si>
    <t>ORD-2024-00247</t>
  </si>
  <si>
    <t>ORD-2024-00416</t>
  </si>
  <si>
    <t>ORD-2024-00674</t>
  </si>
  <si>
    <t>ORD-2024-00130</t>
  </si>
  <si>
    <t>ORD-2024-00403</t>
  </si>
  <si>
    <t>ORD-2024-00707</t>
  </si>
  <si>
    <t>ORD-2024-00657</t>
  </si>
  <si>
    <t>1,378.42</t>
  </si>
  <si>
    <t>ORD-2024-00688</t>
  </si>
  <si>
    <t>P-172</t>
  </si>
  <si>
    <t>ORD-2024-00220</t>
  </si>
  <si>
    <t>ORD-2024-00690</t>
  </si>
  <si>
    <t>P-717</t>
  </si>
  <si>
    <t>ORD-2024-00580</t>
  </si>
  <si>
    <t>P-146</t>
  </si>
  <si>
    <t>ORD-2024-00693</t>
  </si>
  <si>
    <t>ORD-2024-00588</t>
  </si>
  <si>
    <t>ORD-2024-00387</t>
  </si>
  <si>
    <t>P-297</t>
  </si>
  <si>
    <t>ORD-2024-00735</t>
  </si>
  <si>
    <t>ORD-2024-00510</t>
  </si>
  <si>
    <t>P-415</t>
  </si>
  <si>
    <t>ORD-2024-00268</t>
  </si>
  <si>
    <t>ORD-2024-00626</t>
  </si>
  <si>
    <t>P-571</t>
  </si>
  <si>
    <t>ORD-2024-00442</t>
  </si>
  <si>
    <t>P-854</t>
  </si>
  <si>
    <t>ORD-2024-00497</t>
  </si>
  <si>
    <t>P-678</t>
  </si>
  <si>
    <t>ORD-2024-00113</t>
  </si>
  <si>
    <t>P-542</t>
  </si>
  <si>
    <t>ORD-2024-00661</t>
  </si>
  <si>
    <t>P-952</t>
  </si>
  <si>
    <t>ORD-2024-00374</t>
  </si>
  <si>
    <t>ORD-2024-00234</t>
  </si>
  <si>
    <t>P-271</t>
  </si>
  <si>
    <t>ORD-2024-00602</t>
  </si>
  <si>
    <t>ORD-2024-00318</t>
  </si>
  <si>
    <t>P-199</t>
  </si>
  <si>
    <t>ORD-2024-00411</t>
  </si>
  <si>
    <t>P-677</t>
  </si>
  <si>
    <t>ORD-2024-00679</t>
  </si>
  <si>
    <t>ORD-2024-00359</t>
  </si>
  <si>
    <t>ORD-2024-00259</t>
  </si>
  <si>
    <t>ORD-2024-00283</t>
  </si>
  <si>
    <t>ORD-2024-00377</t>
  </si>
  <si>
    <t>ORD-2024-00385</t>
  </si>
  <si>
    <t>P-784</t>
  </si>
  <si>
    <t>ORD-2024-00225</t>
  </si>
  <si>
    <t>P-316</t>
  </si>
  <si>
    <t>ORD-2024-00720</t>
  </si>
  <si>
    <t>ORD-2024-00622</t>
  </si>
  <si>
    <t>ORD-2024-00348</t>
  </si>
  <si>
    <t>ORD-2024-00506</t>
  </si>
  <si>
    <t>ORD-2024-00747</t>
  </si>
  <si>
    <t>P-485</t>
  </si>
  <si>
    <t>ORD-2024-00684</t>
  </si>
  <si>
    <t>ORD-2024-00649</t>
  </si>
  <si>
    <t>ORD-2024-00642</t>
  </si>
  <si>
    <t>ORD-2024-00557</t>
  </si>
  <si>
    <t>P-817</t>
  </si>
  <si>
    <t>ORD-2024-00578</t>
  </si>
  <si>
    <t>P-940</t>
  </si>
  <si>
    <t>ORD-2024-00086</t>
  </si>
  <si>
    <t>P-770</t>
  </si>
  <si>
    <t>ORD-2024-00243</t>
  </si>
  <si>
    <t>P-483</t>
  </si>
  <si>
    <t>ORD-2024-00160</t>
  </si>
  <si>
    <t>P-602</t>
  </si>
  <si>
    <t>ORD-2024-00525</t>
  </si>
  <si>
    <t>P-709</t>
  </si>
  <si>
    <t>ORD-2024-00036</t>
  </si>
  <si>
    <t>ORD-2024-00541</t>
  </si>
  <si>
    <t>P-555</t>
  </si>
  <si>
    <t>ORD-2024-00171</t>
  </si>
  <si>
    <t>ORD-2024-00651</t>
  </si>
  <si>
    <t>P-511</t>
  </si>
  <si>
    <t>ORD-2024-00643</t>
  </si>
  <si>
    <t>ORD-2024-00713</t>
  </si>
  <si>
    <t>ORD-2024-00096</t>
  </si>
  <si>
    <t>P-652</t>
  </si>
  <si>
    <t>ORD-2024-00564</t>
  </si>
  <si>
    <t>P-842</t>
  </si>
  <si>
    <t>ORD-2024-00241</t>
  </si>
  <si>
    <t>P-931</t>
  </si>
  <si>
    <t>ORD-2024-00575</t>
  </si>
  <si>
    <t>P-498</t>
  </si>
  <si>
    <t>ORD-2024-00461</t>
  </si>
  <si>
    <t>ORD-2024-00554</t>
  </si>
  <si>
    <t>ORD-2024-00667</t>
  </si>
  <si>
    <t>ORD-2024-00207</t>
  </si>
  <si>
    <t>ORD-2024-00393</t>
  </si>
  <si>
    <t>ORD-2024-00398</t>
  </si>
  <si>
    <t>ORD-2024-00644</t>
  </si>
  <si>
    <t>ORD-2024-00218</t>
  </si>
  <si>
    <t>P-243</t>
  </si>
  <si>
    <t>ORD-2024-00005</t>
  </si>
  <si>
    <t>P-975</t>
  </si>
  <si>
    <t>ORD-2024-00678</t>
  </si>
  <si>
    <t>P-440</t>
  </si>
  <si>
    <t>ORD-2024-00613</t>
  </si>
  <si>
    <t>P-787</t>
  </si>
  <si>
    <t>ORD-2024-00547</t>
  </si>
  <si>
    <t>P-468</t>
  </si>
  <si>
    <t>ORD-2024-00099</t>
  </si>
  <si>
    <t>ORD-2024-00574</t>
  </si>
  <si>
    <t>ORD-2024-00407</t>
  </si>
  <si>
    <t>P-628</t>
  </si>
  <si>
    <t>ORD-2024-00503</t>
  </si>
  <si>
    <t>P-420</t>
  </si>
  <si>
    <t>ORD-2024-00048</t>
  </si>
  <si>
    <t>P-517</t>
  </si>
  <si>
    <t>ORD-2024-00033</t>
  </si>
  <si>
    <t>P-266</t>
  </si>
  <si>
    <t>ORD-2024-00201</t>
  </si>
  <si>
    <t>CUST-1075</t>
  </si>
  <si>
    <t>ORD-2024-00135</t>
  </si>
  <si>
    <t>P-230</t>
  </si>
  <si>
    <t>ORD-2024-00028</t>
  </si>
  <si>
    <t>P-206</t>
  </si>
  <si>
    <t>ORD-2024-00669</t>
  </si>
  <si>
    <t>ORD-2024-00231</t>
  </si>
  <si>
    <t>13,518.78</t>
  </si>
  <si>
    <t>ORD-2024-00490</t>
  </si>
  <si>
    <t>P-305</t>
  </si>
  <si>
    <t>ORD-2024-00379</t>
  </si>
  <si>
    <t>P-496</t>
  </si>
  <si>
    <t>ORD-2024-00289</t>
  </si>
  <si>
    <t>P-632</t>
  </si>
  <si>
    <t>ORD-2024-00419</t>
  </si>
  <si>
    <t>ORD-2024-00392</t>
  </si>
  <si>
    <t>P-504</t>
  </si>
  <si>
    <t>ORD-2024-00593</t>
  </si>
  <si>
    <t>ORD-2024-00499</t>
  </si>
  <si>
    <t>P-726</t>
  </si>
  <si>
    <t>ORD-2024-00139</t>
  </si>
  <si>
    <t>P-725</t>
  </si>
  <si>
    <t>ORD-2024-00063</t>
  </si>
  <si>
    <t>P-819</t>
  </si>
  <si>
    <t>ORD-2024-00472</t>
  </si>
  <si>
    <t>ORD-2024-00648</t>
  </si>
  <si>
    <t>ORD-2024-00129</t>
  </si>
  <si>
    <t>P-572</t>
  </si>
  <si>
    <t>ORD-2024-00738</t>
  </si>
  <si>
    <t>ORD-2024-00521</t>
  </si>
  <si>
    <t>ORD-2024-00065</t>
  </si>
  <si>
    <t>P-825</t>
  </si>
  <si>
    <t>ORD-2024-00015</t>
  </si>
  <si>
    <t>ORD-2024-00157</t>
  </si>
  <si>
    <t>P-246</t>
  </si>
  <si>
    <t>ORD-2024-00041</t>
  </si>
  <si>
    <t>ORD-2024-00493</t>
  </si>
  <si>
    <t>ORD-2024-00380</t>
  </si>
  <si>
    <t>ORD-2024-00188</t>
  </si>
  <si>
    <t>P-768</t>
  </si>
  <si>
    <t>ORD-2024-00217</t>
  </si>
  <si>
    <t>P-953</t>
  </si>
  <si>
    <t>ORD-2024-00053</t>
  </si>
  <si>
    <t>P-329</t>
  </si>
  <si>
    <t>ORD-2024-00338</t>
  </si>
  <si>
    <t>P-924</t>
  </si>
  <si>
    <t>ORD-2024-00296</t>
  </si>
  <si>
    <t>ORD-2024-00252</t>
  </si>
  <si>
    <t>ORD-2024-00462</t>
  </si>
  <si>
    <t>P-733</t>
  </si>
  <si>
    <t>ORD-2024-00456</t>
  </si>
  <si>
    <t>P-254</t>
  </si>
  <si>
    <t>ORD-2024-00270</t>
  </si>
  <si>
    <t>ORD-2024-00202</t>
  </si>
  <si>
    <t>P-756</t>
  </si>
  <si>
    <t>ORD-2024-00162</t>
  </si>
  <si>
    <t>P-909</t>
  </si>
  <si>
    <t>ORD-2024-00556</t>
  </si>
  <si>
    <t>ORD-2024-00402</t>
  </si>
  <si>
    <t>P-893</t>
  </si>
  <si>
    <t>ORD-2024-00477</t>
  </si>
  <si>
    <t>P-890</t>
  </si>
  <si>
    <t>ORD-2024-00106</t>
  </si>
  <si>
    <t>ORD-2024-00566</t>
  </si>
  <si>
    <t>ORD-2024-00390</t>
  </si>
  <si>
    <t>P-514</t>
  </si>
  <si>
    <t>ORD-2024-00002</t>
  </si>
  <si>
    <t>P-990</t>
  </si>
  <si>
    <t>ORD-2024-00708</t>
  </si>
  <si>
    <t>P-467</t>
  </si>
  <si>
    <t>ORD-2024-00562</t>
  </si>
  <si>
    <t>P-200</t>
  </si>
  <si>
    <t>ORD-2024-00081</t>
  </si>
  <si>
    <t>ORD-2024-00206</t>
  </si>
  <si>
    <t>ORD-2024-00035</t>
  </si>
  <si>
    <t>P-436</t>
  </si>
  <si>
    <t>ORD-2024-00509</t>
  </si>
  <si>
    <t>ORD-2024-00428</t>
  </si>
  <si>
    <t>P-447</t>
  </si>
  <si>
    <t>ORD-2024-00455</t>
  </si>
  <si>
    <t>P-150</t>
  </si>
  <si>
    <t>ORD-2024-00367</t>
  </si>
  <si>
    <t>ORD-2024-00092</t>
  </si>
  <si>
    <t>ORD-2024-00340</t>
  </si>
  <si>
    <t>ORD-2024-00565</t>
  </si>
  <si>
    <t>ORD-2024-00346</t>
  </si>
  <si>
    <t>ORD-2024-00242</t>
  </si>
  <si>
    <t>ORD-2024-00014</t>
  </si>
  <si>
    <t>P-180</t>
  </si>
  <si>
    <t>ORD-2024-00316</t>
  </si>
  <si>
    <t>ORD-2024-00601</t>
  </si>
  <si>
    <t>P-155</t>
  </si>
  <si>
    <t>1,827.52</t>
  </si>
  <si>
    <t>ORD-2024-00388</t>
  </si>
  <si>
    <t>ORD-2024-00274</t>
  </si>
  <si>
    <t>P-112</t>
  </si>
  <si>
    <t>ORD-2024-00167</t>
  </si>
  <si>
    <t>ORD-2024-00647</t>
  </si>
  <si>
    <t>ORD-2024-00485</t>
  </si>
  <si>
    <t>ORD-2024-00741</t>
  </si>
  <si>
    <t>P-562</t>
  </si>
  <si>
    <t>ORD-2024-00505</t>
  </si>
  <si>
    <t>P-411</t>
  </si>
  <si>
    <t>ORD-2024-00244</t>
  </si>
  <si>
    <t>ORD-2024-00567</t>
  </si>
  <si>
    <t>P-895</t>
  </si>
  <si>
    <t>ORD-2024-00563</t>
  </si>
  <si>
    <t>P-660</t>
  </si>
  <si>
    <t>ORD-2024-00687</t>
  </si>
  <si>
    <t>P-144</t>
  </si>
  <si>
    <t>ORD-2024-00190</t>
  </si>
  <si>
    <t>P-506</t>
  </si>
  <si>
    <t>ORD-2024-00700</t>
  </si>
  <si>
    <t>P-962</t>
  </si>
  <si>
    <t>ORD-2024-00476</t>
  </si>
  <si>
    <t>P-100</t>
  </si>
  <si>
    <t>ORD-2024-00682</t>
  </si>
  <si>
    <t>P-293</t>
  </si>
  <si>
    <t>ORD-2024-00511</t>
  </si>
  <si>
    <t>P-569</t>
  </si>
  <si>
    <t>ORD-2024-00059</t>
  </si>
  <si>
    <t>P-972</t>
  </si>
  <si>
    <t>ORD-2024-00475</t>
  </si>
  <si>
    <t>P-843</t>
  </si>
  <si>
    <t>ORD-2024-00561</t>
  </si>
  <si>
    <t>ORD-2024-00253</t>
  </si>
  <si>
    <t>ORD-2024-00022</t>
  </si>
  <si>
    <t>ORD-2024-00314</t>
  </si>
  <si>
    <t>P-966</t>
  </si>
  <si>
    <t>ORD-2024-00460</t>
  </si>
  <si>
    <t>P-782</t>
  </si>
  <si>
    <t>ORD-2024-00161</t>
  </si>
  <si>
    <t>ORD-2024-00277</t>
  </si>
  <si>
    <t>P-259</t>
  </si>
  <si>
    <t>ORD-2024-00192</t>
  </si>
  <si>
    <t>ORD-2024-00386</t>
  </si>
  <si>
    <t>P-362</t>
  </si>
  <si>
    <t>ORD-2024-00414</t>
  </si>
  <si>
    <t>P-587</t>
  </si>
  <si>
    <t>ORD-2024-00492</t>
  </si>
  <si>
    <t>ORD-2024-00344</t>
  </si>
  <si>
    <t>ORD-2024-00309</t>
  </si>
  <si>
    <t>P-781</t>
  </si>
  <si>
    <t>ORD-2024-00662</t>
  </si>
  <si>
    <t>ORD-2024-00131</t>
  </si>
  <si>
    <t>P-186</t>
  </si>
  <si>
    <t>ORD-2024-00664</t>
  </si>
  <si>
    <t>ORD-2024-00100</t>
  </si>
  <si>
    <t>ORD-2024-00373</t>
  </si>
  <si>
    <t>P-507</t>
  </si>
  <si>
    <t>ORD-2024-00088</t>
  </si>
  <si>
    <t>ORD-2024-00459</t>
  </si>
  <si>
    <t>P-262</t>
  </si>
  <si>
    <t>ORD-2024-00331</t>
  </si>
  <si>
    <t>P-159</t>
  </si>
  <si>
    <t>ORD-2024-00215</t>
  </si>
  <si>
    <t>ORD-2024-00467</t>
  </si>
  <si>
    <t>ORD-2024-00122</t>
  </si>
  <si>
    <t>ORD-2024-00615</t>
  </si>
  <si>
    <t>ORD-2024-00021</t>
  </si>
  <si>
    <t>ORD-2024-00701</t>
  </si>
  <si>
    <t>ORD-2024-00072</t>
  </si>
  <si>
    <t>P-245</t>
  </si>
  <si>
    <t>ORD-2024-00107</t>
  </si>
  <si>
    <t>ORD-2024-00271</t>
  </si>
  <si>
    <t>ORD-2024-00436</t>
  </si>
  <si>
    <t>P-375</t>
  </si>
  <si>
    <t>ORD-2024-00103</t>
  </si>
  <si>
    <t>Purpose</t>
  </si>
  <si>
    <t>Retail Business Domain &amp; KPI Definitions</t>
  </si>
  <si>
    <t>KPI</t>
  </si>
  <si>
    <t>Formula / Calculation</t>
  </si>
  <si>
    <t>Business Meaning</t>
  </si>
  <si>
    <t>Total Sales</t>
  </si>
  <si>
    <t>SUM(Sales)</t>
  </si>
  <si>
    <t>Total revenue generated</t>
  </si>
  <si>
    <t>Total Profit</t>
  </si>
  <si>
    <t>SUM(Profit)</t>
  </si>
  <si>
    <t>Total profit earned</t>
  </si>
  <si>
    <t>Profit Margin</t>
  </si>
  <si>
    <t>Total Profit / Total Sales</t>
  </si>
  <si>
    <t>Profit earned as a percentage of sales</t>
  </si>
  <si>
    <t>Average Order Value (AOV)</t>
  </si>
  <si>
    <t>Total Sales / Number of Orders</t>
  </si>
  <si>
    <t>Average sales value per order</t>
  </si>
  <si>
    <t>Quantity Sold</t>
  </si>
  <si>
    <t>SUM(Quantity)</t>
  </si>
  <si>
    <t>Total number of units sold</t>
  </si>
  <si>
    <t>Analysis</t>
  </si>
  <si>
    <t>Sales by Product Category</t>
  </si>
  <si>
    <t>Compare revenue across categories</t>
  </si>
  <si>
    <t>Sales by Region</t>
  </si>
  <si>
    <t>Compare regional performance</t>
  </si>
  <si>
    <t>Customer Segment Performance</t>
  </si>
  <si>
    <t>Compare Consumer, Corporate, etc.</t>
  </si>
  <si>
    <t>Sales Trend Over Time</t>
  </si>
  <si>
    <t>Understand sales changes over dates</t>
  </si>
  <si>
    <t>Discount vs Profit</t>
  </si>
  <si>
    <t>Understand how discounts affect profitability</t>
  </si>
  <si>
    <t>Sales Check</t>
  </si>
  <si>
    <t>Quantity Check</t>
  </si>
  <si>
    <t>NIKHIL VARMA</t>
  </si>
  <si>
    <t>OK</t>
  </si>
  <si>
    <t>SNEHA NAIR</t>
  </si>
  <si>
    <t>MEERA JOSEPH</t>
  </si>
  <si>
    <t>AMAL THOMAS</t>
  </si>
  <si>
    <t>FATHIMA ALI</t>
  </si>
  <si>
    <t>ADIL KHAN</t>
  </si>
  <si>
    <t>MUHAMMED SHAFI</t>
  </si>
  <si>
    <t>VISHNU RAJ</t>
  </si>
  <si>
    <t>AARAV NAIR</t>
  </si>
  <si>
    <t>ARJUN DAS</t>
  </si>
  <si>
    <t>RAHUL KUMAR</t>
  </si>
  <si>
    <t>RIYA PAUL</t>
  </si>
  <si>
    <t>ANANYA MENON</t>
  </si>
  <si>
    <t>DIYA MATHEW</t>
  </si>
  <si>
    <t>ASHA KRISHNAN</t>
  </si>
  <si>
    <t xml:space="preserve">AARAV NAIR </t>
  </si>
  <si>
    <t>MUHAMMAD RABEEH</t>
  </si>
  <si>
    <t xml:space="preserve">SNEHA NAIR </t>
  </si>
  <si>
    <t xml:space="preserve">MUHAMMED SHAFI </t>
  </si>
  <si>
    <t>Check Quantity</t>
  </si>
  <si>
    <t>Check Sales</t>
  </si>
  <si>
    <t xml:space="preserve">NIKHIL VARMA </t>
  </si>
  <si>
    <t>ok</t>
  </si>
  <si>
    <t>Total Quantity</t>
  </si>
  <si>
    <t>Row Labels</t>
  </si>
  <si>
    <t>Grand Total</t>
  </si>
  <si>
    <t>Sum of Sales</t>
  </si>
  <si>
    <t>Sum of Profit</t>
  </si>
  <si>
    <t>Sum of Quantity</t>
  </si>
  <si>
    <t>Count of Order ID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</si>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</sst>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yyyy\-mm\-dd\ hh:mm:ss"/>
    <numFmt numFmtId="165" formatCode="&quot;₹&quot;\ #,##0.00"/>
  </numFmts>
  <fonts count="5">
    <font>
      <sz val="11"/>
      <color theme="1"/>
      <name val="Calibri"/>
      <family val="2"/>
      <scheme val="minor"/>
    </font>
    <font>
      <b/>
      <sz val="11"/>
      <name val="Calibri"/>
    </font>
    <font>
      <b/>
      <sz val="11"/>
      <color theme="1"/>
      <name val="Calibri"/>
      <family val="2"/>
      <scheme val="minor"/>
    </font>
    <font>
      <sz val="10"/>
      <color theme="1"/>
      <name val="Arial Unicode MS"/>
    </font>
    <font>
      <sz val="11"/>
      <color theme="1"/>
      <name val="Calibri"/>
      <family val="2"/>
      <scheme val="minor"/>
    </font>
  </fonts>
  <fills count="4">
    <fill>
      <patternFill patternType="none"/>
    </fill>
    <fill>
      <patternFill patternType="gray125"/>
    </fill>
    <fill>
      <patternFill patternType="solid">
        <fgColor theme="1"/>
        <bgColor indexed="64"/>
      </patternFill>
    </fill>
    <fill>
      <patternFill patternType="solid">
        <fgColor theme="5" tint="0.79998168889431442"/>
        <bgColor theme="5" tint="0.79998168889431442"/>
      </patternFill>
    </fill>
  </fills>
  <borders count="3">
    <border>
      <left/>
      <right/>
      <top/>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s>
  <cellStyleXfs count="2">
    <xf numFmtId="0" fontId="0" fillId="0" borderId="0"/>
    <xf numFmtId="43" fontId="4" fillId="0" borderId="0" applyFont="0" applyFill="0" applyBorder="0" applyAlignment="0" applyProtection="0"/>
  </cellStyleXfs>
  <cellXfs count="16">
    <xf numFmtId="0" fontId="0" fillId="0" borderId="0" xfId="0"/>
    <xf numFmtId="164" fontId="0" fillId="0" borderId="0" xfId="0" applyNumberFormat="1"/>
    <xf numFmtId="0" fontId="0" fillId="0" borderId="0" xfId="0" applyAlignment="1">
      <alignment vertical="center" wrapText="1"/>
    </xf>
    <xf numFmtId="0" fontId="3" fillId="0" borderId="0" xfId="0" applyFont="1" applyAlignment="1">
      <alignment vertical="center" wrapText="1"/>
    </xf>
    <xf numFmtId="0" fontId="2" fillId="0" borderId="0" xfId="0" applyFont="1"/>
    <xf numFmtId="0" fontId="2" fillId="0" borderId="0" xfId="0" applyFont="1" applyAlignment="1">
      <alignment horizontal="center" vertical="center" wrapText="1"/>
    </xf>
    <xf numFmtId="0" fontId="1" fillId="0" borderId="1" xfId="0" applyFont="1" applyBorder="1" applyAlignment="1">
      <alignment horizontal="center" vertical="top"/>
    </xf>
    <xf numFmtId="22" fontId="0" fillId="0" borderId="0" xfId="0" applyNumberFormat="1"/>
    <xf numFmtId="43" fontId="0" fillId="0" borderId="0" xfId="1" applyFont="1"/>
    <xf numFmtId="0" fontId="0" fillId="0" borderId="0" xfId="0" pivotButton="1"/>
    <xf numFmtId="0" fontId="0" fillId="0" borderId="0" xfId="0" applyAlignment="1">
      <alignment horizontal="left"/>
    </xf>
    <xf numFmtId="43" fontId="0" fillId="0" borderId="0" xfId="0" applyNumberFormat="1"/>
    <xf numFmtId="0" fontId="0" fillId="2" borderId="0" xfId="0" applyFill="1"/>
    <xf numFmtId="165" fontId="0" fillId="0" borderId="0" xfId="0" applyNumberFormat="1"/>
    <xf numFmtId="0" fontId="0" fillId="3" borderId="2" xfId="0" applyFill="1" applyBorder="1"/>
    <xf numFmtId="0" fontId="0" fillId="0" borderId="0" xfId="0" applyNumberFormat="1"/>
  </cellXfs>
  <cellStyles count="2">
    <cellStyle name="Comma" xfId="1" builtinId="3"/>
    <cellStyle name="Normal" xfId="0" builtinId="0"/>
  </cellStyles>
  <dxfs count="44">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164" formatCode="yyyy\-mm\-dd\ hh:mm:ss"/>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i val="0"/>
        <sz val="11"/>
        <color theme="1"/>
        <name val="Calibri"/>
        <family val="2"/>
        <scheme val="minor"/>
      </font>
      <fill>
        <patternFill>
          <bgColor rgb="FFFFFF00"/>
        </patternFill>
      </fill>
    </dxf>
    <dxf>
      <fill>
        <patternFill patternType="solid">
          <fgColor theme="0"/>
          <bgColor theme="2" tint="-0.89996032593768116"/>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rgb="FFFFFF00"/>
        </patternFill>
      </fill>
    </dxf>
    <dxf>
      <fill>
        <patternFill>
          <bgColor theme="2" tint="-0.89996032593768116"/>
        </patternFill>
      </fill>
    </dxf>
    <dxf>
      <font>
        <b/>
        <i val="0"/>
        <color theme="1"/>
      </font>
      <fill>
        <patternFill>
          <bgColor rgb="FFFFFF00"/>
        </patternFill>
      </fill>
    </dxf>
    <dxf>
      <fill>
        <patternFill>
          <bgColor theme="2" tint="-0.89996032593768116"/>
        </patternFill>
      </fill>
    </dxf>
  </dxfs>
  <tableStyles count="3" defaultTableStyle="TableStyleMedium9" defaultPivotStyle="PivotStyleLight16">
    <tableStyle name="Slicer Style 1" pivot="0" table="0" count="6" xr9:uid="{B2B775C4-EC28-4741-A913-701E2A348B75}">
      <tableStyleElement type="wholeTable" dxfId="43"/>
      <tableStyleElement type="headerRow" dxfId="42"/>
    </tableStyle>
    <tableStyle name="Slicer Style 2" pivot="0" table="0" count="4" xr9:uid="{343927C6-1989-4E23-9B6C-B63D84D95EAD}">
      <tableStyleElement type="wholeTable" dxfId="41"/>
      <tableStyleElement type="headerRow" dxfId="40"/>
    </tableStyle>
    <tableStyle name="Timeline Style 1" pivot="0" table="0" count="8" xr9:uid="{059AE4DD-1419-4A80-984B-DD3A27F3C3B1}">
      <tableStyleElement type="wholeTable" dxfId="39"/>
      <tableStyleElement type="headerRow" dxfId="38"/>
    </tableStyle>
  </tableStyles>
  <extLst>
    <ext xmlns:x14="http://schemas.microsoft.com/office/spreadsheetml/2009/9/main" uri="{46F421CA-312F-682f-3DD2-61675219B42D}">
      <x14:dxfs count="6">
        <dxf>
          <fill>
            <patternFill>
              <bgColor theme="0"/>
            </patternFill>
          </fill>
        </dxf>
        <dxf>
          <fill>
            <patternFill>
              <bgColor rgb="FFFFFF00"/>
            </patternFill>
          </fill>
        </dxf>
        <dxf>
          <fill>
            <patternFill>
              <bgColor rgb="FFFFFF00"/>
            </patternFill>
          </fill>
        </dxf>
        <dxf>
          <fill>
            <patternFill>
              <bgColor theme="2" tint="-9.9948118533890809E-2"/>
            </patternFill>
          </fill>
        </dxf>
        <dxf>
          <font>
            <color theme="1"/>
          </font>
          <fill>
            <patternFill>
              <bgColor rgb="FFFFFF00"/>
            </patternFill>
          </fill>
        </dxf>
        <dxf>
          <font>
            <color theme="1"/>
          </font>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hoveredUnselectedItemWithData" dxfId="3"/>
            <x14:slicerStyleElement type="hoveredSelectedItemWithData" dxfId="2"/>
          </x14:slicerStyleElements>
        </x14:slicerStyle>
        <x14:slicerStyle name="Slicer Style 2">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rgb="FFFFFF00"/>
            </patternFill>
          </fill>
        </dxf>
        <dxf>
          <font>
            <sz val="9"/>
            <color theme="0"/>
            <name val="Calibri"/>
            <family val="2"/>
            <scheme val="minor"/>
          </font>
        </dxf>
        <dxf>
          <font>
            <sz val="9"/>
            <color theme="0"/>
            <name val="Calibri"/>
            <family val="2"/>
            <scheme val="minor"/>
          </font>
        </dxf>
        <dxf>
          <font>
            <sz val="9"/>
            <color theme="0"/>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PROJECT.xlsx]pivot analysis!PivotTable1</c:name>
    <c:fmtId val="12"/>
  </c:pivotSource>
  <c:chart>
    <c:title>
      <c:tx>
        <c:rich>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sz="1400">
                <a:solidFill>
                  <a:schemeClr val="bg1"/>
                </a:solidFill>
              </a:rPr>
              <a:t>SALES BY PRODUCT CATEGORY</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34536307961505"/>
          <c:y val="0.37800488480606592"/>
          <c:w val="0.64880271216097984"/>
          <c:h val="0.48688721201516477"/>
        </c:manualLayout>
      </c:layout>
      <c:barChart>
        <c:barDir val="col"/>
        <c:grouping val="clustered"/>
        <c:varyColors val="0"/>
        <c:ser>
          <c:idx val="0"/>
          <c:order val="0"/>
          <c:tx>
            <c:strRef>
              <c:f>'pivot analysis'!$B$1</c:f>
              <c:strCache>
                <c:ptCount val="1"/>
                <c:pt idx="0">
                  <c:v>Total</c:v>
                </c:pt>
              </c:strCache>
            </c:strRef>
          </c:tx>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analysis'!$A$2:$A$7</c:f>
              <c:strCache>
                <c:ptCount val="5"/>
                <c:pt idx="0">
                  <c:v>Clothing</c:v>
                </c:pt>
                <c:pt idx="1">
                  <c:v>Electronics</c:v>
                </c:pt>
                <c:pt idx="2">
                  <c:v>Furniture</c:v>
                </c:pt>
                <c:pt idx="3">
                  <c:v>Home Appliances</c:v>
                </c:pt>
                <c:pt idx="4">
                  <c:v>Office Supplies</c:v>
                </c:pt>
              </c:strCache>
            </c:strRef>
          </c:cat>
          <c:val>
            <c:numRef>
              <c:f>'pivot analysis'!$B$2:$B$7</c:f>
              <c:numCache>
                <c:formatCode>_(* #,##0.00_);_(* \(#,##0.00\);_(* "-"??_);_(@_)</c:formatCode>
                <c:ptCount val="5"/>
                <c:pt idx="0">
                  <c:v>757185.97</c:v>
                </c:pt>
                <c:pt idx="1">
                  <c:v>13711838.059999991</c:v>
                </c:pt>
                <c:pt idx="2">
                  <c:v>3314942.6499999994</c:v>
                </c:pt>
                <c:pt idx="3">
                  <c:v>773774.10000000033</c:v>
                </c:pt>
                <c:pt idx="4">
                  <c:v>1336494.9200000004</c:v>
                </c:pt>
              </c:numCache>
            </c:numRef>
          </c:val>
          <c:extLst>
            <c:ext xmlns:c16="http://schemas.microsoft.com/office/drawing/2014/chart" uri="{C3380CC4-5D6E-409C-BE32-E72D297353CC}">
              <c16:uniqueId val="{00000000-220D-429E-9CD8-9EB6E363C57D}"/>
            </c:ext>
          </c:extLst>
        </c:ser>
        <c:dLbls>
          <c:showLegendKey val="0"/>
          <c:showVal val="0"/>
          <c:showCatName val="0"/>
          <c:showSerName val="0"/>
          <c:showPercent val="0"/>
          <c:showBubbleSize val="0"/>
        </c:dLbls>
        <c:gapWidth val="100"/>
        <c:overlap val="-24"/>
        <c:axId val="1944869744"/>
        <c:axId val="1938668208"/>
      </c:barChart>
      <c:catAx>
        <c:axId val="1944869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38668208"/>
        <c:crosses val="autoZero"/>
        <c:auto val="1"/>
        <c:lblAlgn val="ctr"/>
        <c:lblOffset val="100"/>
        <c:noMultiLvlLbl val="0"/>
      </c:catAx>
      <c:valAx>
        <c:axId val="1938668208"/>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486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PROJECT.xlsx]pivot analysis!PivotTable2</c:name>
    <c:fmtId val="14"/>
  </c:pivotSource>
  <c:chart>
    <c:title>
      <c:tx>
        <c:rich>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sz="1400">
                <a:solidFill>
                  <a:schemeClr val="bg1"/>
                </a:solidFill>
              </a:rPr>
              <a:t>SALES BY REGION</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analysis'!$E$1</c:f>
              <c:strCache>
                <c:ptCount val="1"/>
                <c:pt idx="0">
                  <c:v>Total</c:v>
                </c:pt>
              </c:strCache>
            </c:strRef>
          </c:tx>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analysis'!$D$2:$D$6</c:f>
              <c:strCache>
                <c:ptCount val="4"/>
                <c:pt idx="0">
                  <c:v>East</c:v>
                </c:pt>
                <c:pt idx="1">
                  <c:v>North</c:v>
                </c:pt>
                <c:pt idx="2">
                  <c:v>South</c:v>
                </c:pt>
                <c:pt idx="3">
                  <c:v>West</c:v>
                </c:pt>
              </c:strCache>
            </c:strRef>
          </c:cat>
          <c:val>
            <c:numRef>
              <c:f>'pivot analysis'!$E$2:$E$6</c:f>
              <c:numCache>
                <c:formatCode>_(* #,##0.00_);_(* \(#,##0.00\);_(* "-"??_);_(@_)</c:formatCode>
                <c:ptCount val="4"/>
                <c:pt idx="0">
                  <c:v>4836233.8100000015</c:v>
                </c:pt>
                <c:pt idx="1">
                  <c:v>3972680.4600000014</c:v>
                </c:pt>
                <c:pt idx="2">
                  <c:v>4957758.6099999994</c:v>
                </c:pt>
                <c:pt idx="3">
                  <c:v>6127562.8200000003</c:v>
                </c:pt>
              </c:numCache>
            </c:numRef>
          </c:val>
          <c:extLst>
            <c:ext xmlns:c16="http://schemas.microsoft.com/office/drawing/2014/chart" uri="{C3380CC4-5D6E-409C-BE32-E72D297353CC}">
              <c16:uniqueId val="{00000000-DA0E-42E2-9378-7F9E292267EB}"/>
            </c:ext>
          </c:extLst>
        </c:ser>
        <c:dLbls>
          <c:showLegendKey val="0"/>
          <c:showVal val="0"/>
          <c:showCatName val="0"/>
          <c:showSerName val="0"/>
          <c:showPercent val="0"/>
          <c:showBubbleSize val="0"/>
        </c:dLbls>
        <c:gapWidth val="115"/>
        <c:overlap val="-20"/>
        <c:axId val="2126425184"/>
        <c:axId val="1938684048"/>
      </c:barChart>
      <c:catAx>
        <c:axId val="21264251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38684048"/>
        <c:crosses val="autoZero"/>
        <c:auto val="1"/>
        <c:lblAlgn val="ctr"/>
        <c:lblOffset val="100"/>
        <c:noMultiLvlLbl val="0"/>
      </c:catAx>
      <c:valAx>
        <c:axId val="1938684048"/>
        <c:scaling>
          <c:orientation val="minMax"/>
        </c:scaling>
        <c:delete val="0"/>
        <c:axPos val="b"/>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642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PROJECT.xlsx]pivot analysis!PivotTable4</c:name>
    <c:fmtId val="10"/>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solidFill>
                  <a:schemeClr val="bg1"/>
                </a:solidFill>
              </a:rPr>
              <a:t>QUANTITY SOLD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analysis'!$K$1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4FF-4FB2-95A6-59F22D74EE4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4FF-4FB2-95A6-59F22D74EE4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4FF-4FB2-95A6-59F22D74EE4D}"/>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4FF-4FB2-95A6-59F22D74EE4D}"/>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4FF-4FB2-95A6-59F22D74EE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analysis'!$J$2:$J$7</c:f>
              <c:strCache>
                <c:ptCount val="5"/>
                <c:pt idx="0">
                  <c:v>Clothing</c:v>
                </c:pt>
                <c:pt idx="1">
                  <c:v>Electronics</c:v>
                </c:pt>
                <c:pt idx="2">
                  <c:v>Furniture</c:v>
                </c:pt>
                <c:pt idx="3">
                  <c:v>Home Appliances</c:v>
                </c:pt>
                <c:pt idx="4">
                  <c:v>Office Supplies</c:v>
                </c:pt>
              </c:strCache>
            </c:strRef>
          </c:cat>
          <c:val>
            <c:numRef>
              <c:f>'pivot analysis'!$K$2:$K$7</c:f>
              <c:numCache>
                <c:formatCode>General</c:formatCode>
                <c:ptCount val="5"/>
                <c:pt idx="0">
                  <c:v>355</c:v>
                </c:pt>
                <c:pt idx="1">
                  <c:v>600</c:v>
                </c:pt>
                <c:pt idx="2">
                  <c:v>520</c:v>
                </c:pt>
                <c:pt idx="3">
                  <c:v>206</c:v>
                </c:pt>
                <c:pt idx="4">
                  <c:v>696</c:v>
                </c:pt>
              </c:numCache>
            </c:numRef>
          </c:val>
          <c:extLst>
            <c:ext xmlns:c16="http://schemas.microsoft.com/office/drawing/2014/chart" uri="{C3380CC4-5D6E-409C-BE32-E72D297353CC}">
              <c16:uniqueId val="{0000000A-54FF-4FB2-95A6-59F22D74EE4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1399572080447216"/>
          <c:y val="0.33050810096968675"/>
          <c:w val="0.26629949920896429"/>
          <c:h val="0.597399244863050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PROJECT.xlsx]pivot analysis!PivotTable3</c:name>
    <c:fmtId val="10"/>
  </c:pivotSource>
  <c:chart>
    <c:title>
      <c:tx>
        <c:rich>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sz="1400">
                <a:solidFill>
                  <a:schemeClr val="bg1"/>
                </a:solidFill>
              </a:rPr>
              <a:t>PROFIT BY CUSTOMER SEGMENT</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40000" dist="23000" dir="5400000" rotWithShape="0">
              <a:srgbClr val="000000">
                <a:alpha val="35000"/>
              </a:srgbClr>
            </a:outerShdw>
          </a:effectLst>
        </c:spPr>
        <c:marker>
          <c:symbol val="circle"/>
          <c:size val="6"/>
          <c:spPr>
            <a:solidFill>
              <a:srgbClr val="FFFF00"/>
            </a:soli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6"/>
            </a:solidFill>
            <a:round/>
          </a:ln>
          <a:effectLst>
            <a:outerShdw blurRad="40000" dist="23000" dir="5400000" rotWithShape="0">
              <a:srgbClr val="000000">
                <a:alpha val="35000"/>
              </a:srgbClr>
            </a:outerShdw>
          </a:effectLst>
        </c:spPr>
        <c:marker>
          <c:symbol val="circle"/>
          <c:size val="6"/>
          <c:spPr>
            <a:solidFill>
              <a:srgbClr val="FFFF00"/>
            </a:soli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'pivot analysis'!$H$1</c:f>
              <c:strCache>
                <c:ptCount val="1"/>
                <c:pt idx="0">
                  <c:v>Total</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solidFill>
                <a:srgbClr val="FFFF00"/>
              </a:soli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analysis'!$G$2:$G$5</c:f>
              <c:strCache>
                <c:ptCount val="3"/>
                <c:pt idx="0">
                  <c:v>Consumer</c:v>
                </c:pt>
                <c:pt idx="1">
                  <c:v>Corporate</c:v>
                </c:pt>
                <c:pt idx="2">
                  <c:v>Home Office</c:v>
                </c:pt>
              </c:strCache>
            </c:strRef>
          </c:cat>
          <c:val>
            <c:numRef>
              <c:f>'pivot analysis'!$H$2:$H$5</c:f>
              <c:numCache>
                <c:formatCode>_(* #,##0.00_);_(* \(#,##0.00\);_(* "-"??_);_(@_)</c:formatCode>
                <c:ptCount val="3"/>
                <c:pt idx="0">
                  <c:v>509235.26999999979</c:v>
                </c:pt>
                <c:pt idx="1">
                  <c:v>293021.39999999985</c:v>
                </c:pt>
                <c:pt idx="2">
                  <c:v>155047.87000000008</c:v>
                </c:pt>
              </c:numCache>
            </c:numRef>
          </c:val>
          <c:smooth val="0"/>
          <c:extLst>
            <c:ext xmlns:c16="http://schemas.microsoft.com/office/drawing/2014/chart" uri="{C3380CC4-5D6E-409C-BE32-E72D297353CC}">
              <c16:uniqueId val="{00000000-43EF-4267-BCBC-761681843CF3}"/>
            </c:ext>
          </c:extLst>
        </c:ser>
        <c:dLbls>
          <c:showLegendKey val="0"/>
          <c:showVal val="0"/>
          <c:showCatName val="0"/>
          <c:showSerName val="0"/>
          <c:showPercent val="0"/>
          <c:showBubbleSize val="0"/>
        </c:dLbls>
        <c:marker val="1"/>
        <c:smooth val="0"/>
        <c:axId val="2126449312"/>
        <c:axId val="1938703248"/>
      </c:lineChart>
      <c:catAx>
        <c:axId val="21264493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38703248"/>
        <c:crosses val="autoZero"/>
        <c:auto val="1"/>
        <c:lblAlgn val="ctr"/>
        <c:lblOffset val="100"/>
        <c:noMultiLvlLbl val="0"/>
      </c:catAx>
      <c:valAx>
        <c:axId val="1938703248"/>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644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514892</xdr:colOff>
      <xdr:row>1</xdr:row>
      <xdr:rowOff>45721</xdr:rowOff>
    </xdr:from>
    <xdr:ext cx="12058107" cy="472440"/>
    <xdr:sp macro="" textlink="">
      <xdr:nvSpPr>
        <xdr:cNvPr id="2" name="TextBox 1">
          <a:extLst>
            <a:ext uri="{FF2B5EF4-FFF2-40B4-BE49-F238E27FC236}">
              <a16:creationId xmlns:a16="http://schemas.microsoft.com/office/drawing/2014/main" id="{198D0D26-1F35-BFC4-7908-2B766F2F68CC}"/>
            </a:ext>
          </a:extLst>
        </xdr:cNvPr>
        <xdr:cNvSpPr txBox="1"/>
      </xdr:nvSpPr>
      <xdr:spPr>
        <a:xfrm>
          <a:off x="1124492" y="230778"/>
          <a:ext cx="12058107" cy="472440"/>
        </a:xfrm>
        <a:prstGeom prst="round2Diag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400" b="1">
              <a:solidFill>
                <a:schemeClr val="tx1"/>
              </a:solidFill>
            </a:rPr>
            <a:t>RETAIL BUSINESS ANALYSIS DASHBOARD</a:t>
          </a:r>
        </a:p>
      </xdr:txBody>
    </xdr:sp>
    <xdr:clientData/>
  </xdr:oneCellAnchor>
  <xdr:oneCellAnchor>
    <xdr:from>
      <xdr:col>1</xdr:col>
      <xdr:colOff>611371</xdr:colOff>
      <xdr:row>4</xdr:row>
      <xdr:rowOff>114300</xdr:rowOff>
    </xdr:from>
    <xdr:ext cx="1763233" cy="815340"/>
    <xdr:sp macro="" textlink="">
      <xdr:nvSpPr>
        <xdr:cNvPr id="3" name="TextBox 2">
          <a:extLst>
            <a:ext uri="{FF2B5EF4-FFF2-40B4-BE49-F238E27FC236}">
              <a16:creationId xmlns:a16="http://schemas.microsoft.com/office/drawing/2014/main" id="{F2833FB2-9295-8A87-7F44-4771FAB68222}"/>
            </a:ext>
          </a:extLst>
        </xdr:cNvPr>
        <xdr:cNvSpPr txBox="1"/>
      </xdr:nvSpPr>
      <xdr:spPr>
        <a:xfrm>
          <a:off x="1222743" y="858579"/>
          <a:ext cx="1763233" cy="815340"/>
        </a:xfrm>
        <a:prstGeom prst="roundRect">
          <a:avLst/>
        </a:prstGeom>
        <a:solidFill>
          <a:schemeClr val="bg2">
            <a:lumMod val="1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b="1">
              <a:solidFill>
                <a:schemeClr val="bg1"/>
              </a:solidFill>
            </a:rPr>
            <a:t>TOTAL</a:t>
          </a:r>
          <a:r>
            <a:rPr lang="en-IN" sz="1100" b="1" baseline="0">
              <a:solidFill>
                <a:schemeClr val="bg1"/>
              </a:solidFill>
            </a:rPr>
            <a:t> SALES</a:t>
          </a:r>
        </a:p>
      </xdr:txBody>
    </xdr:sp>
    <xdr:clientData/>
  </xdr:oneCellAnchor>
  <xdr:oneCellAnchor>
    <xdr:from>
      <xdr:col>5</xdr:col>
      <xdr:colOff>184828</xdr:colOff>
      <xdr:row>4</xdr:row>
      <xdr:rowOff>106680</xdr:rowOff>
    </xdr:from>
    <xdr:ext cx="1773335" cy="822960"/>
    <xdr:sp macro="" textlink="">
      <xdr:nvSpPr>
        <xdr:cNvPr id="4" name="TextBox 3">
          <a:extLst>
            <a:ext uri="{FF2B5EF4-FFF2-40B4-BE49-F238E27FC236}">
              <a16:creationId xmlns:a16="http://schemas.microsoft.com/office/drawing/2014/main" id="{8B8FE5B3-06F0-45C0-438C-E897257F3DC7}"/>
            </a:ext>
          </a:extLst>
        </xdr:cNvPr>
        <xdr:cNvSpPr txBox="1"/>
      </xdr:nvSpPr>
      <xdr:spPr>
        <a:xfrm>
          <a:off x="3241688" y="850959"/>
          <a:ext cx="1773335" cy="822960"/>
        </a:xfrm>
        <a:prstGeom prst="roundRect">
          <a:avLst/>
        </a:prstGeom>
        <a:solidFill>
          <a:schemeClr val="bg2">
            <a:lumMod val="1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b="1">
              <a:solidFill>
                <a:schemeClr val="bg1"/>
              </a:solidFill>
            </a:rPr>
            <a:t>TOTAL PROFIT</a:t>
          </a:r>
        </a:p>
      </xdr:txBody>
    </xdr:sp>
    <xdr:clientData/>
  </xdr:oneCellAnchor>
  <xdr:oneCellAnchor>
    <xdr:from>
      <xdr:col>8</xdr:col>
      <xdr:colOff>398366</xdr:colOff>
      <xdr:row>4</xdr:row>
      <xdr:rowOff>105439</xdr:rowOff>
    </xdr:from>
    <xdr:ext cx="1772447" cy="822960"/>
    <xdr:sp macro="" textlink="">
      <xdr:nvSpPr>
        <xdr:cNvPr id="5" name="TextBox 4">
          <a:extLst>
            <a:ext uri="{FF2B5EF4-FFF2-40B4-BE49-F238E27FC236}">
              <a16:creationId xmlns:a16="http://schemas.microsoft.com/office/drawing/2014/main" id="{D0094DCA-3062-F2CD-1243-CB8FE2C04BA7}"/>
            </a:ext>
          </a:extLst>
        </xdr:cNvPr>
        <xdr:cNvSpPr txBox="1"/>
      </xdr:nvSpPr>
      <xdr:spPr>
        <a:xfrm>
          <a:off x="5289343" y="849718"/>
          <a:ext cx="1772447" cy="822960"/>
        </a:xfrm>
        <a:prstGeom prst="roundRect">
          <a:avLst/>
        </a:prstGeom>
        <a:solidFill>
          <a:schemeClr val="bg2">
            <a:lumMod val="1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b="1">
              <a:solidFill>
                <a:schemeClr val="bg1"/>
              </a:solidFill>
            </a:rPr>
            <a:t>TOTAL ORDERS</a:t>
          </a:r>
        </a:p>
      </xdr:txBody>
    </xdr:sp>
    <xdr:clientData/>
  </xdr:oneCellAnchor>
  <xdr:oneCellAnchor>
    <xdr:from>
      <xdr:col>11</xdr:col>
      <xdr:colOff>608004</xdr:colOff>
      <xdr:row>4</xdr:row>
      <xdr:rowOff>105439</xdr:rowOff>
    </xdr:from>
    <xdr:ext cx="1775461" cy="830580"/>
    <xdr:sp macro="" textlink="">
      <xdr:nvSpPr>
        <xdr:cNvPr id="6" name="TextBox 5">
          <a:extLst>
            <a:ext uri="{FF2B5EF4-FFF2-40B4-BE49-F238E27FC236}">
              <a16:creationId xmlns:a16="http://schemas.microsoft.com/office/drawing/2014/main" id="{273F2F67-8B91-F2AC-5682-3E97BC60441F}"/>
            </a:ext>
          </a:extLst>
        </xdr:cNvPr>
        <xdr:cNvSpPr txBox="1"/>
      </xdr:nvSpPr>
      <xdr:spPr>
        <a:xfrm>
          <a:off x="7333097" y="849718"/>
          <a:ext cx="1775461" cy="830580"/>
        </a:xfrm>
        <a:prstGeom prst="roundRect">
          <a:avLst/>
        </a:prstGeom>
        <a:solidFill>
          <a:schemeClr val="bg2">
            <a:lumMod val="1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b="1">
              <a:solidFill>
                <a:schemeClr val="bg1"/>
              </a:solidFill>
            </a:rPr>
            <a:t>TOTAL QUANTITY</a:t>
          </a:r>
        </a:p>
      </xdr:txBody>
    </xdr:sp>
    <xdr:clientData/>
  </xdr:oneCellAnchor>
  <xdr:oneCellAnchor>
    <xdr:from>
      <xdr:col>2</xdr:col>
      <xdr:colOff>83086</xdr:colOff>
      <xdr:row>6</xdr:row>
      <xdr:rowOff>36985</xdr:rowOff>
    </xdr:from>
    <xdr:ext cx="1636856" cy="365787"/>
    <xdr:sp macro="" textlink="'pivot analysis'!B10">
      <xdr:nvSpPr>
        <xdr:cNvPr id="7" name="TextBox 6">
          <a:extLst>
            <a:ext uri="{FF2B5EF4-FFF2-40B4-BE49-F238E27FC236}">
              <a16:creationId xmlns:a16="http://schemas.microsoft.com/office/drawing/2014/main" id="{B0099C1C-F94D-2C66-FF83-5A1B9E1761E4}"/>
            </a:ext>
          </a:extLst>
        </xdr:cNvPr>
        <xdr:cNvSpPr txBox="1"/>
      </xdr:nvSpPr>
      <xdr:spPr>
        <a:xfrm>
          <a:off x="1302286" y="1147328"/>
          <a:ext cx="1636856" cy="365787"/>
        </a:xfrm>
        <a:prstGeom prst="rect">
          <a:avLst/>
        </a:prstGeom>
        <a:solidFill>
          <a:schemeClr val="bg2">
            <a:lumMod val="1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A81A314-766A-4400-A8D5-0C96FF500BA7}" type="TxLink">
            <a:rPr lang="en-US" sz="1600" b="1" i="0" u="none" strike="noStrike">
              <a:solidFill>
                <a:srgbClr val="FFFF00"/>
              </a:solidFill>
              <a:latin typeface="Calibri"/>
              <a:ea typeface="Calibri"/>
              <a:cs typeface="Calibri"/>
            </a:rPr>
            <a:pPr/>
            <a:t>₹ 1,98,94,235.70</a:t>
          </a:fld>
          <a:endParaRPr lang="en-IN" sz="1600" b="1">
            <a:solidFill>
              <a:srgbClr val="FFFF00"/>
            </a:solidFill>
          </a:endParaRPr>
        </a:p>
      </xdr:txBody>
    </xdr:sp>
    <xdr:clientData/>
  </xdr:oneCellAnchor>
  <xdr:oneCellAnchor>
    <xdr:from>
      <xdr:col>5</xdr:col>
      <xdr:colOff>389860</xdr:colOff>
      <xdr:row>6</xdr:row>
      <xdr:rowOff>62021</xdr:rowOff>
    </xdr:from>
    <xdr:ext cx="1373374" cy="345560"/>
    <xdr:sp macro="" textlink="'pivot analysis'!H8">
      <xdr:nvSpPr>
        <xdr:cNvPr id="8" name="TextBox 7">
          <a:extLst>
            <a:ext uri="{FF2B5EF4-FFF2-40B4-BE49-F238E27FC236}">
              <a16:creationId xmlns:a16="http://schemas.microsoft.com/office/drawing/2014/main" id="{C4AF5AA7-CFE7-7324-E1FE-B54F160733CF}"/>
            </a:ext>
          </a:extLst>
        </xdr:cNvPr>
        <xdr:cNvSpPr txBox="1"/>
      </xdr:nvSpPr>
      <xdr:spPr>
        <a:xfrm>
          <a:off x="3446720" y="1178440"/>
          <a:ext cx="1373374" cy="345560"/>
        </a:xfrm>
        <a:prstGeom prst="rect">
          <a:avLst/>
        </a:prstGeom>
        <a:solidFill>
          <a:schemeClr val="bg2">
            <a:lumMod val="1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757DD36-0DDC-429A-8769-E49FFB9CC527}" type="TxLink">
            <a:rPr lang="en-US" sz="1600" b="1" i="0" u="none" strike="noStrike">
              <a:solidFill>
                <a:srgbClr val="FFFF00"/>
              </a:solidFill>
              <a:latin typeface="Calibri"/>
              <a:ea typeface="Calibri"/>
              <a:cs typeface="Calibri"/>
            </a:rPr>
            <a:pPr/>
            <a:t>₹ 9,57,304.54</a:t>
          </a:fld>
          <a:endParaRPr lang="en-US" sz="1600" b="1">
            <a:solidFill>
              <a:srgbClr val="FFFF00"/>
            </a:solidFill>
          </a:endParaRPr>
        </a:p>
      </xdr:txBody>
    </xdr:sp>
    <xdr:clientData/>
  </xdr:oneCellAnchor>
  <xdr:oneCellAnchor>
    <xdr:from>
      <xdr:col>12</xdr:col>
      <xdr:colOff>97464</xdr:colOff>
      <xdr:row>6</xdr:row>
      <xdr:rowOff>70884</xdr:rowOff>
    </xdr:from>
    <xdr:ext cx="1612605" cy="342786"/>
    <xdr:sp macro="" textlink="'pivot analysis'!K9">
      <xdr:nvSpPr>
        <xdr:cNvPr id="9" name="TextBox 8">
          <a:extLst>
            <a:ext uri="{FF2B5EF4-FFF2-40B4-BE49-F238E27FC236}">
              <a16:creationId xmlns:a16="http://schemas.microsoft.com/office/drawing/2014/main" id="{A6CBEBD8-6102-FE63-FB0B-3C1776B11D8D}"/>
            </a:ext>
          </a:extLst>
        </xdr:cNvPr>
        <xdr:cNvSpPr txBox="1"/>
      </xdr:nvSpPr>
      <xdr:spPr>
        <a:xfrm>
          <a:off x="7433929" y="1187303"/>
          <a:ext cx="1612605" cy="342786"/>
        </a:xfrm>
        <a:prstGeom prst="rect">
          <a:avLst/>
        </a:prstGeom>
        <a:solidFill>
          <a:schemeClr val="bg2">
            <a:lumMod val="1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2AD5954E-BEAB-4286-9D89-4FC0CA59573F}" type="TxLink">
            <a:rPr lang="en-US" sz="1600" b="1" i="0" u="none" strike="noStrike">
              <a:solidFill>
                <a:srgbClr val="FFFF00"/>
              </a:solidFill>
              <a:latin typeface="Calibri"/>
              <a:ea typeface="Calibri"/>
              <a:cs typeface="Calibri"/>
            </a:rPr>
            <a:pPr algn="ctr"/>
            <a:t>2377</a:t>
          </a:fld>
          <a:endParaRPr lang="en-IN" sz="1600" b="1">
            <a:solidFill>
              <a:srgbClr val="FFFF00"/>
            </a:solidFill>
          </a:endParaRPr>
        </a:p>
      </xdr:txBody>
    </xdr:sp>
    <xdr:clientData/>
  </xdr:oneCellAnchor>
  <xdr:oneCellAnchor>
    <xdr:from>
      <xdr:col>9</xdr:col>
      <xdr:colOff>79745</xdr:colOff>
      <xdr:row>6</xdr:row>
      <xdr:rowOff>62023</xdr:rowOff>
    </xdr:from>
    <xdr:ext cx="1194824" cy="342786"/>
    <xdr:sp macro="" textlink="'pivot analysis'!N754">
      <xdr:nvSpPr>
        <xdr:cNvPr id="10" name="TextBox 9">
          <a:extLst>
            <a:ext uri="{FF2B5EF4-FFF2-40B4-BE49-F238E27FC236}">
              <a16:creationId xmlns:a16="http://schemas.microsoft.com/office/drawing/2014/main" id="{FD1B02B0-5102-49A1-0C02-B0736967BD9D}"/>
            </a:ext>
          </a:extLst>
        </xdr:cNvPr>
        <xdr:cNvSpPr txBox="1"/>
      </xdr:nvSpPr>
      <xdr:spPr>
        <a:xfrm>
          <a:off x="5582094" y="1178442"/>
          <a:ext cx="1194824" cy="342786"/>
        </a:xfrm>
        <a:prstGeom prst="rect">
          <a:avLst/>
        </a:prstGeom>
        <a:solidFill>
          <a:schemeClr val="bg2">
            <a:lumMod val="1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3FBF46CD-0BC7-41B6-80D3-F61E2EB25A12}" type="TxLink">
            <a:rPr lang="en-US" sz="1600" b="1" i="0" u="none" strike="noStrike">
              <a:solidFill>
                <a:srgbClr val="FFFF00"/>
              </a:solidFill>
              <a:latin typeface="Calibri"/>
              <a:ea typeface="Calibri"/>
              <a:cs typeface="Calibri"/>
            </a:rPr>
            <a:pPr algn="ctr"/>
            <a:t>750</a:t>
          </a:fld>
          <a:endParaRPr lang="en-IN" sz="1600" b="1">
            <a:solidFill>
              <a:srgbClr val="FFFF00"/>
            </a:solidFill>
          </a:endParaRPr>
        </a:p>
      </xdr:txBody>
    </xdr:sp>
    <xdr:clientData/>
  </xdr:oneCellAnchor>
  <xdr:twoCellAnchor>
    <xdr:from>
      <xdr:col>1</xdr:col>
      <xdr:colOff>593651</xdr:colOff>
      <xdr:row>9</xdr:row>
      <xdr:rowOff>159488</xdr:rowOff>
    </xdr:from>
    <xdr:to>
      <xdr:col>8</xdr:col>
      <xdr:colOff>177209</xdr:colOff>
      <xdr:row>20</xdr:row>
      <xdr:rowOff>168349</xdr:rowOff>
    </xdr:to>
    <xdr:graphicFrame macro="">
      <xdr:nvGraphicFramePr>
        <xdr:cNvPr id="12" name="Chart 11">
          <a:extLst>
            <a:ext uri="{FF2B5EF4-FFF2-40B4-BE49-F238E27FC236}">
              <a16:creationId xmlns:a16="http://schemas.microsoft.com/office/drawing/2014/main" id="{01A7244D-93E3-4B33-930E-CFDED5324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283535</xdr:colOff>
      <xdr:row>9</xdr:row>
      <xdr:rowOff>168348</xdr:rowOff>
    </xdr:from>
    <xdr:to>
      <xdr:col>14</xdr:col>
      <xdr:colOff>540489</xdr:colOff>
      <xdr:row>21</xdr:row>
      <xdr:rowOff>1</xdr:rowOff>
    </xdr:to>
    <xdr:graphicFrame macro="">
      <xdr:nvGraphicFramePr>
        <xdr:cNvPr id="13" name="Chart 12">
          <a:extLst>
            <a:ext uri="{FF2B5EF4-FFF2-40B4-BE49-F238E27FC236}">
              <a16:creationId xmlns:a16="http://schemas.microsoft.com/office/drawing/2014/main" id="{9064C968-C4E6-482F-A8E8-696C3A177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575930</xdr:colOff>
      <xdr:row>21</xdr:row>
      <xdr:rowOff>106326</xdr:rowOff>
    </xdr:from>
    <xdr:to>
      <xdr:col>8</xdr:col>
      <xdr:colOff>186070</xdr:colOff>
      <xdr:row>32</xdr:row>
      <xdr:rowOff>132907</xdr:rowOff>
    </xdr:to>
    <xdr:graphicFrame macro="">
      <xdr:nvGraphicFramePr>
        <xdr:cNvPr id="14" name="Chart 13">
          <a:extLst>
            <a:ext uri="{FF2B5EF4-FFF2-40B4-BE49-F238E27FC236}">
              <a16:creationId xmlns:a16="http://schemas.microsoft.com/office/drawing/2014/main" id="{675FF825-5087-48E9-BC36-4F2DD58D1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274674</xdr:colOff>
      <xdr:row>21</xdr:row>
      <xdr:rowOff>106326</xdr:rowOff>
    </xdr:from>
    <xdr:to>
      <xdr:col>14</xdr:col>
      <xdr:colOff>549350</xdr:colOff>
      <xdr:row>32</xdr:row>
      <xdr:rowOff>132907</xdr:rowOff>
    </xdr:to>
    <xdr:graphicFrame macro="">
      <xdr:nvGraphicFramePr>
        <xdr:cNvPr id="15" name="Chart 14">
          <a:extLst>
            <a:ext uri="{FF2B5EF4-FFF2-40B4-BE49-F238E27FC236}">
              <a16:creationId xmlns:a16="http://schemas.microsoft.com/office/drawing/2014/main" id="{6E24B7C6-9ED8-4906-A808-BF85CCA0F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217714</xdr:colOff>
      <xdr:row>12</xdr:row>
      <xdr:rowOff>174171</xdr:rowOff>
    </xdr:from>
    <xdr:to>
      <xdr:col>21</xdr:col>
      <xdr:colOff>283028</xdr:colOff>
      <xdr:row>32</xdr:row>
      <xdr:rowOff>97971</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DDC24FB2-AAF2-44AB-A69B-41058C27B69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90514" y="2394857"/>
              <a:ext cx="1894114" cy="3624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76199</xdr:colOff>
      <xdr:row>12</xdr:row>
      <xdr:rowOff>152400</xdr:rowOff>
    </xdr:from>
    <xdr:to>
      <xdr:col>18</xdr:col>
      <xdr:colOff>108857</xdr:colOff>
      <xdr:row>32</xdr:row>
      <xdr:rowOff>119742</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9A45B392-CA39-4F17-9A2C-776997906F6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220199" y="2373086"/>
              <a:ext cx="1861458" cy="3668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65313</xdr:colOff>
      <xdr:row>4</xdr:row>
      <xdr:rowOff>119743</xdr:rowOff>
    </xdr:from>
    <xdr:to>
      <xdr:col>21</xdr:col>
      <xdr:colOff>272142</xdr:colOff>
      <xdr:row>12</xdr:row>
      <xdr:rowOff>10886</xdr:rowOff>
    </xdr:to>
    <mc:AlternateContent xmlns:mc="http://schemas.openxmlformats.org/markup-compatibility/2006" xmlns:tsle="http://schemas.microsoft.com/office/drawing/2012/timeslicer">
      <mc:Choice Requires="tsle">
        <xdr:graphicFrame macro="">
          <xdr:nvGraphicFramePr>
            <xdr:cNvPr id="18" name="Order Date">
              <a:extLst>
                <a:ext uri="{FF2B5EF4-FFF2-40B4-BE49-F238E27FC236}">
                  <a16:creationId xmlns:a16="http://schemas.microsoft.com/office/drawing/2014/main" id="{C5107718-69E2-4ADE-B066-7E8DC6B5965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209313" y="836919"/>
              <a:ext cx="3864429" cy="132549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oyyiba Rzk" refreshedDate="46309.469930439816" createdVersion="8" refreshedVersion="8" minRefreshableVersion="3" recordCount="750" xr:uid="{9C23EB12-C1A6-4D9D-88E9-80E95C9CFBFB}">
  <cacheSource type="worksheet">
    <worksheetSource name="Table1_2"/>
  </cacheSource>
  <cacheFields count="23">
    <cacheField name="Row ID" numFmtId="0">
      <sharedItems containsSemiMixedTypes="0" containsString="0" containsNumber="1" containsInteger="1" minValue="1001" maxValue="1750"/>
    </cacheField>
    <cacheField name="Order ID" numFmtId="0">
      <sharedItems count="750">
        <s v="ORD-2024-00001"/>
        <s v="ORD-2024-00002"/>
        <s v="ORD-2024-00003"/>
        <s v="ORD-2024-00004"/>
        <s v="ORD-2024-00005"/>
        <s v="ORD-2024-00006"/>
        <s v="ORD-2024-00007"/>
        <s v="ORD-2024-00008"/>
        <s v="ORD-2024-00009"/>
        <s v="ORD-2024-00010"/>
        <s v="ORD-2024-00011"/>
        <s v="ORD-2024-00012"/>
        <s v="ORD-2024-00013"/>
        <s v="ORD-2024-00014"/>
        <s v="ORD-2024-00015"/>
        <s v="ORD-2024-00016"/>
        <s v="ORD-2024-00017"/>
        <s v="ORD-2024-00018"/>
        <s v="ORD-2024-00019"/>
        <s v="ORD-2024-00020"/>
        <s v="ORD-2024-00021"/>
        <s v="ORD-2024-00022"/>
        <s v="ORD-2024-00023"/>
        <s v="ORD-2024-00024"/>
        <s v="ORD-2024-00025"/>
        <s v="ORD-2024-00026"/>
        <s v="ORD-2024-00027"/>
        <s v="ORD-2024-00028"/>
        <s v="ORD-2024-00029"/>
        <s v="ORD-2024-00030"/>
        <s v="ORD-2024-00031"/>
        <s v="ORD-2024-00032"/>
        <s v="ORD-2024-00033"/>
        <s v="ORD-2024-00034"/>
        <s v="ORD-2024-00035"/>
        <s v="ORD-2024-00036"/>
        <s v="ORD-2024-00037"/>
        <s v="ORD-2024-00038"/>
        <s v="ORD-2024-00039"/>
        <s v="ORD-2024-00040"/>
        <s v="ORD-2024-00041"/>
        <s v="ORD-2024-00042"/>
        <s v="ORD-2024-00043"/>
        <s v="ORD-2024-00044"/>
        <s v="ORD-2024-00045"/>
        <s v="ORD-2024-00046"/>
        <s v="ORD-2024-00047"/>
        <s v="ORD-2024-00048"/>
        <s v="ORD-2024-00049"/>
        <s v="ORD-2024-00050"/>
        <s v="ORD-2024-00051"/>
        <s v="ORD-2024-00052"/>
        <s v="ORD-2024-00053"/>
        <s v="ORD-2024-00054"/>
        <s v="ORD-2024-00055"/>
        <s v="ORD-2024-00056"/>
        <s v="ORD-2024-00057"/>
        <s v="ORD-2024-00058"/>
        <s v="ORD-2024-00059"/>
        <s v="ORD-2024-00060"/>
        <s v="ORD-2024-00061"/>
        <s v="ORD-2024-00062"/>
        <s v="ORD-2024-00063"/>
        <s v="ORD-2024-00064"/>
        <s v="ORD-2024-00065"/>
        <s v="ORD-2024-00066"/>
        <s v="ORD-2024-00067"/>
        <s v="ORD-2024-00068"/>
        <s v="ORD-2024-00069"/>
        <s v="ORD-2024-00070"/>
        <s v="ORD-2024-00071"/>
        <s v="ORD-2024-00072"/>
        <s v="ORD-2024-00073"/>
        <s v="ORD-2024-00074"/>
        <s v="ORD-2024-00075"/>
        <s v="ORD-2024-00076"/>
        <s v="ORD-2024-00077"/>
        <s v="ORD-2024-00078"/>
        <s v="ORD-2024-00079"/>
        <s v="ORD-2024-00080"/>
        <s v="ORD-2024-00081"/>
        <s v="ORD-2024-00082"/>
        <s v="ORD-2024-00083"/>
        <s v="ORD-2024-00084"/>
        <s v="ORD-2024-00085"/>
        <s v="ORD-2024-00086"/>
        <s v="ORD-2024-00087"/>
        <s v="ORD-2024-00088"/>
        <s v="ORD-2024-00089"/>
        <s v="ORD-2024-00090"/>
        <s v="ORD-2024-00091"/>
        <s v="ORD-2024-00092"/>
        <s v="ORD-2024-00093"/>
        <s v="ORD-2024-00094"/>
        <s v="ORD-2024-00095"/>
        <s v="ORD-2024-00096"/>
        <s v="ORD-2024-00097"/>
        <s v="ORD-2024-00098"/>
        <s v="ORD-2024-00099"/>
        <s v="ORD-2024-00100"/>
        <s v="ORD-2024-00101"/>
        <s v="ORD-2024-00102"/>
        <s v="ORD-2024-00103"/>
        <s v="ORD-2024-00104"/>
        <s v="ORD-2024-00105"/>
        <s v="ORD-2024-00106"/>
        <s v="ORD-2024-00107"/>
        <s v="ORD-2024-00108"/>
        <s v="ORD-2024-00109"/>
        <s v="ORD-2024-00110"/>
        <s v="ORD-2024-00111"/>
        <s v="ORD-2024-00112"/>
        <s v="ORD-2024-00113"/>
        <s v="ORD-2024-00114"/>
        <s v="ORD-2024-00115"/>
        <s v="ORD-2024-00116"/>
        <s v="ORD-2024-00117"/>
        <s v="ORD-2024-00118"/>
        <s v="ORD-2024-00119"/>
        <s v="ORD-2024-00120"/>
        <s v="ORD-2024-00121"/>
        <s v="ORD-2024-00122"/>
        <s v="ORD-2024-00123"/>
        <s v="ORD-2024-00124"/>
        <s v="ORD-2024-00125"/>
        <s v="ORD-2024-00126"/>
        <s v="ORD-2024-00127"/>
        <s v="ORD-2024-00128"/>
        <s v="ORD-2024-00129"/>
        <s v="ORD-2024-00130"/>
        <s v="ORD-2024-00131"/>
        <s v="ORD-2024-00132"/>
        <s v="ORD-2024-00133"/>
        <s v="ORD-2024-00134"/>
        <s v="ORD-2024-00135"/>
        <s v="ORD-2024-00136"/>
        <s v="ORD-2024-00137"/>
        <s v="ORD-2024-00138"/>
        <s v="ORD-2024-00139"/>
        <s v="ORD-2024-00140"/>
        <s v="ORD-2024-00141"/>
        <s v="ORD-2024-00142"/>
        <s v="ORD-2024-00143"/>
        <s v="ORD-2024-00144"/>
        <s v="ORD-2024-00145"/>
        <s v="ORD-2024-00146"/>
        <s v="ORD-2024-00147"/>
        <s v="ORD-2024-00148"/>
        <s v="ORD-2024-00149"/>
        <s v="ORD-2024-00150"/>
        <s v="ORD-2024-00151"/>
        <s v="ORD-2024-00152"/>
        <s v="ORD-2024-00153"/>
        <s v="ORD-2024-00154"/>
        <s v="ORD-2024-00155"/>
        <s v="ORD-2024-00156"/>
        <s v="ORD-2024-00157"/>
        <s v="ORD-2024-00158"/>
        <s v="ORD-2024-00159"/>
        <s v="ORD-2024-00160"/>
        <s v="ORD-2024-00161"/>
        <s v="ORD-2024-00162"/>
        <s v="ORD-2024-00163"/>
        <s v="ORD-2024-00164"/>
        <s v="ORD-2024-00165"/>
        <s v="ORD-2024-00166"/>
        <s v="ORD-2024-00167"/>
        <s v="ORD-2024-00168"/>
        <s v="ORD-2024-00169"/>
        <s v="ORD-2024-00170"/>
        <s v="ORD-2024-00171"/>
        <s v="ORD-2024-00172"/>
        <s v="ORD-2024-00173"/>
        <s v="ORD-2024-00174"/>
        <s v="ORD-2024-00175"/>
        <s v="ORD-2024-00176"/>
        <s v="ORD-2024-00177"/>
        <s v="ORD-2024-00178"/>
        <s v="ORD-2024-00179"/>
        <s v="ORD-2024-00180"/>
        <s v="ORD-2024-00181"/>
        <s v="ORD-2024-00182"/>
        <s v="ORD-2024-00183"/>
        <s v="ORD-2024-00184"/>
        <s v="ORD-2024-00185"/>
        <s v="ORD-2024-00186"/>
        <s v="ORD-2024-00187"/>
        <s v="ORD-2024-00188"/>
        <s v="ORD-2024-00189"/>
        <s v="ORD-2024-00190"/>
        <s v="ORD-2024-00191"/>
        <s v="ORD-2024-00192"/>
        <s v="ORD-2024-00193"/>
        <s v="ORD-2024-00194"/>
        <s v="ORD-2024-00195"/>
        <s v="ORD-2024-00196"/>
        <s v="ORD-2024-00197"/>
        <s v="ORD-2024-00198"/>
        <s v="ORD-2024-00199"/>
        <s v="ORD-2024-00200"/>
        <s v="ORD-2024-00201"/>
        <s v="ORD-2024-00202"/>
        <s v="ORD-2024-00203"/>
        <s v="ORD-2024-00204"/>
        <s v="ORD-2024-00205"/>
        <s v="ORD-2024-00206"/>
        <s v="ORD-2024-00207"/>
        <s v="ORD-2024-00208"/>
        <s v="ORD-2024-00209"/>
        <s v="ORD-2024-00210"/>
        <s v="ORD-2024-00211"/>
        <s v="ORD-2024-00212"/>
        <s v="ORD-2024-00213"/>
        <s v="ORD-2024-00214"/>
        <s v="ORD-2024-00215"/>
        <s v="ORD-2024-00216"/>
        <s v="ORD-2024-00217"/>
        <s v="ORD-2024-00218"/>
        <s v="ORD-2024-00219"/>
        <s v="ORD-2024-00220"/>
        <s v="ORD-2024-00221"/>
        <s v="ORD-2024-00222"/>
        <s v="ORD-2024-00223"/>
        <s v="ORD-2024-00224"/>
        <s v="ORD-2024-00225"/>
        <s v="ORD-2024-00226"/>
        <s v="ORD-2024-00227"/>
        <s v="ORD-2024-00228"/>
        <s v="ORD-2024-00229"/>
        <s v="ORD-2024-00230"/>
        <s v="ORD-2024-00231"/>
        <s v="ORD-2024-00232"/>
        <s v="ORD-2024-00233"/>
        <s v="ORD-2024-00234"/>
        <s v="ORD-2024-00235"/>
        <s v="ORD-2024-00236"/>
        <s v="ORD-2024-00237"/>
        <s v="ORD-2024-00238"/>
        <s v="ORD-2024-00239"/>
        <s v="ORD-2024-00240"/>
        <s v="ORD-2024-00241"/>
        <s v="ORD-2024-00242"/>
        <s v="ORD-2024-00243"/>
        <s v="ORD-2024-00244"/>
        <s v="ORD-2024-00245"/>
        <s v="ORD-2024-00246"/>
        <s v="ORD-2024-00247"/>
        <s v="ORD-2024-00248"/>
        <s v="ORD-2024-00249"/>
        <s v="ORD-2024-00250"/>
        <s v="ORD-2024-00251"/>
        <s v="ORD-2024-00252"/>
        <s v="ORD-2024-00253"/>
        <s v="ORD-2024-00254"/>
        <s v="ORD-2024-00255"/>
        <s v="ORD-2024-00256"/>
        <s v="ORD-2024-00257"/>
        <s v="ORD-2024-00258"/>
        <s v="ORD-2024-00259"/>
        <s v="ORD-2024-00260"/>
        <s v="ORD-2024-00261"/>
        <s v="ORD-2024-00262"/>
        <s v="ORD-2024-00263"/>
        <s v="ORD-2024-00264"/>
        <s v="ORD-2024-00265"/>
        <s v="ORD-2024-00266"/>
        <s v="ORD-2024-00267"/>
        <s v="ORD-2024-00268"/>
        <s v="ORD-2024-00269"/>
        <s v="ORD-2024-00270"/>
        <s v="ORD-2024-00271"/>
        <s v="ORD-2024-00272"/>
        <s v="ORD-2024-00273"/>
        <s v="ORD-2024-00274"/>
        <s v="ORD-2024-00275"/>
        <s v="ORD-2024-00276"/>
        <s v="ORD-2024-00277"/>
        <s v="ORD-2024-00278"/>
        <s v="ORD-2024-00279"/>
        <s v="ORD-2024-00280"/>
        <s v="ORD-2024-00281"/>
        <s v="ORD-2024-00282"/>
        <s v="ORD-2024-00283"/>
        <s v="ORD-2024-00284"/>
        <s v="ORD-2024-00285"/>
        <s v="ORD-2024-00286"/>
        <s v="ORD-2024-00287"/>
        <s v="ORD-2024-00288"/>
        <s v="ORD-2024-00289"/>
        <s v="ORD-2024-00290"/>
        <s v="ORD-2024-00291"/>
        <s v="ORD-2024-00292"/>
        <s v="ORD-2024-00293"/>
        <s v="ORD-2024-00294"/>
        <s v="ORD-2024-00295"/>
        <s v="ORD-2024-00296"/>
        <s v="ORD-2024-00297"/>
        <s v="ORD-2024-00298"/>
        <s v="ORD-2024-00299"/>
        <s v="ORD-2024-00300"/>
        <s v="ORD-2024-00301"/>
        <s v="ORD-2024-00302"/>
        <s v="ORD-2024-00303"/>
        <s v="ORD-2024-00304"/>
        <s v="ORD-2024-00305"/>
        <s v="ORD-2024-00306"/>
        <s v="ORD-2024-00307"/>
        <s v="ORD-2024-00308"/>
        <s v="ORD-2024-00309"/>
        <s v="ORD-2024-00310"/>
        <s v="ORD-2024-00311"/>
        <s v="ORD-2024-00312"/>
        <s v="ORD-2024-00313"/>
        <s v="ORD-2024-00314"/>
        <s v="ORD-2024-00315"/>
        <s v="ORD-2024-00316"/>
        <s v="ORD-2024-00317"/>
        <s v="ORD-2024-00318"/>
        <s v="ORD-2024-00319"/>
        <s v="ORD-2024-00320"/>
        <s v="ORD-2024-00321"/>
        <s v="ORD-2024-00322"/>
        <s v="ORD-2024-00323"/>
        <s v="ORD-2024-00324"/>
        <s v="ORD-2024-00325"/>
        <s v="ORD-2024-00326"/>
        <s v="ORD-2024-00327"/>
        <s v="ORD-2024-00328"/>
        <s v="ORD-2024-00329"/>
        <s v="ORD-2024-00330"/>
        <s v="ORD-2024-00331"/>
        <s v="ORD-2024-00332"/>
        <s v="ORD-2024-00333"/>
        <s v="ORD-2024-00334"/>
        <s v="ORD-2024-00335"/>
        <s v="ORD-2024-00336"/>
        <s v="ORD-2024-00337"/>
        <s v="ORD-2024-00338"/>
        <s v="ORD-2024-00339"/>
        <s v="ORD-2024-00340"/>
        <s v="ORD-2024-00341"/>
        <s v="ORD-2024-00342"/>
        <s v="ORD-2024-00343"/>
        <s v="ORD-2024-00344"/>
        <s v="ORD-2024-00345"/>
        <s v="ORD-2024-00346"/>
        <s v="ORD-2024-00347"/>
        <s v="ORD-2024-00348"/>
        <s v="ORD-2024-00349"/>
        <s v="ORD-2024-00350"/>
        <s v="ORD-2024-00351"/>
        <s v="ORD-2024-00352"/>
        <s v="ORD-2024-00353"/>
        <s v="ORD-2024-00354"/>
        <s v="ORD-2024-00355"/>
        <s v="ORD-2024-00356"/>
        <s v="ORD-2024-00357"/>
        <s v="ORD-2024-00358"/>
        <s v="ORD-2024-00359"/>
        <s v="ORD-2024-00360"/>
        <s v="ORD-2024-00361"/>
        <s v="ORD-2024-00362"/>
        <s v="ORD-2024-00363"/>
        <s v="ORD-2024-00364"/>
        <s v="ORD-2024-00365"/>
        <s v="ORD-2024-00366"/>
        <s v="ORD-2024-00367"/>
        <s v="ORD-2024-00368"/>
        <s v="ORD-2024-00369"/>
        <s v="ORD-2024-00370"/>
        <s v="ORD-2024-00371"/>
        <s v="ORD-2024-00372"/>
        <s v="ORD-2024-00373"/>
        <s v="ORD-2024-00374"/>
        <s v="ORD-2024-00375"/>
        <s v="ORD-2024-00376"/>
        <s v="ORD-2024-00377"/>
        <s v="ORD-2024-00378"/>
        <s v="ORD-2024-00379"/>
        <s v="ORD-2024-00380"/>
        <s v="ORD-2024-00381"/>
        <s v="ORD-2024-00382"/>
        <s v="ORD-2024-00383"/>
        <s v="ORD-2024-00384"/>
        <s v="ORD-2024-00385"/>
        <s v="ORD-2024-00386"/>
        <s v="ORD-2024-00387"/>
        <s v="ORD-2024-00388"/>
        <s v="ORD-2024-00389"/>
        <s v="ORD-2024-00390"/>
        <s v="ORD-2024-00391"/>
        <s v="ORD-2024-00392"/>
        <s v="ORD-2024-00393"/>
        <s v="ORD-2024-00394"/>
        <s v="ORD-2024-00395"/>
        <s v="ORD-2024-00396"/>
        <s v="ORD-2024-00397"/>
        <s v="ORD-2024-00398"/>
        <s v="ORD-2024-00399"/>
        <s v="ORD-2024-00400"/>
        <s v="ORD-2024-00401"/>
        <s v="ORD-2024-00402"/>
        <s v="ORD-2024-00403"/>
        <s v="ORD-2024-00404"/>
        <s v="ORD-2024-00405"/>
        <s v="ORD-2024-00406"/>
        <s v="ORD-2024-00407"/>
        <s v="ORD-2024-00408"/>
        <s v="ORD-2024-00409"/>
        <s v="ORD-2024-00410"/>
        <s v="ORD-2024-00411"/>
        <s v="ORD-2024-00412"/>
        <s v="ORD-2024-00413"/>
        <s v="ORD-2024-00414"/>
        <s v="ORD-2024-00415"/>
        <s v="ORD-2024-00416"/>
        <s v="ORD-2024-00417"/>
        <s v="ORD-2024-00418"/>
        <s v="ORD-2024-00419"/>
        <s v="ORD-2024-00420"/>
        <s v="ORD-2024-00421"/>
        <s v="ORD-2024-00422"/>
        <s v="ORD-2024-00423"/>
        <s v="ORD-2024-00424"/>
        <s v="ORD-2024-00425"/>
        <s v="ORD-2024-00426"/>
        <s v="ORD-2024-00427"/>
        <s v="ORD-2024-00428"/>
        <s v="ORD-2024-00429"/>
        <s v="ORD-2024-00430"/>
        <s v="ORD-2024-00431"/>
        <s v="ORD-2024-00432"/>
        <s v="ORD-2024-00433"/>
        <s v="ORD-2024-00434"/>
        <s v="ORD-2024-00435"/>
        <s v="ORD-2024-00436"/>
        <s v="ORD-2024-00437"/>
        <s v="ORD-2024-00438"/>
        <s v="ORD-2024-00439"/>
        <s v="ORD-2024-00440"/>
        <s v="ORD-2024-00441"/>
        <s v="ORD-2024-00442"/>
        <s v="ORD-2024-00443"/>
        <s v="ORD-2024-00444"/>
        <s v="ORD-2024-00445"/>
        <s v="ORD-2024-00446"/>
        <s v="ORD-2024-00447"/>
        <s v="ORD-2024-00448"/>
        <s v="ORD-2024-00449"/>
        <s v="ORD-2024-00450"/>
        <s v="ORD-2024-00451"/>
        <s v="ORD-2024-00452"/>
        <s v="ORD-2024-00453"/>
        <s v="ORD-2024-00454"/>
        <s v="ORD-2024-00455"/>
        <s v="ORD-2024-00456"/>
        <s v="ORD-2024-00457"/>
        <s v="ORD-2024-00458"/>
        <s v="ORD-2024-00459"/>
        <s v="ORD-2024-00460"/>
        <s v="ORD-2024-00461"/>
        <s v="ORD-2024-00462"/>
        <s v="ORD-2024-00463"/>
        <s v="ORD-2024-00464"/>
        <s v="ORD-2024-00465"/>
        <s v="ORD-2024-00466"/>
        <s v="ORD-2024-00467"/>
        <s v="ORD-2024-00468"/>
        <s v="ORD-2024-00469"/>
        <s v="ORD-2024-00470"/>
        <s v="ORD-2024-00471"/>
        <s v="ORD-2024-00472"/>
        <s v="ORD-2024-00473"/>
        <s v="ORD-2024-00474"/>
        <s v="ORD-2024-00475"/>
        <s v="ORD-2024-00476"/>
        <s v="ORD-2024-00477"/>
        <s v="ORD-2024-00478"/>
        <s v="ORD-2024-00479"/>
        <s v="ORD-2024-00480"/>
        <s v="ORD-2024-00481"/>
        <s v="ORD-2024-00482"/>
        <s v="ORD-2024-00483"/>
        <s v="ORD-2024-00484"/>
        <s v="ORD-2024-00485"/>
        <s v="ORD-2024-00486"/>
        <s v="ORD-2024-00487"/>
        <s v="ORD-2024-00488"/>
        <s v="ORD-2024-00489"/>
        <s v="ORD-2024-00490"/>
        <s v="ORD-2024-00491"/>
        <s v="ORD-2024-00492"/>
        <s v="ORD-2024-00493"/>
        <s v="ORD-2024-00494"/>
        <s v="ORD-2024-00495"/>
        <s v="ORD-2024-00496"/>
        <s v="ORD-2024-00497"/>
        <s v="ORD-2024-00498"/>
        <s v="ORD-2024-00499"/>
        <s v="ORD-2024-00500"/>
        <s v="ORD-2024-00501"/>
        <s v="ORD-2024-00502"/>
        <s v="ORD-2024-00503"/>
        <s v="ORD-2024-00504"/>
        <s v="ORD-2024-00505"/>
        <s v="ORD-2024-00506"/>
        <s v="ORD-2024-00507"/>
        <s v="ORD-2024-00508"/>
        <s v="ORD-2024-00509"/>
        <s v="ORD-2024-00510"/>
        <s v="ORD-2024-00511"/>
        <s v="ORD-2024-00512"/>
        <s v="ORD-2024-00513"/>
        <s v="ORD-2024-00514"/>
        <s v="ORD-2024-00515"/>
        <s v="ORD-2024-00516"/>
        <s v="ORD-2024-00517"/>
        <s v="ORD-2024-00518"/>
        <s v="ORD-2024-00519"/>
        <s v="ORD-2024-00520"/>
        <s v="ORD-2024-00521"/>
        <s v="ORD-2024-00522"/>
        <s v="ORD-2024-00523"/>
        <s v="ORD-2024-00524"/>
        <s v="ORD-2024-00525"/>
        <s v="ORD-2024-00526"/>
        <s v="ORD-2024-00527"/>
        <s v="ORD-2024-00528"/>
        <s v="ORD-2024-00529"/>
        <s v="ORD-2024-00530"/>
        <s v="ORD-2024-00531"/>
        <s v="ORD-2024-00532"/>
        <s v="ORD-2024-00533"/>
        <s v="ORD-2024-00534"/>
        <s v="ORD-2024-00535"/>
        <s v="ORD-2024-00536"/>
        <s v="ORD-2024-00537"/>
        <s v="ORD-2024-00538"/>
        <s v="ORD-2024-00539"/>
        <s v="ORD-2024-00540"/>
        <s v="ORD-2024-00541"/>
        <s v="ORD-2024-00542"/>
        <s v="ORD-2024-00543"/>
        <s v="ORD-2024-00544"/>
        <s v="ORD-2024-00545"/>
        <s v="ORD-2024-00546"/>
        <s v="ORD-2024-00547"/>
        <s v="ORD-2024-00548"/>
        <s v="ORD-2024-00549"/>
        <s v="ORD-2024-00550"/>
        <s v="ORD-2024-00551"/>
        <s v="ORD-2024-00552"/>
        <s v="ORD-2024-00553"/>
        <s v="ORD-2024-00554"/>
        <s v="ORD-2024-00555"/>
        <s v="ORD-2024-00556"/>
        <s v="ORD-2024-00557"/>
        <s v="ORD-2024-00558"/>
        <s v="ORD-2024-00559"/>
        <s v="ORD-2024-00560"/>
        <s v="ORD-2024-00561"/>
        <s v="ORD-2024-00562"/>
        <s v="ORD-2024-00563"/>
        <s v="ORD-2024-00564"/>
        <s v="ORD-2024-00565"/>
        <s v="ORD-2024-00566"/>
        <s v="ORD-2024-00567"/>
        <s v="ORD-2024-00568"/>
        <s v="ORD-2024-00569"/>
        <s v="ORD-2024-00570"/>
        <s v="ORD-2024-00571"/>
        <s v="ORD-2024-00572"/>
        <s v="ORD-2024-00573"/>
        <s v="ORD-2024-00574"/>
        <s v="ORD-2024-00575"/>
        <s v="ORD-2024-00576"/>
        <s v="ORD-2024-00577"/>
        <s v="ORD-2024-00578"/>
        <s v="ORD-2024-00579"/>
        <s v="ORD-2024-00580"/>
        <s v="ORD-2024-00581"/>
        <s v="ORD-2024-00582"/>
        <s v="ORD-2024-00583"/>
        <s v="ORD-2024-00584"/>
        <s v="ORD-2024-00585"/>
        <s v="ORD-2024-00586"/>
        <s v="ORD-2024-00587"/>
        <s v="ORD-2024-00588"/>
        <s v="ORD-2024-00589"/>
        <s v="ORD-2024-00590"/>
        <s v="ORD-2024-00591"/>
        <s v="ORD-2024-00592"/>
        <s v="ORD-2024-00593"/>
        <s v="ORD-2024-00594"/>
        <s v="ORD-2024-00595"/>
        <s v="ORD-2024-00596"/>
        <s v="ORD-2024-00597"/>
        <s v="ORD-2024-00598"/>
        <s v="ORD-2024-00599"/>
        <s v="ORD-2024-00600"/>
        <s v="ORD-2024-00601"/>
        <s v="ORD-2024-00602"/>
        <s v="ORD-2024-00603"/>
        <s v="ORD-2024-00604"/>
        <s v="ORD-2024-00605"/>
        <s v="ORD-2024-00606"/>
        <s v="ORD-2024-00607"/>
        <s v="ORD-2024-00608"/>
        <s v="ORD-2024-00609"/>
        <s v="ORD-2024-00610"/>
        <s v="ORD-2024-00611"/>
        <s v="ORD-2024-00612"/>
        <s v="ORD-2024-00613"/>
        <s v="ORD-2024-00614"/>
        <s v="ORD-2024-00615"/>
        <s v="ORD-2024-00616"/>
        <s v="ORD-2024-00617"/>
        <s v="ORD-2024-00618"/>
        <s v="ORD-2024-00619"/>
        <s v="ORD-2024-00620"/>
        <s v="ORD-2024-00621"/>
        <s v="ORD-2024-00622"/>
        <s v="ORD-2024-00623"/>
        <s v="ORD-2024-00624"/>
        <s v="ORD-2024-00625"/>
        <s v="ORD-2024-00626"/>
        <s v="ORD-2024-00627"/>
        <s v="ORD-2024-00628"/>
        <s v="ORD-2024-00629"/>
        <s v="ORD-2024-00630"/>
        <s v="ORD-2024-00631"/>
        <s v="ORD-2024-00632"/>
        <s v="ORD-2024-00633"/>
        <s v="ORD-2024-00634"/>
        <s v="ORD-2024-00635"/>
        <s v="ORD-2024-00636"/>
        <s v="ORD-2024-00637"/>
        <s v="ORD-2024-00638"/>
        <s v="ORD-2024-00639"/>
        <s v="ORD-2024-00640"/>
        <s v="ORD-2024-00641"/>
        <s v="ORD-2024-00642"/>
        <s v="ORD-2024-00643"/>
        <s v="ORD-2024-00644"/>
        <s v="ORD-2024-00645"/>
        <s v="ORD-2024-00646"/>
        <s v="ORD-2024-00647"/>
        <s v="ORD-2024-00648"/>
        <s v="ORD-2024-00649"/>
        <s v="ORD-2024-00650"/>
        <s v="ORD-2024-00651"/>
        <s v="ORD-2024-00652"/>
        <s v="ORD-2024-00653"/>
        <s v="ORD-2024-00654"/>
        <s v="ORD-2024-00655"/>
        <s v="ORD-2024-00656"/>
        <s v="ORD-2024-00657"/>
        <s v="ORD-2024-00658"/>
        <s v="ORD-2024-00659"/>
        <s v="ORD-2024-00660"/>
        <s v="ORD-2024-00661"/>
        <s v="ORD-2024-00662"/>
        <s v="ORD-2024-00663"/>
        <s v="ORD-2024-00664"/>
        <s v="ORD-2024-00665"/>
        <s v="ORD-2024-00666"/>
        <s v="ORD-2024-00667"/>
        <s v="ORD-2024-00668"/>
        <s v="ORD-2024-00669"/>
        <s v="ORD-2024-00670"/>
        <s v="ORD-2024-00671"/>
        <s v="ORD-2024-00672"/>
        <s v="ORD-2024-00673"/>
        <s v="ORD-2024-00674"/>
        <s v="ORD-2024-00675"/>
        <s v="ORD-2024-00676"/>
        <s v="ORD-2024-00677"/>
        <s v="ORD-2024-00678"/>
        <s v="ORD-2024-00679"/>
        <s v="ORD-2024-00680"/>
        <s v="ORD-2024-00681"/>
        <s v="ORD-2024-00682"/>
        <s v="ORD-2024-00683"/>
        <s v="ORD-2024-00684"/>
        <s v="ORD-2024-00685"/>
        <s v="ORD-2024-00686"/>
        <s v="ORD-2024-00687"/>
        <s v="ORD-2024-00688"/>
        <s v="ORD-2024-00689"/>
        <s v="ORD-2024-00690"/>
        <s v="ORD-2024-00691"/>
        <s v="ORD-2024-00692"/>
        <s v="ORD-2024-00693"/>
        <s v="ORD-2024-00694"/>
        <s v="ORD-2024-00695"/>
        <s v="ORD-2024-00696"/>
        <s v="ORD-2024-00697"/>
        <s v="ORD-2024-00698"/>
        <s v="ORD-2024-00699"/>
        <s v="ORD-2024-00700"/>
        <s v="ORD-2024-00701"/>
        <s v="ORD-2024-00702"/>
        <s v="ORD-2024-00703"/>
        <s v="ORD-2024-00704"/>
        <s v="ORD-2024-00705"/>
        <s v="ORD-2024-00706"/>
        <s v="ORD-2024-00707"/>
        <s v="ORD-2024-00708"/>
        <s v="ORD-2024-00709"/>
        <s v="ORD-2024-00710"/>
        <s v="ORD-2024-00711"/>
        <s v="ORD-2024-00712"/>
        <s v="ORD-2024-00713"/>
        <s v="ORD-2024-00714"/>
        <s v="ORD-2024-00715"/>
        <s v="ORD-2024-00716"/>
        <s v="ORD-2024-00717"/>
        <s v="ORD-2024-00718"/>
        <s v="ORD-2024-00719"/>
        <s v="ORD-2024-00720"/>
        <s v="ORD-2024-00721"/>
        <s v="ORD-2024-00722"/>
        <s v="ORD-2024-00723"/>
        <s v="ORD-2024-00724"/>
        <s v="ORD-2024-00725"/>
        <s v="ORD-2024-00726"/>
        <s v="ORD-2024-00727"/>
        <s v="ORD-2024-00728"/>
        <s v="ORD-2024-00729"/>
        <s v="ORD-2024-00730"/>
        <s v="ORD-2024-00731"/>
        <s v="ORD-2024-00732"/>
        <s v="ORD-2024-00733"/>
        <s v="ORD-2024-00734"/>
        <s v="ORD-2024-00735"/>
        <s v="ORD-2024-00736"/>
        <s v="ORD-2024-00737"/>
        <s v="ORD-2024-00738"/>
        <s v="ORD-2024-00739"/>
        <s v="ORD-2024-00740"/>
        <s v="ORD-2024-00741"/>
        <s v="ORD-2024-00742"/>
        <s v="ORD-2024-00743"/>
        <s v="ORD-2024-00744"/>
        <s v="ORD-2024-00745"/>
        <s v="ORD-2024-00746"/>
        <s v="ORD-2024-00747"/>
        <s v="ORD-2024-00748"/>
        <s v="ORD-2024-00749"/>
        <s v="ORD-2024-00750"/>
      </sharedItems>
    </cacheField>
    <cacheField name="Order Date" numFmtId="22">
      <sharedItems containsSemiMixedTypes="0" containsNonDate="0" containsDate="1" containsString="0" minDate="2024-01-02T00:00:00" maxDate="2024-12-31T00:00:00" count="316">
        <d v="2024-03-12T00:00:00"/>
        <d v="2024-10-14T00:00:00"/>
        <d v="2024-05-22T00:00:00"/>
        <d v="2024-08-23T00:00:00"/>
        <d v="2024-12-26T00:00:00"/>
        <d v="2024-03-24T00:00:00"/>
        <d v="2024-06-10T00:00:00"/>
        <d v="2024-05-15T00:00:00"/>
        <d v="2024-09-17T00:00:00"/>
        <d v="2024-07-14T00:00:00"/>
        <d v="2024-02-27T00:00:00"/>
        <d v="2024-11-16T00:00:00"/>
        <d v="2024-03-06T00:00:00"/>
        <d v="2024-06-08T00:00:00"/>
        <d v="2024-10-28T00:00:00"/>
        <d v="2024-12-08T00:00:00"/>
        <d v="2024-06-30T00:00:00"/>
        <d v="2024-05-07T00:00:00"/>
        <d v="2024-10-08T00:00:00"/>
        <d v="2024-07-24T00:00:00"/>
        <d v="2024-03-20T00:00:00"/>
        <d v="2024-01-30T00:00:00"/>
        <d v="2024-10-23T00:00:00"/>
        <d v="2024-05-02T00:00:00"/>
        <d v="2024-02-07T00:00:00"/>
        <d v="2024-11-09T00:00:00"/>
        <d v="2024-05-19T00:00:00"/>
        <d v="2024-02-17T00:00:00"/>
        <d v="2024-10-09T00:00:00"/>
        <d v="2024-08-08T00:00:00"/>
        <d v="2024-11-13T00:00:00"/>
        <d v="2024-06-19T00:00:00"/>
        <d v="2024-06-28T00:00:00"/>
        <d v="2024-11-24T00:00:00"/>
        <d v="2024-02-25T00:00:00"/>
        <d v="2024-01-23T00:00:00"/>
        <d v="2024-06-02T00:00:00"/>
        <d v="2024-12-12T00:00:00"/>
        <d v="2024-08-26T00:00:00"/>
        <d v="2024-08-21T00:00:00"/>
        <d v="2024-08-05T00:00:00"/>
        <d v="2024-12-07T00:00:00"/>
        <d v="2024-03-22T00:00:00"/>
        <d v="2024-05-20T00:00:00"/>
        <d v="2024-07-15T00:00:00"/>
        <d v="2024-07-18T00:00:00"/>
        <d v="2024-10-02T00:00:00"/>
        <d v="2024-03-25T00:00:00"/>
        <d v="2024-08-24T00:00:00"/>
        <d v="2024-05-09T00:00:00"/>
        <d v="2024-06-05T00:00:00"/>
        <d v="2024-07-07T00:00:00"/>
        <d v="2024-07-22T00:00:00"/>
        <d v="2024-10-16T00:00:00"/>
        <d v="2024-02-24T00:00:00"/>
        <d v="2024-11-11T00:00:00"/>
        <d v="2024-05-04T00:00:00"/>
        <d v="2024-05-23T00:00:00"/>
        <d v="2024-11-26T00:00:00"/>
        <d v="2024-08-30T00:00:00"/>
        <d v="2024-04-09T00:00:00"/>
        <d v="2024-12-23T00:00:00"/>
        <d v="2024-02-13T00:00:00"/>
        <d v="2024-08-14T00:00:00"/>
        <d v="2024-03-21T00:00:00"/>
        <d v="2024-05-27T00:00:00"/>
        <d v="2024-08-12T00:00:00"/>
        <d v="2024-06-14T00:00:00"/>
        <d v="2024-10-22T00:00:00"/>
        <d v="2024-08-28T00:00:00"/>
        <d v="2024-12-02T00:00:00"/>
        <d v="2024-04-14T00:00:00"/>
        <d v="2024-12-29T00:00:00"/>
        <d v="2024-09-12T00:00:00"/>
        <d v="2024-04-07T00:00:00"/>
        <d v="2024-01-02T00:00:00"/>
        <d v="2024-07-16T00:00:00"/>
        <d v="2024-09-26T00:00:00"/>
        <d v="2024-11-15T00:00:00"/>
        <d v="2024-10-04T00:00:00"/>
        <d v="2024-08-15T00:00:00"/>
        <d v="2024-09-28T00:00:00"/>
        <d v="2024-04-28T00:00:00"/>
        <d v="2024-10-27T00:00:00"/>
        <d v="2024-10-19T00:00:00"/>
        <d v="2024-11-06T00:00:00"/>
        <d v="2024-05-31T00:00:00"/>
        <d v="2024-05-11T00:00:00"/>
        <d v="2024-10-12T00:00:00"/>
        <d v="2024-10-26T00:00:00"/>
        <d v="2024-11-27T00:00:00"/>
        <d v="2024-02-29T00:00:00"/>
        <d v="2024-04-21T00:00:00"/>
        <d v="2024-06-17T00:00:00"/>
        <d v="2024-03-08T00:00:00"/>
        <d v="2024-12-03T00:00:00"/>
        <d v="2024-11-01T00:00:00"/>
        <d v="2024-07-10T00:00:00"/>
        <d v="2024-02-28T00:00:00"/>
        <d v="2024-06-22T00:00:00"/>
        <d v="2024-02-16T00:00:00"/>
        <d v="2024-01-27T00:00:00"/>
        <d v="2024-07-31T00:00:00"/>
        <d v="2024-01-24T00:00:00"/>
        <d v="2024-03-02T00:00:00"/>
        <d v="2024-02-06T00:00:00"/>
        <d v="2024-05-28T00:00:00"/>
        <d v="2024-02-09T00:00:00"/>
        <d v="2024-04-30T00:00:00"/>
        <d v="2024-08-25T00:00:00"/>
        <d v="2024-02-01T00:00:00"/>
        <d v="2024-02-03T00:00:00"/>
        <d v="2024-06-07T00:00:00"/>
        <d v="2024-04-25T00:00:00"/>
        <d v="2024-11-12T00:00:00"/>
        <d v="2024-04-12T00:00:00"/>
        <d v="2024-05-25T00:00:00"/>
        <d v="2024-01-14T00:00:00"/>
        <d v="2024-11-28T00:00:00"/>
        <d v="2024-05-01T00:00:00"/>
        <d v="2024-04-05T00:00:00"/>
        <d v="2024-10-24T00:00:00"/>
        <d v="2024-12-22T00:00:00"/>
        <d v="2024-01-22T00:00:00"/>
        <d v="2024-12-01T00:00:00"/>
        <d v="2024-09-11T00:00:00"/>
        <d v="2024-10-06T00:00:00"/>
        <d v="2024-12-09T00:00:00"/>
        <d v="2024-02-04T00:00:00"/>
        <d v="2024-10-20T00:00:00"/>
        <d v="2024-05-14T00:00:00"/>
        <d v="2024-07-04T00:00:00"/>
        <d v="2024-03-05T00:00:00"/>
        <d v="2024-02-10T00:00:00"/>
        <d v="2024-10-30T00:00:00"/>
        <d v="2024-11-29T00:00:00"/>
        <d v="2024-12-16T00:00:00"/>
        <d v="2024-06-09T00:00:00"/>
        <d v="2024-06-16T00:00:00"/>
        <d v="2024-07-20T00:00:00"/>
        <d v="2024-05-26T00:00:00"/>
        <d v="2024-08-01T00:00:00"/>
        <d v="2024-06-26T00:00:00"/>
        <d v="2024-12-14T00:00:00"/>
        <d v="2024-06-13T00:00:00"/>
        <d v="2024-03-30T00:00:00"/>
        <d v="2024-01-20T00:00:00"/>
        <d v="2024-09-15T00:00:00"/>
        <d v="2024-06-21T00:00:00"/>
        <d v="2024-10-25T00:00:00"/>
        <d v="2024-12-17T00:00:00"/>
        <d v="2024-08-20T00:00:00"/>
        <d v="2024-08-29T00:00:00"/>
        <d v="2024-08-17T00:00:00"/>
        <d v="2024-04-24T00:00:00"/>
        <d v="2024-04-06T00:00:00"/>
        <d v="2024-08-16T00:00:00"/>
        <d v="2024-12-04T00:00:00"/>
        <d v="2024-10-11T00:00:00"/>
        <d v="2024-04-04T00:00:00"/>
        <d v="2024-10-01T00:00:00"/>
        <d v="2024-09-02T00:00:00"/>
        <d v="2024-06-06T00:00:00"/>
        <d v="2024-07-08T00:00:00"/>
        <d v="2024-09-25T00:00:00"/>
        <d v="2024-01-05T00:00:00"/>
        <d v="2024-02-08T00:00:00"/>
        <d v="2024-09-13T00:00:00"/>
        <d v="2024-06-11T00:00:00"/>
        <d v="2024-01-07T00:00:00"/>
        <d v="2024-07-03T00:00:00"/>
        <d v="2024-06-15T00:00:00"/>
        <d v="2024-06-25T00:00:00"/>
        <d v="2024-04-15T00:00:00"/>
        <d v="2024-01-12T00:00:00"/>
        <d v="2024-08-18T00:00:00"/>
        <d v="2024-11-10T00:00:00"/>
        <d v="2024-08-02T00:00:00"/>
        <d v="2024-09-05T00:00:00"/>
        <d v="2024-02-12T00:00:00"/>
        <d v="2024-08-13T00:00:00"/>
        <d v="2024-03-10T00:00:00"/>
        <d v="2024-07-25T00:00:00"/>
        <d v="2024-08-22T00:00:00"/>
        <d v="2024-01-09T00:00:00"/>
        <d v="2024-08-07T00:00:00"/>
        <d v="2024-02-22T00:00:00"/>
        <d v="2024-02-05T00:00:00"/>
        <d v="2024-09-10T00:00:00"/>
        <d v="2024-07-06T00:00:00"/>
        <d v="2024-03-26T00:00:00"/>
        <d v="2024-04-01T00:00:00"/>
        <d v="2024-06-20T00:00:00"/>
        <d v="2024-12-30T00:00:00"/>
        <d v="2024-05-29T00:00:00"/>
        <d v="2024-04-13T00:00:00"/>
        <d v="2024-08-19T00:00:00"/>
        <d v="2024-04-20T00:00:00"/>
        <d v="2024-01-16T00:00:00"/>
        <d v="2024-04-23T00:00:00"/>
        <d v="2024-07-29T00:00:00"/>
        <d v="2024-11-18T00:00:00"/>
        <d v="2024-07-17T00:00:00"/>
        <d v="2024-10-21T00:00:00"/>
        <d v="2024-03-07T00:00:00"/>
        <d v="2024-11-23T00:00:00"/>
        <d v="2024-12-28T00:00:00"/>
        <d v="2024-01-25T00:00:00"/>
        <d v="2024-08-06T00:00:00"/>
        <d v="2024-09-24T00:00:00"/>
        <d v="2024-10-31T00:00:00"/>
        <d v="2024-10-15T00:00:00"/>
        <d v="2024-03-29T00:00:00"/>
        <d v="2024-07-09T00:00:00"/>
        <d v="2024-03-09T00:00:00"/>
        <d v="2024-07-27T00:00:00"/>
        <d v="2024-08-04T00:00:00"/>
        <d v="2024-01-04T00:00:00"/>
        <d v="2024-05-21T00:00:00"/>
        <d v="2024-05-30T00:00:00"/>
        <d v="2024-03-18T00:00:00"/>
        <d v="2024-11-19T00:00:00"/>
        <d v="2024-01-08T00:00:00"/>
        <d v="2024-07-11T00:00:00"/>
        <d v="2024-08-03T00:00:00"/>
        <d v="2024-05-24T00:00:00"/>
        <d v="2024-04-02T00:00:00"/>
        <d v="2024-01-06T00:00:00"/>
        <d v="2024-06-18T00:00:00"/>
        <d v="2024-02-15T00:00:00"/>
        <d v="2024-10-10T00:00:00"/>
        <d v="2024-11-04T00:00:00"/>
        <d v="2024-01-28T00:00:00"/>
        <d v="2024-01-21T00:00:00"/>
        <d v="2024-09-20T00:00:00"/>
        <d v="2024-10-29T00:00:00"/>
        <d v="2024-02-02T00:00:00"/>
        <d v="2024-11-05T00:00:00"/>
        <d v="2024-01-29T00:00:00"/>
        <d v="2024-01-03T00:00:00"/>
        <d v="2024-03-23T00:00:00"/>
        <d v="2024-11-07T00:00:00"/>
        <d v="2024-02-14T00:00:00"/>
        <d v="2024-12-21T00:00:00"/>
        <d v="2024-09-03T00:00:00"/>
        <d v="2024-12-24T00:00:00"/>
        <d v="2024-09-08T00:00:00"/>
        <d v="2024-04-17T00:00:00"/>
        <d v="2024-02-21T00:00:00"/>
        <d v="2024-02-20T00:00:00"/>
        <d v="2024-02-23T00:00:00"/>
        <d v="2024-10-07T00:00:00"/>
        <d v="2024-07-21T00:00:00"/>
        <d v="2024-05-08T00:00:00"/>
        <d v="2024-02-18T00:00:00"/>
        <d v="2024-01-31T00:00:00"/>
        <d v="2024-10-13T00:00:00"/>
        <d v="2024-01-10T00:00:00"/>
        <d v="2024-10-18T00:00:00"/>
        <d v="2024-06-03T00:00:00"/>
        <d v="2024-10-03T00:00:00"/>
        <d v="2024-07-13T00:00:00"/>
        <d v="2024-03-11T00:00:00"/>
        <d v="2024-05-06T00:00:00"/>
        <d v="2024-09-23T00:00:00"/>
        <d v="2024-09-21T00:00:00"/>
        <d v="2024-09-18T00:00:00"/>
        <d v="2024-03-01T00:00:00"/>
        <d v="2024-01-26T00:00:00"/>
        <d v="2024-10-05T00:00:00"/>
        <d v="2024-04-08T00:00:00"/>
        <d v="2024-08-10T00:00:00"/>
        <d v="2024-03-16T00:00:00"/>
        <d v="2024-12-05T00:00:00"/>
        <d v="2024-06-29T00:00:00"/>
        <d v="2024-06-24T00:00:00"/>
        <d v="2024-11-22T00:00:00"/>
        <d v="2024-07-23T00:00:00"/>
        <d v="2024-11-08T00:00:00"/>
        <d v="2024-12-10T00:00:00"/>
        <d v="2024-02-26T00:00:00"/>
        <d v="2024-12-20T00:00:00"/>
        <d v="2024-12-25T00:00:00"/>
        <d v="2024-12-19T00:00:00"/>
        <d v="2024-04-10T00:00:00"/>
        <d v="2024-03-14T00:00:00"/>
        <d v="2024-06-27T00:00:00"/>
        <d v="2024-04-19T00:00:00"/>
        <d v="2024-03-03T00:00:00"/>
        <d v="2024-07-01T00:00:00"/>
        <d v="2024-11-17T00:00:00"/>
        <d v="2024-03-19T00:00:00"/>
        <d v="2024-01-17T00:00:00"/>
        <d v="2024-10-17T00:00:00"/>
        <d v="2024-09-07T00:00:00"/>
        <d v="2024-08-09T00:00:00"/>
        <d v="2024-07-26T00:00:00"/>
        <d v="2024-11-25T00:00:00"/>
        <d v="2024-07-05T00:00:00"/>
        <d v="2024-06-12T00:00:00"/>
        <d v="2024-03-28T00:00:00"/>
        <d v="2024-04-18T00:00:00"/>
        <d v="2024-06-23T00:00:00"/>
        <d v="2024-09-16T00:00:00"/>
        <d v="2024-05-16T00:00:00"/>
        <d v="2024-07-30T00:00:00"/>
        <d v="2024-11-21T00:00:00"/>
        <d v="2024-07-12T00:00:00"/>
        <d v="2024-02-11T00:00:00"/>
        <d v="2024-06-04T00:00:00"/>
        <d v="2024-03-17T00:00:00"/>
        <d v="2024-12-13T00:00:00"/>
        <d v="2024-05-17T00:00:00"/>
        <d v="2024-03-13T00:00:00"/>
        <d v="2024-11-30T00:00:00"/>
        <d v="2024-03-04T00:00:00"/>
      </sharedItems>
    </cacheField>
    <cacheField name="Ship Date" numFmtId="22">
      <sharedItems containsSemiMixedTypes="0" containsNonDate="0" containsDate="1" containsString="0" minDate="2024-01-05T00:00:00" maxDate="2025-01-04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Region" numFmtId="0">
      <sharedItems count="4">
        <s v="South"/>
        <s v="North"/>
        <s v="West"/>
        <s v="East"/>
      </sharedItems>
    </cacheField>
    <cacheField name="Postal Code" numFmtId="0">
      <sharedItems containsSemiMixedTypes="0" containsString="0" containsNumber="1" containsInteger="1" minValue="110001" maxValue="695001"/>
    </cacheField>
    <cacheField name="Product ID" numFmtId="0">
      <sharedItems/>
    </cacheField>
    <cacheField name="Category" numFmtId="0">
      <sharedItems count="5">
        <s v="Electronics"/>
        <s v="Clothing"/>
        <s v="Furniture"/>
        <s v="Office Supplies"/>
        <s v="Home Appliances"/>
      </sharedItems>
    </cacheField>
    <cacheField name="Sub-Category" numFmtId="0">
      <sharedItems/>
    </cacheField>
    <cacheField name="Product Name" numFmtId="0">
      <sharedItems/>
    </cacheField>
    <cacheField name="Sales" numFmtId="43">
      <sharedItems containsSemiMixedTypes="0" containsString="0" containsNumber="1" minValue="0" maxValue="999999.99"/>
    </cacheField>
    <cacheField name="Quantity" numFmtId="0">
      <sharedItems containsSemiMixedTypes="0" containsString="0" containsNumber="1" containsInteger="1" minValue="-1" maxValue="25"/>
    </cacheField>
    <cacheField name="Discount" numFmtId="0">
      <sharedItems containsSemiMixedTypes="0" containsString="0" containsNumber="1" minValue="0" maxValue="0.85"/>
    </cacheField>
    <cacheField name="Profit" numFmtId="43">
      <sharedItems containsSemiMixedTypes="0" containsString="0" containsNumber="1" minValue="-16284.06" maxValue="25638.74"/>
    </cacheField>
    <cacheField name="Sales Check" numFmtId="0">
      <sharedItems/>
    </cacheField>
    <cacheField name="Quantity Check" numFmtId="0">
      <sharedItems/>
    </cacheField>
  </cacheFields>
  <extLst>
    <ext xmlns:x14="http://schemas.microsoft.com/office/spreadsheetml/2009/9/main" uri="{725AE2AE-9491-48be-B2B4-4EB974FC3084}">
      <x14:pivotCacheDefinition pivotCacheId="14969886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
  <r>
    <n v="1001"/>
    <x v="0"/>
    <x v="0"/>
    <d v="2024-03-18T00:00:00"/>
    <s v="Standard Class"/>
    <s v="CUST-1087"/>
    <s v="NIKHIL VARMA"/>
    <x v="0"/>
    <s v="India"/>
    <s v="Lucknow"/>
    <s v="Uttar Pradesh"/>
    <x v="0"/>
    <n v="600001"/>
    <s v="P-532"/>
    <x v="0"/>
    <s v="Mobiles"/>
    <s v="Samsung Galaxy A55"/>
    <n v="63499.23"/>
    <n v="2"/>
    <n v="0.1"/>
    <n v="3501.42"/>
    <s v="OK"/>
    <s v="OK"/>
  </r>
  <r>
    <n v="1002"/>
    <x v="1"/>
    <x v="1"/>
    <d v="2024-10-16T00:00:00"/>
    <s v="Same Day"/>
    <s v="CUST-1029"/>
    <s v="SNEHA NAIR"/>
    <x v="0"/>
    <s v="India"/>
    <s v="Kozhikode"/>
    <s v="Kerala"/>
    <x v="1"/>
    <n v="110001"/>
    <s v="P-990"/>
    <x v="0"/>
    <s v="Laptops"/>
    <s v="Dell Inspiron 15"/>
    <n v="53930.19"/>
    <n v="1"/>
    <n v="0"/>
    <n v="6224.96"/>
    <s v="OK"/>
    <s v="OK"/>
  </r>
  <r>
    <n v="1003"/>
    <x v="2"/>
    <x v="2"/>
    <d v="2024-05-24T00:00:00"/>
    <s v="Second Class"/>
    <s v="CUST-1098"/>
    <s v="MEERA JOSEPH"/>
    <x v="1"/>
    <s v="India"/>
    <s v="Kozhikode"/>
    <s v="Kerala"/>
    <x v="0"/>
    <n v="673001"/>
    <s v="P-489"/>
    <x v="1"/>
    <s v="Shoes"/>
    <s v="Running Shoes"/>
    <n v="9676.42"/>
    <n v="4"/>
    <n v="0.2"/>
    <n v="961.45"/>
    <s v="OK"/>
    <s v="OK"/>
  </r>
  <r>
    <n v="1004"/>
    <x v="3"/>
    <x v="3"/>
    <d v="2024-08-28T00:00:00"/>
    <s v="Standard Class"/>
    <s v="CUST-1119"/>
    <s v="AMAL THOMAS"/>
    <x v="1"/>
    <s v="India"/>
    <s v="Kochi"/>
    <s v="Kerala"/>
    <x v="0"/>
    <n v="600001"/>
    <s v="P-400"/>
    <x v="2"/>
    <s v="Tables"/>
    <s v="Study Table"/>
    <n v="20072.740000000002"/>
    <n v="3"/>
    <n v="0"/>
    <n v="3799.65"/>
    <s v="OK"/>
    <s v="OK"/>
  </r>
  <r>
    <n v="1005"/>
    <x v="4"/>
    <x v="4"/>
    <d v="2024-12-27T00:00:00"/>
    <s v="Standard Class"/>
    <s v="CUST-1085"/>
    <s v="FATHIMA ALI"/>
    <x v="1"/>
    <s v="India"/>
    <s v="Hyderabad"/>
    <s v="Telangana"/>
    <x v="1"/>
    <n v="673001"/>
    <s v="P-975"/>
    <x v="3"/>
    <s v="Art"/>
    <s v="Marker Set"/>
    <n v="1737.67"/>
    <n v="5"/>
    <n v="0.1"/>
    <n v="258.99"/>
    <s v="OK"/>
    <s v="OK"/>
  </r>
  <r>
    <n v="1006"/>
    <x v="5"/>
    <x v="5"/>
    <d v="2024-03-27T00:00:00"/>
    <s v="First Class"/>
    <s v="CUST-1027"/>
    <s v="ADIL KHAN"/>
    <x v="0"/>
    <s v="India"/>
    <s v="Bengaluru"/>
    <s v="Karnataka"/>
    <x v="1"/>
    <n v="400001"/>
    <s v="P-799"/>
    <x v="4"/>
    <s v="Kitchen"/>
    <s v="Electric Kettle"/>
    <n v="3249.99"/>
    <n v="2"/>
    <n v="0.2"/>
    <n v="-130"/>
    <s v="OK"/>
    <s v="OK"/>
  </r>
  <r>
    <n v="1007"/>
    <x v="6"/>
    <x v="5"/>
    <d v="2024-03-28T00:00:00"/>
    <s v="Same Day"/>
    <s v="CUST-1035"/>
    <s v="MUHAMMED SHAFI"/>
    <x v="1"/>
    <s v="India"/>
    <s v="Lucknow"/>
    <s v="Uttar Pradesh"/>
    <x v="2"/>
    <n v="400001"/>
    <s v="P-432"/>
    <x v="0"/>
    <s v="Mobiles"/>
    <s v="Samsung Galaxy A55"/>
    <n v="34123.379999999997"/>
    <n v="1"/>
    <n v="0.1"/>
    <n v="1314.69"/>
    <s v="OK"/>
    <s v="OK"/>
  </r>
  <r>
    <n v="1008"/>
    <x v="7"/>
    <x v="6"/>
    <d v="2024-06-14T00:00:00"/>
    <s v="First Class"/>
    <s v="CUST-1009"/>
    <s v="FATHIMA ALI"/>
    <x v="1"/>
    <s v="India"/>
    <s v="Hyderabad"/>
    <s v="Telangana"/>
    <x v="1"/>
    <n v="682001"/>
    <s v="P-771"/>
    <x v="1"/>
    <s v="Shoes"/>
    <s v="Running Shoes"/>
    <n v="3037.09"/>
    <n v="1"/>
    <n v="0"/>
    <n v="639.08000000000004"/>
    <s v="OK"/>
    <s v="OK"/>
  </r>
  <r>
    <n v="1009"/>
    <x v="8"/>
    <x v="7"/>
    <d v="2024-05-17T00:00:00"/>
    <s v="Second Class"/>
    <s v="CUST-1096"/>
    <s v="VISHNU RAJ"/>
    <x v="2"/>
    <s v="India"/>
    <s v="Ahmedabad"/>
    <s v="Gujarat"/>
    <x v="1"/>
    <n v="400001"/>
    <s v="P-698"/>
    <x v="2"/>
    <s v="Bookcases"/>
    <s v="Wooden Bookshelf"/>
    <n v="17668.7"/>
    <n v="3"/>
    <n v="0.05"/>
    <n v="2280.64"/>
    <s v="OK"/>
    <s v="OK"/>
  </r>
  <r>
    <n v="1010"/>
    <x v="9"/>
    <x v="8"/>
    <d v="2024-09-21T00:00:00"/>
    <s v="Standard Class"/>
    <s v="CUST-1097"/>
    <s v="AARAV NAIR"/>
    <x v="1"/>
    <s v="India"/>
    <s v="Pune"/>
    <s v="Maharashtra"/>
    <x v="0"/>
    <n v="682001"/>
    <s v="P-742"/>
    <x v="4"/>
    <s v="Kitchen"/>
    <s v="Mixer Grinder"/>
    <n v="10900.01"/>
    <n v="2"/>
    <n v="0.05"/>
    <n v="951.82"/>
    <s v="OK"/>
    <s v="OK"/>
  </r>
  <r>
    <n v="1011"/>
    <x v="10"/>
    <x v="9"/>
    <d v="2024-07-19T00:00:00"/>
    <s v="Same Day"/>
    <s v="CUST-1068"/>
    <s v="ARJUN DAS"/>
    <x v="1"/>
    <s v="India"/>
    <s v="Thiruvananthapuram"/>
    <s v="Kerala"/>
    <x v="0"/>
    <n v="400001"/>
    <s v="P-838"/>
    <x v="1"/>
    <s v="Shoes"/>
    <s v="Running Shoes"/>
    <n v="7328.85"/>
    <n v="3"/>
    <n v="0.25"/>
    <n v="525.67999999999995"/>
    <s v="OK"/>
    <s v="OK"/>
  </r>
  <r>
    <n v="1012"/>
    <x v="11"/>
    <x v="10"/>
    <d v="2024-03-01T00:00:00"/>
    <s v="Same Day"/>
    <s v="CUST-1021"/>
    <s v="SNEHA NAIR"/>
    <x v="2"/>
    <s v="India"/>
    <s v="Kochi"/>
    <s v="Kerala"/>
    <x v="0"/>
    <n v="400001"/>
    <s v="P-996"/>
    <x v="3"/>
    <s v="Art"/>
    <s v="Marker Set"/>
    <n v="1175.56"/>
    <n v="4"/>
    <n v="0.2"/>
    <n v="76.790000000000006"/>
    <s v="OK"/>
    <s v="OK"/>
  </r>
  <r>
    <n v="1013"/>
    <x v="12"/>
    <x v="11"/>
    <d v="2024-11-19T00:00:00"/>
    <s v="Second Class"/>
    <s v="CUST-1020"/>
    <s v="MEERA JOSEPH"/>
    <x v="2"/>
    <s v="India"/>
    <s v="Kolkata"/>
    <s v="West Bengal"/>
    <x v="2"/>
    <n v="600001"/>
    <s v="P-897"/>
    <x v="2"/>
    <s v="Chairs"/>
    <s v="Ergonomic Office Chair"/>
    <n v="33761.019999999997"/>
    <n v="4"/>
    <n v="0"/>
    <n v="6171.99"/>
    <s v="OK"/>
    <s v="OK"/>
  </r>
  <r>
    <n v="1014"/>
    <x v="13"/>
    <x v="10"/>
    <d v="2024-03-01T00:00:00"/>
    <s v="First Class"/>
    <s v="CUST-1031"/>
    <s v="AARAV NAIR"/>
    <x v="0"/>
    <s v="India"/>
    <s v="Delhi"/>
    <s v="Delhi"/>
    <x v="2"/>
    <n v="600001"/>
    <s v="P-180"/>
    <x v="4"/>
    <s v="Kitchen"/>
    <s v="Mixer Grinder"/>
    <n v="11042.59"/>
    <n v="2"/>
    <n v="0"/>
    <n v="1445.75"/>
    <s v="OK"/>
    <s v="OK"/>
  </r>
  <r>
    <n v="1015"/>
    <x v="14"/>
    <x v="12"/>
    <d v="2024-03-12T00:00:00"/>
    <s v="Same Day"/>
    <s v="CUST-1071"/>
    <s v="RAHUL KUMAR"/>
    <x v="0"/>
    <s v="India"/>
    <s v="Kochi"/>
    <s v="Kerala"/>
    <x v="1"/>
    <n v="600001"/>
    <s v="P-993"/>
    <x v="1"/>
    <s v="Shirts"/>
    <s v="Cotton Casual Shirt"/>
    <n v="1349.67"/>
    <n v="1"/>
    <n v="0.05"/>
    <n v="226.98"/>
    <s v="OK"/>
    <s v="OK"/>
  </r>
  <r>
    <n v="1016"/>
    <x v="15"/>
    <x v="13"/>
    <d v="2024-06-12T00:00:00"/>
    <s v="First Class"/>
    <s v="CUST-1057"/>
    <s v="MUHAMMED SHAFI"/>
    <x v="2"/>
    <s v="India"/>
    <s v="Jaipur"/>
    <s v="Rajasthan"/>
    <x v="3"/>
    <n v="673001"/>
    <s v="P-353"/>
    <x v="2"/>
    <s v="Bookcases"/>
    <s v="Wooden Bookshelf"/>
    <n v="35154.68"/>
    <n v="6"/>
    <n v="0.1"/>
    <n v="2789.52"/>
    <s v="OK"/>
    <s v="OK"/>
  </r>
  <r>
    <n v="1017"/>
    <x v="16"/>
    <x v="14"/>
    <d v="2024-10-30T00:00:00"/>
    <s v="Standard Class"/>
    <s v="CUST-1010"/>
    <s v="NIKHIL VARMA"/>
    <x v="0"/>
    <s v="India"/>
    <s v="Bengaluru"/>
    <s v="Karnataka"/>
    <x v="0"/>
    <n v="682001"/>
    <s v="P-169"/>
    <x v="0"/>
    <s v="Mobiles"/>
    <s v="Samsung Galaxy A55"/>
    <n v="90435.68"/>
    <n v="3"/>
    <n v="0.1"/>
    <n v="4983"/>
    <s v="OK"/>
    <s v="OK"/>
  </r>
  <r>
    <n v="1018"/>
    <x v="17"/>
    <x v="15"/>
    <d v="2024-12-12T00:00:00"/>
    <s v="Second Class"/>
    <s v="CUST-1070"/>
    <s v="RAHUL KUMAR"/>
    <x v="0"/>
    <s v="India"/>
    <s v="Kozhikode"/>
    <s v="Kerala"/>
    <x v="3"/>
    <n v="682001"/>
    <s v="P-903"/>
    <x v="4"/>
    <s v="Kitchen"/>
    <s v="Electric Kettle"/>
    <n v="6027.95"/>
    <n v="3"/>
    <n v="0.15"/>
    <n v="226.12"/>
    <s v="OK"/>
    <s v="OK"/>
  </r>
  <r>
    <n v="1019"/>
    <x v="18"/>
    <x v="16"/>
    <d v="2024-07-04T00:00:00"/>
    <s v="Same Day"/>
    <s v="CUST-1060"/>
    <s v="RIYA PAUL"/>
    <x v="0"/>
    <s v="India"/>
    <s v="Ahmedabad"/>
    <s v="Gujarat"/>
    <x v="0"/>
    <n v="400001"/>
    <s v="P-769"/>
    <x v="1"/>
    <s v="Shoes"/>
    <s v="Running Shoes"/>
    <n v="2324.9699999999998"/>
    <n v="1"/>
    <n v="0.25"/>
    <n v="162.51"/>
    <s v="OK"/>
    <s v="OK"/>
  </r>
  <r>
    <n v="1020"/>
    <x v="19"/>
    <x v="17"/>
    <d v="2024-05-09T00:00:00"/>
    <s v="Second Class"/>
    <s v="CUST-1069"/>
    <s v="SNEHA NAIR"/>
    <x v="0"/>
    <s v="India"/>
    <s v="Lucknow"/>
    <s v="Uttar Pradesh"/>
    <x v="2"/>
    <n v="560001"/>
    <s v="P-287"/>
    <x v="0"/>
    <s v="Mobiles"/>
    <s v="Samsung Galaxy A55"/>
    <n v="148244.73000000001"/>
    <n v="4"/>
    <n v="0"/>
    <n v="15818.96"/>
    <s v="OK"/>
    <s v="OK"/>
  </r>
  <r>
    <n v="1021"/>
    <x v="20"/>
    <x v="18"/>
    <d v="2024-10-09T00:00:00"/>
    <s v="Standard Class"/>
    <s v="CUST-1084"/>
    <s v="VISHNU RAJ"/>
    <x v="0"/>
    <s v="India"/>
    <s v="Chennai"/>
    <s v="Tamil Nadu"/>
    <x v="0"/>
    <n v="673001"/>
    <s v="P-871"/>
    <x v="3"/>
    <s v="Paper"/>
    <s v="A4 Copier Paper"/>
    <n v="1775.7"/>
    <n v="6"/>
    <n v="0.1"/>
    <n v="8.86"/>
    <s v="OK"/>
    <s v="OK"/>
  </r>
  <r>
    <n v="1022"/>
    <x v="21"/>
    <x v="19"/>
    <d v="2024-07-25T00:00:00"/>
    <s v="Second Class"/>
    <s v="CUST-1049"/>
    <s v="AARAV NAIR"/>
    <x v="0"/>
    <s v="India"/>
    <s v="Hyderabad"/>
    <s v="Telangana"/>
    <x v="3"/>
    <n v="695001"/>
    <s v="P-902"/>
    <x v="0"/>
    <s v="Accessories"/>
    <s v="HP Wireless Keyboard"/>
    <n v="4497.9399999999996"/>
    <n v="3"/>
    <n v="0.1"/>
    <n v="243.83"/>
    <s v="OK"/>
    <s v="OK"/>
  </r>
  <r>
    <n v="1023"/>
    <x v="22"/>
    <x v="20"/>
    <d v="2024-03-22T00:00:00"/>
    <s v="First Class"/>
    <s v="CUST-1028"/>
    <s v="AARAV NAIR"/>
    <x v="0"/>
    <s v="India"/>
    <s v="Bhubaneswar"/>
    <s v="Odisha"/>
    <x v="0"/>
    <n v="400001"/>
    <s v="P-421"/>
    <x v="3"/>
    <s v="Paper"/>
    <s v="A4 Copier Paper"/>
    <n v="1211.3699999999999"/>
    <n v="4"/>
    <n v="0.3"/>
    <n v="6.55"/>
    <s v="OK"/>
    <s v="OK"/>
  </r>
  <r>
    <n v="1024"/>
    <x v="23"/>
    <x v="21"/>
    <d v="2024-02-04T00:00:00"/>
    <s v="Standard Class"/>
    <s v="CUST-1109"/>
    <s v="RAHUL KUMAR"/>
    <x v="1"/>
    <s v="India"/>
    <s v="Kozhikode"/>
    <s v="Kerala"/>
    <x v="0"/>
    <n v="600001"/>
    <s v="P-169"/>
    <x v="0"/>
    <s v="Laptops"/>
    <s v="Dell Inspiron 15"/>
    <n v="143735.29"/>
    <n v="3"/>
    <n v="0.05"/>
    <n v="11251.26"/>
    <s v="OK"/>
    <s v="OK"/>
  </r>
  <r>
    <n v="1025"/>
    <x v="24"/>
    <x v="22"/>
    <d v="2024-10-28T00:00:00"/>
    <s v="Standard Class"/>
    <s v="CUST-1080"/>
    <s v="ANANYA MENON"/>
    <x v="0"/>
    <s v="India"/>
    <s v="Lucknow"/>
    <s v="Uttar Pradesh"/>
    <x v="3"/>
    <n v="400001"/>
    <s v="P-697"/>
    <x v="4"/>
    <s v="Kitchen"/>
    <s v="Electric Kettle"/>
    <n v="1994.8"/>
    <n v="1"/>
    <n v="0.1"/>
    <n v="109.23"/>
    <s v="OK"/>
    <s v="OK"/>
  </r>
  <r>
    <n v="1026"/>
    <x v="25"/>
    <x v="23"/>
    <d v="2024-05-05T00:00:00"/>
    <s v="Same Day"/>
    <s v="CUST-1017"/>
    <s v="ADIL KHAN"/>
    <x v="0"/>
    <s v="India"/>
    <s v="Jaipur"/>
    <s v="Rajasthan"/>
    <x v="1"/>
    <n v="560001"/>
    <s v="P-423"/>
    <x v="3"/>
    <s v="Binders"/>
    <s v="Office Binder Pack"/>
    <n v="1118.1400000000001"/>
    <n v="2"/>
    <n v="0.2"/>
    <n v="89.04"/>
    <s v="OK"/>
    <s v="OK"/>
  </r>
  <r>
    <n v="1027"/>
    <x v="26"/>
    <x v="24"/>
    <d v="2024-02-12T00:00:00"/>
    <s v="Second Class"/>
    <s v="CUST-1065"/>
    <s v="ARJUN DAS"/>
    <x v="0"/>
    <s v="India"/>
    <s v="Bhubaneswar"/>
    <s v="Odisha"/>
    <x v="2"/>
    <n v="695001"/>
    <s v="P-170"/>
    <x v="4"/>
    <s v="Kitchen"/>
    <s v="Mixer Grinder"/>
    <n v="12415.71"/>
    <n v="2"/>
    <n v="0"/>
    <n v="1932.68"/>
    <s v="OK"/>
    <s v="OK"/>
  </r>
  <r>
    <n v="1028"/>
    <x v="27"/>
    <x v="25"/>
    <d v="2024-11-15T00:00:00"/>
    <s v="Standard Class"/>
    <s v="CUST-1086"/>
    <s v="RIYA PAUL"/>
    <x v="0"/>
    <s v="India"/>
    <s v="Bengaluru"/>
    <s v="Karnataka"/>
    <x v="1"/>
    <n v="400001"/>
    <s v="P-206"/>
    <x v="2"/>
    <s v="Tables"/>
    <s v="Study Table"/>
    <n v="12431.73"/>
    <n v="2"/>
    <n v="0.15"/>
    <n v="940.88"/>
    <s v="OK"/>
    <s v="OK"/>
  </r>
  <r>
    <n v="1029"/>
    <x v="28"/>
    <x v="26"/>
    <d v="2024-05-22T00:00:00"/>
    <s v="Second Class"/>
    <s v="CUST-1092"/>
    <s v="MEERA JOSEPH"/>
    <x v="0"/>
    <s v="India"/>
    <s v="Thiruvananthapuram"/>
    <s v="Kerala"/>
    <x v="2"/>
    <n v="400001"/>
    <s v="P-749"/>
    <x v="2"/>
    <s v="Chairs"/>
    <s v="Ergonomic Office Chair"/>
    <n v="7543.33"/>
    <n v="1"/>
    <n v="0.05"/>
    <n v="815.58"/>
    <s v="OK"/>
    <s v="OK"/>
  </r>
  <r>
    <n v="1030"/>
    <x v="29"/>
    <x v="27"/>
    <d v="2024-02-23T00:00:00"/>
    <s v="Same Day"/>
    <s v="CUST-1107"/>
    <s v="ARJUN DAS"/>
    <x v="0"/>
    <s v="India"/>
    <s v="Hyderabad"/>
    <s v="Telangana"/>
    <x v="0"/>
    <n v="673001"/>
    <s v="P-441"/>
    <x v="2"/>
    <s v="Chairs"/>
    <s v="Ergonomic Office Chair"/>
    <n v="15763.02"/>
    <n v="2"/>
    <n v="0"/>
    <n v="2301.8200000000002"/>
    <s v="OK"/>
    <s v="OK"/>
  </r>
  <r>
    <n v="1031"/>
    <x v="30"/>
    <x v="28"/>
    <d v="2024-10-15T00:00:00"/>
    <s v="Same Day"/>
    <s v="CUST-1072"/>
    <s v="AARAV NAIR"/>
    <x v="1"/>
    <s v="India"/>
    <s v="Bhubaneswar"/>
    <s v="Odisha"/>
    <x v="0"/>
    <n v="673001"/>
    <s v="P-807"/>
    <x v="0"/>
    <s v="Accessories"/>
    <s v="Logitech Wireless Mouse"/>
    <n v="1650.08"/>
    <n v="2"/>
    <n v="0.3"/>
    <n v="-124.22"/>
    <s v="OK"/>
    <s v="OK"/>
  </r>
  <r>
    <n v="1032"/>
    <x v="31"/>
    <x v="29"/>
    <d v="2024-08-10T00:00:00"/>
    <s v="Standard Class"/>
    <s v="CUST-1040"/>
    <s v="MEERA JOSEPH"/>
    <x v="0"/>
    <s v="India"/>
    <s v="Thiruvananthapuram"/>
    <s v="Kerala"/>
    <x v="0"/>
    <n v="695001"/>
    <s v="P-315"/>
    <x v="3"/>
    <s v="Binders"/>
    <s v="Office Binder Pack"/>
    <n v="1299.96"/>
    <n v="2"/>
    <n v="0.05"/>
    <n v="202.15"/>
    <s v="OK"/>
    <s v="OK"/>
  </r>
  <r>
    <n v="1033"/>
    <x v="32"/>
    <x v="30"/>
    <d v="2024-11-19T00:00:00"/>
    <s v="Second Class"/>
    <s v="CUST-1119"/>
    <s v="MUHAMMED SHAFI"/>
    <x v="1"/>
    <s v="India"/>
    <s v="Lucknow"/>
    <s v="Uttar Pradesh"/>
    <x v="2"/>
    <n v="110001"/>
    <s v="P-266"/>
    <x v="0"/>
    <s v="Accessories"/>
    <s v="HP Wireless Keyboard"/>
    <n v="2605.36"/>
    <n v="2"/>
    <n v="0.25"/>
    <n v="-139.69999999999999"/>
    <s v="OK"/>
    <s v="OK"/>
  </r>
  <r>
    <n v="1034"/>
    <x v="33"/>
    <x v="31"/>
    <d v="2024-06-23T00:00:00"/>
    <s v="Second Class"/>
    <s v="CUST-1035"/>
    <s v="RAHUL KUMAR"/>
    <x v="0"/>
    <s v="India"/>
    <s v="Bhubaneswar"/>
    <s v="Odisha"/>
    <x v="0"/>
    <n v="560001"/>
    <s v="P-993"/>
    <x v="1"/>
    <s v="Shoes"/>
    <s v="Running Shoes"/>
    <n v="5730.69"/>
    <n v="2"/>
    <n v="0.05"/>
    <n v="1434.76"/>
    <s v="OK"/>
    <s v="OK"/>
  </r>
  <r>
    <n v="1035"/>
    <x v="34"/>
    <x v="32"/>
    <d v="2024-07-01T00:00:00"/>
    <s v="Second Class"/>
    <s v="CUST-1029"/>
    <s v="AARAV NAIR"/>
    <x v="0"/>
    <s v="India"/>
    <s v="Kozhikode"/>
    <s v="Kerala"/>
    <x v="2"/>
    <n v="560001"/>
    <s v="P-436"/>
    <x v="4"/>
    <s v="Kitchen"/>
    <s v="Electric Kettle"/>
    <n v="1435.17"/>
    <n v="1"/>
    <n v="0.3"/>
    <n v="-116"/>
    <s v="OK"/>
    <s v="OK"/>
  </r>
  <r>
    <n v="1036"/>
    <x v="35"/>
    <x v="33"/>
    <d v="2024-11-29T00:00:00"/>
    <s v="Same Day"/>
    <s v="CUST-1087"/>
    <s v="RIYA PAUL"/>
    <x v="0"/>
    <s v="India"/>
    <s v="Chennai"/>
    <s v="Tamil Nadu"/>
    <x v="1"/>
    <n v="673001"/>
    <s v="P-218"/>
    <x v="4"/>
    <s v="Kitchen"/>
    <s v="Electric Kettle"/>
    <n v="7346.66"/>
    <n v="4"/>
    <n v="0.2"/>
    <n v="-293.87"/>
    <s v="OK"/>
    <s v="OK"/>
  </r>
  <r>
    <n v="1037"/>
    <x v="36"/>
    <x v="34"/>
    <d v="2024-03-01T00:00:00"/>
    <s v="Same Day"/>
    <s v="CUST-1045"/>
    <s v="NIKHIL VARMA"/>
    <x v="1"/>
    <s v="India"/>
    <s v="Chennai"/>
    <s v="Tamil Nadu"/>
    <x v="1"/>
    <n v="560001"/>
    <s v="P-720"/>
    <x v="0"/>
    <s v="Accessories"/>
    <s v="Logitech Wireless Mouse"/>
    <n v="8840.48"/>
    <n v="8"/>
    <n v="0"/>
    <n v="1125.8399999999999"/>
    <s v="OK"/>
    <s v="OK"/>
  </r>
  <r>
    <n v="1038"/>
    <x v="37"/>
    <x v="35"/>
    <d v="2024-01-29T00:00:00"/>
    <s v="Same Day"/>
    <s v="CUST-1001"/>
    <s v="VISHNU RAJ"/>
    <x v="0"/>
    <s v="India"/>
    <s v="Delhi"/>
    <s v="Delhi"/>
    <x v="2"/>
    <n v="695001"/>
    <s v="P-541"/>
    <x v="0"/>
    <s v="Mobiles"/>
    <s v="Samsung Galaxy A55"/>
    <n v="94838.32"/>
    <n v="3"/>
    <n v="0.15"/>
    <n v="1321.22"/>
    <s v="OK"/>
    <s v="OK"/>
  </r>
  <r>
    <n v="1039"/>
    <x v="38"/>
    <x v="36"/>
    <d v="2024-06-07T00:00:00"/>
    <s v="First Class"/>
    <s v="CUST-1086"/>
    <s v="AMAL THOMAS"/>
    <x v="2"/>
    <s v="India"/>
    <s v="Kochi"/>
    <s v="Kerala"/>
    <x v="1"/>
    <n v="560001"/>
    <s v="P-813"/>
    <x v="3"/>
    <s v="Art"/>
    <s v="Marker Set"/>
    <n v="1189.48"/>
    <n v="3"/>
    <n v="0"/>
    <n v="187.23"/>
    <s v="OK"/>
    <s v="OK"/>
  </r>
  <r>
    <n v="1040"/>
    <x v="39"/>
    <x v="37"/>
    <d v="2024-12-18T00:00:00"/>
    <s v="Second Class"/>
    <s v="CUST-1079"/>
    <s v="DIYA MATHEW"/>
    <x v="0"/>
    <s v="India"/>
    <s v="Chennai"/>
    <s v="Tamil Nadu"/>
    <x v="1"/>
    <n v="560001"/>
    <s v="P-661"/>
    <x v="3"/>
    <s v="Binders"/>
    <s v="Office Binder Pack"/>
    <n v="952.92"/>
    <n v="2"/>
    <n v="0.25"/>
    <n v="28.87"/>
    <s v="OK"/>
    <s v="OK"/>
  </r>
  <r>
    <n v="1041"/>
    <x v="40"/>
    <x v="38"/>
    <d v="2024-08-30T00:00:00"/>
    <s v="Same Day"/>
    <s v="CUST-1087"/>
    <s v="FATHIMA ALI"/>
    <x v="0"/>
    <s v="India"/>
    <s v="Hyderabad"/>
    <s v="Telangana"/>
    <x v="3"/>
    <n v="110001"/>
    <s v="P-915"/>
    <x v="0"/>
    <s v="Laptops"/>
    <s v="Dell Inspiron 15"/>
    <n v="44016.82"/>
    <n v="1"/>
    <n v="0.2"/>
    <n v="-934.61"/>
    <s v="OK"/>
    <s v="OK"/>
  </r>
  <r>
    <n v="1042"/>
    <x v="41"/>
    <x v="27"/>
    <d v="2024-02-19T00:00:00"/>
    <s v="First Class"/>
    <s v="CUST-1029"/>
    <s v="ASHA KRISHNAN"/>
    <x v="1"/>
    <s v="India"/>
    <s v="Kolkata"/>
    <s v="West Bengal"/>
    <x v="2"/>
    <n v="682001"/>
    <s v="P-125"/>
    <x v="0"/>
    <s v="Accessories"/>
    <s v="Logitech Wireless Mouse"/>
    <n v="1868.05"/>
    <n v="2"/>
    <n v="0.2"/>
    <n v="-29.21"/>
    <s v="OK"/>
    <s v="OK"/>
  </r>
  <r>
    <n v="1043"/>
    <x v="42"/>
    <x v="39"/>
    <d v="2024-08-25T00:00:00"/>
    <s v="Second Class"/>
    <s v="CUST-1092"/>
    <s v="NIKHIL VARMA"/>
    <x v="2"/>
    <s v="India"/>
    <s v="Kozhikode"/>
    <s v="Kerala"/>
    <x v="3"/>
    <n v="560001"/>
    <s v="P-509"/>
    <x v="0"/>
    <s v="Accessories"/>
    <s v="HP Wireless Keyboard"/>
    <n v="5236.6899999999996"/>
    <n v="3"/>
    <n v="0"/>
    <n v="525.69000000000005"/>
    <s v="OK"/>
    <s v="OK"/>
  </r>
  <r>
    <n v="1044"/>
    <x v="43"/>
    <x v="40"/>
    <d v="2024-08-07T00:00:00"/>
    <s v="Second Class"/>
    <s v="CUST-1103"/>
    <s v="NIKHIL VARMA"/>
    <x v="1"/>
    <s v="India"/>
    <s v="Bengaluru"/>
    <s v="Karnataka"/>
    <x v="3"/>
    <n v="673001"/>
    <s v="P-670"/>
    <x v="0"/>
    <s v="Accessories"/>
    <s v="Logitech Wireless Mouse"/>
    <n v="1244.08"/>
    <n v="1"/>
    <n v="0"/>
    <n v="146.26"/>
    <s v="OK"/>
    <s v="OK"/>
  </r>
  <r>
    <n v="1045"/>
    <x v="44"/>
    <x v="41"/>
    <d v="2024-12-12T00:00:00"/>
    <s v="First Class"/>
    <s v="CUST-1097"/>
    <s v="MUHAMMED SHAFI"/>
    <x v="1"/>
    <s v="India"/>
    <s v="Bengaluru"/>
    <s v="Karnataka"/>
    <x v="3"/>
    <n v="600001"/>
    <s v="P-934"/>
    <x v="4"/>
    <s v="Kitchen"/>
    <s v="Mixer Grinder"/>
    <n v="8623.07"/>
    <n v="2"/>
    <n v="0.3"/>
    <n v="-552.71"/>
    <s v="OK"/>
    <s v="OK"/>
  </r>
  <r>
    <n v="1046"/>
    <x v="45"/>
    <x v="42"/>
    <d v="2024-03-28T00:00:00"/>
    <s v="Same Day"/>
    <s v="CUST-1058"/>
    <s v="ARJUN DAS"/>
    <x v="0"/>
    <s v="India"/>
    <s v="Kolkata"/>
    <s v="West Bengal"/>
    <x v="2"/>
    <n v="110001"/>
    <s v="P-752"/>
    <x v="4"/>
    <s v="Kitchen"/>
    <s v="Mixer Grinder"/>
    <n v="19064.439999999999"/>
    <n v="5"/>
    <n v="0.3"/>
    <n v="-1371.31"/>
    <s v="OK"/>
    <s v="OK"/>
  </r>
  <r>
    <n v="1047"/>
    <x v="46"/>
    <x v="43"/>
    <d v="2024-05-24T00:00:00"/>
    <s v="Standard Class"/>
    <s v="CUST-1092"/>
    <s v="ARJUN DAS"/>
    <x v="1"/>
    <s v="India"/>
    <s v="Chennai"/>
    <s v="Tamil Nadu"/>
    <x v="2"/>
    <n v="695001"/>
    <s v="P-443"/>
    <x v="1"/>
    <s v="Shoes"/>
    <s v="Running Shoes"/>
    <n v="9000.51"/>
    <n v="3"/>
    <n v="0.1"/>
    <n v="1716.11"/>
    <s v="OK"/>
    <s v="OK"/>
  </r>
  <r>
    <n v="1048"/>
    <x v="47"/>
    <x v="44"/>
    <d v="2024-07-21T00:00:00"/>
    <s v="Second Class"/>
    <s v="CUST-1091"/>
    <s v="FATHIMA ALI"/>
    <x v="0"/>
    <s v="India"/>
    <s v="Mumbai"/>
    <s v="Maharashtra"/>
    <x v="0"/>
    <n v="560001"/>
    <s v="P-517"/>
    <x v="4"/>
    <s v="Kitchen"/>
    <s v="Mixer Grinder"/>
    <n v="5446.31"/>
    <n v="1"/>
    <n v="0.1"/>
    <n v="352.91"/>
    <s v="OK"/>
    <s v="OK"/>
  </r>
  <r>
    <n v="1049"/>
    <x v="48"/>
    <x v="45"/>
    <d v="2024-07-23T00:00:00"/>
    <s v="Standard Class"/>
    <s v="CUST-1110"/>
    <s v="MUHAMMED SHAFI"/>
    <x v="0"/>
    <s v="India"/>
    <s v="Mumbai"/>
    <s v="Maharashtra"/>
    <x v="3"/>
    <n v="560001"/>
    <s v="P-106"/>
    <x v="3"/>
    <s v="Binders"/>
    <s v="Office Binder Pack"/>
    <n v="489.27"/>
    <n v="1"/>
    <n v="0.25"/>
    <n v="17.68"/>
    <s v="OK"/>
    <s v="OK"/>
  </r>
  <r>
    <n v="1050"/>
    <x v="49"/>
    <x v="46"/>
    <d v="2024-10-08T00:00:00"/>
    <s v="Second Class"/>
    <s v="CUST-1063"/>
    <s v="FATHIMA ALI"/>
    <x v="1"/>
    <s v="India"/>
    <s v="Mumbai"/>
    <s v="Maharashtra"/>
    <x v="1"/>
    <n v="560001"/>
    <s v="P-597"/>
    <x v="2"/>
    <s v="Chairs"/>
    <s v="Ergonomic Office Chair"/>
    <n v="29454.639999999999"/>
    <n v="5"/>
    <n v="0.25"/>
    <n v="-59.2"/>
    <s v="OK"/>
    <s v="OK"/>
  </r>
  <r>
    <n v="1051"/>
    <x v="50"/>
    <x v="47"/>
    <d v="2024-03-29T00:00:00"/>
    <s v="Second Class"/>
    <s v="CUST-1080"/>
    <s v="VISHNU RAJ"/>
    <x v="0"/>
    <s v="India"/>
    <s v="Kozhikode"/>
    <s v="Kerala"/>
    <x v="0"/>
    <n v="560001"/>
    <s v="P-706"/>
    <x v="2"/>
    <s v="Bookcases"/>
    <s v="Wooden Bookshelf"/>
    <n v="17760.55"/>
    <n v="4"/>
    <n v="0.25"/>
    <n v="-47.43"/>
    <s v="OK"/>
    <s v="OK"/>
  </r>
  <r>
    <n v="1052"/>
    <x v="51"/>
    <x v="48"/>
    <d v="2024-08-26T00:00:00"/>
    <s v="Standard Class"/>
    <s v="CUST-1034"/>
    <s v="AMAL THOMAS"/>
    <x v="0"/>
    <s v="India"/>
    <s v="Jaipur"/>
    <s v="Rajasthan"/>
    <x v="1"/>
    <n v="682001"/>
    <s v="P-565"/>
    <x v="3"/>
    <s v="Art"/>
    <s v="Marker Set"/>
    <n v="1050.83"/>
    <n v="3"/>
    <n v="0.05"/>
    <n v="176.77"/>
    <s v="OK"/>
    <s v="OK"/>
  </r>
  <r>
    <n v="1053"/>
    <x v="52"/>
    <x v="49"/>
    <d v="2024-05-10T00:00:00"/>
    <s v="Same Day"/>
    <s v="CUST-1003"/>
    <s v="NIKHIL VARMA"/>
    <x v="1"/>
    <s v="India"/>
    <s v="Mumbai"/>
    <s v="Maharashtra"/>
    <x v="0"/>
    <n v="695001"/>
    <s v="P-329"/>
    <x v="2"/>
    <s v="Tables"/>
    <s v="Study Table"/>
    <n v="11504.27"/>
    <n v="2"/>
    <n v="0.25"/>
    <n v="-25.16"/>
    <s v="OK"/>
    <s v="OK"/>
  </r>
  <r>
    <n v="1054"/>
    <x v="53"/>
    <x v="50"/>
    <d v="2024-05-08T00:00:00"/>
    <s v="Standard Class"/>
    <s v="CUST-1080"/>
    <s v="RAHUL KUMAR"/>
    <x v="1"/>
    <s v="India"/>
    <s v="Lucknow"/>
    <s v="Uttar Pradesh"/>
    <x v="2"/>
    <n v="682001"/>
    <s v="P-584"/>
    <x v="0"/>
    <s v="Mobiles"/>
    <s v="Samsung Galaxy A55"/>
    <n v="141935.22"/>
    <n v="4"/>
    <n v="0"/>
    <n v="17607.82"/>
    <s v="OK"/>
    <s v="OK"/>
  </r>
  <r>
    <n v="1055"/>
    <x v="54"/>
    <x v="51"/>
    <d v="2024-07-09T00:00:00"/>
    <s v="Standard Class"/>
    <s v="CUST-1100"/>
    <s v="RIYA PAUL"/>
    <x v="1"/>
    <s v="India"/>
    <s v="Lucknow"/>
    <s v="Uttar Pradesh"/>
    <x v="2"/>
    <n v="695001"/>
    <s v="P-210"/>
    <x v="0"/>
    <s v="Mobiles"/>
    <s v="Samsung Galaxy A55"/>
    <n v="29272.2"/>
    <n v="1"/>
    <n v="0.15"/>
    <n v="288.51"/>
    <s v="OK"/>
    <s v="OK"/>
  </r>
  <r>
    <n v="1056"/>
    <x v="55"/>
    <x v="52"/>
    <d v="2024-07-28T00:00:00"/>
    <s v="Second Class"/>
    <s v="CUST-1010"/>
    <s v="DIYA MATHEW"/>
    <x v="2"/>
    <s v="India"/>
    <s v="Jaipur"/>
    <s v="Rajasthan"/>
    <x v="2"/>
    <n v="673001"/>
    <s v="P-813"/>
    <x v="0"/>
    <s v="Laptops"/>
    <s v="Dell Inspiron 15"/>
    <n v="113064.15"/>
    <n v="3"/>
    <n v="0.25"/>
    <n v="-4930.3999999999996"/>
    <s v="OK"/>
    <s v="OK"/>
  </r>
  <r>
    <n v="1057"/>
    <x v="56"/>
    <x v="53"/>
    <d v="2024-10-17T00:00:00"/>
    <s v="First Class"/>
    <s v="CUST-1069"/>
    <s v="AMAL THOMAS"/>
    <x v="2"/>
    <s v="India"/>
    <s v="Bhubaneswar"/>
    <s v="Odisha"/>
    <x v="1"/>
    <n v="673001"/>
    <s v="P-618"/>
    <x v="2"/>
    <s v="Chairs"/>
    <s v="Ergonomic Office Chair"/>
    <n v="27253.17"/>
    <n v="3"/>
    <n v="0"/>
    <n v="5032.29"/>
    <s v="OK"/>
    <s v="OK"/>
  </r>
  <r>
    <n v="1058"/>
    <x v="57"/>
    <x v="54"/>
    <d v="2024-02-28T00:00:00"/>
    <s v="First Class"/>
    <s v="CUST-1082"/>
    <s v="MUHAMMED SHAFI"/>
    <x v="0"/>
    <s v="India"/>
    <s v="Lucknow"/>
    <s v="Uttar Pradesh"/>
    <x v="3"/>
    <n v="400001"/>
    <s v="P-256"/>
    <x v="2"/>
    <s v="Tables"/>
    <s v="Study Table"/>
    <n v="10295.15"/>
    <n v="2"/>
    <n v="0.3"/>
    <n v="-427.25"/>
    <s v="OK"/>
    <s v="OK"/>
  </r>
  <r>
    <n v="1059"/>
    <x v="58"/>
    <x v="55"/>
    <d v="2024-11-16T00:00:00"/>
    <s v="Same Day"/>
    <s v="CUST-1060"/>
    <s v="AMAL THOMAS"/>
    <x v="1"/>
    <s v="India"/>
    <s v="Pune"/>
    <s v="Maharashtra"/>
    <x v="1"/>
    <n v="695001"/>
    <s v="P-972"/>
    <x v="0"/>
    <s v="Accessories"/>
    <s v="Logitech Wireless Mouse"/>
    <n v="7486.91"/>
    <n v="7"/>
    <n v="0.15"/>
    <n v="78.92"/>
    <s v="OK"/>
    <s v="OK"/>
  </r>
  <r>
    <n v="1060"/>
    <x v="59"/>
    <x v="56"/>
    <d v="2024-05-08T00:00:00"/>
    <s v="Same Day"/>
    <s v="CUST-1044"/>
    <s v="AARAV NAIR"/>
    <x v="2"/>
    <s v="India"/>
    <s v="Bengaluru"/>
    <s v="Karnataka"/>
    <x v="3"/>
    <n v="110001"/>
    <s v="P-432"/>
    <x v="4"/>
    <s v="Kitchen"/>
    <s v="Electric Kettle"/>
    <n v="3273.45"/>
    <n v="2"/>
    <n v="0.3"/>
    <n v="-216.96"/>
    <s v="OK"/>
    <s v="OK"/>
  </r>
  <r>
    <n v="1061"/>
    <x v="60"/>
    <x v="57"/>
    <d v="2024-05-28T00:00:00"/>
    <s v="First Class"/>
    <s v="CUST-1072"/>
    <s v="AARAV NAIR"/>
    <x v="0"/>
    <s v="India"/>
    <s v="Thiruvananthapuram"/>
    <s v="Kerala"/>
    <x v="2"/>
    <n v="673001"/>
    <s v="P-347"/>
    <x v="3"/>
    <s v="Paper"/>
    <s v="A4 Copier Paper"/>
    <n v="1888.54"/>
    <n v="5"/>
    <n v="0.2"/>
    <n v="158.38"/>
    <s v="OK"/>
    <s v="OK"/>
  </r>
  <r>
    <n v="1062"/>
    <x v="61"/>
    <x v="58"/>
    <d v="2024-12-02T00:00:00"/>
    <s v="Same Day"/>
    <s v="CUST-1058"/>
    <s v="ASHA KRISHNAN"/>
    <x v="0"/>
    <s v="India"/>
    <s v="Kolkata"/>
    <s v="West Bengal"/>
    <x v="0"/>
    <n v="673001"/>
    <s v="P-401"/>
    <x v="2"/>
    <s v="Bookcases"/>
    <s v="Wooden Bookshelf"/>
    <n v="17398.18"/>
    <n v="4"/>
    <n v="0.3"/>
    <n v="-490.21"/>
    <s v="OK"/>
    <s v="OK"/>
  </r>
  <r>
    <n v="1063"/>
    <x v="62"/>
    <x v="59"/>
    <d v="2024-09-04T00:00:00"/>
    <s v="First Class"/>
    <s v="CUST-1055"/>
    <s v="NIKHIL VARMA"/>
    <x v="1"/>
    <s v="India"/>
    <s v="Bengaluru"/>
    <s v="Karnataka"/>
    <x v="1"/>
    <n v="695001"/>
    <s v="P-819"/>
    <x v="2"/>
    <s v="Bookcases"/>
    <s v="Wooden Bookshelf"/>
    <n v="9794.25"/>
    <n v="2"/>
    <n v="0.2"/>
    <n v="283.12"/>
    <s v="OK"/>
    <s v="OK"/>
  </r>
  <r>
    <n v="1064"/>
    <x v="63"/>
    <x v="6"/>
    <d v="2024-06-11T00:00:00"/>
    <s v="Second Class"/>
    <s v="CUST-1025"/>
    <s v="FATHIMA ALI"/>
    <x v="0"/>
    <s v="India"/>
    <s v="Ahmedabad"/>
    <s v="Gujarat"/>
    <x v="3"/>
    <n v="695001"/>
    <s v="P-841"/>
    <x v="2"/>
    <s v="Chairs"/>
    <s v="Ergonomic Office Chair"/>
    <n v="8039.25"/>
    <n v="1"/>
    <n v="0.1"/>
    <n v="901.48"/>
    <s v="OK"/>
    <s v="OK"/>
  </r>
  <r>
    <n v="1065"/>
    <x v="64"/>
    <x v="60"/>
    <d v="2024-04-12T00:00:00"/>
    <s v="Second Class"/>
    <s v="CUST-1047"/>
    <s v="RAHUL KUMAR"/>
    <x v="0"/>
    <s v="India"/>
    <s v="Jaipur"/>
    <s v="Rajasthan"/>
    <x v="1"/>
    <n v="673001"/>
    <s v="P-825"/>
    <x v="1"/>
    <s v="Shoes"/>
    <s v="Running Shoes"/>
    <n v="5895.12"/>
    <n v="2"/>
    <n v="0"/>
    <n v="1481.7"/>
    <s v="OK"/>
    <s v="OK"/>
  </r>
  <r>
    <n v="1066"/>
    <x v="65"/>
    <x v="61"/>
    <d v="2024-12-25T00:00:00"/>
    <s v="Same Day"/>
    <s v="CUST-1014"/>
    <s v="RIYA PAUL"/>
    <x v="0"/>
    <s v="India"/>
    <s v="Delhi"/>
    <s v="Delhi"/>
    <x v="0"/>
    <n v="600001"/>
    <s v="P-391"/>
    <x v="0"/>
    <s v="Accessories"/>
    <s v="Logitech Wireless Mouse"/>
    <n v="999999.99"/>
    <n v="8"/>
    <n v="0.15"/>
    <n v="86.67"/>
    <s v="OK"/>
    <s v="OK"/>
  </r>
  <r>
    <n v="1067"/>
    <x v="66"/>
    <x v="49"/>
    <d v="2024-05-13T00:00:00"/>
    <s v="Standard Class"/>
    <s v="CUST-1106"/>
    <s v="ANANYA MENON"/>
    <x v="0"/>
    <s v="India"/>
    <s v="Ahmedabad"/>
    <s v="Gujarat"/>
    <x v="3"/>
    <n v="560001"/>
    <s v="P-175"/>
    <x v="3"/>
    <s v="Paper"/>
    <s v="A4 Copier Paper"/>
    <n v="422.63"/>
    <n v="1"/>
    <n v="0"/>
    <n v="77.66"/>
    <s v="OK"/>
    <s v="OK"/>
  </r>
  <r>
    <n v="1068"/>
    <x v="67"/>
    <x v="62"/>
    <d v="2024-02-15T00:00:00"/>
    <s v="Standard Class"/>
    <s v="CUST-1072"/>
    <s v="ASHA KRISHNAN"/>
    <x v="1"/>
    <s v="India"/>
    <s v="Jaipur"/>
    <s v="Rajasthan"/>
    <x v="3"/>
    <n v="600001"/>
    <s v="P-710"/>
    <x v="3"/>
    <s v="Art"/>
    <s v="Marker Set"/>
    <n v="345.89"/>
    <n v="1"/>
    <n v="0.15"/>
    <n v="32.32"/>
    <s v="OK"/>
    <s v="OK"/>
  </r>
  <r>
    <n v="1069"/>
    <x v="68"/>
    <x v="63"/>
    <d v="2024-08-17T00:00:00"/>
    <s v="Same Day"/>
    <s v="CUST-1040"/>
    <s v="DIYA MATHEW"/>
    <x v="0"/>
    <s v="India"/>
    <s v="Bhubaneswar"/>
    <s v="Odisha"/>
    <x v="0"/>
    <n v="600001"/>
    <s v="P-857"/>
    <x v="3"/>
    <s v="Storage"/>
    <s v="Document Organizer"/>
    <n v="2001"/>
    <n v="3"/>
    <n v="0.3"/>
    <n v="11.02"/>
    <s v="OK"/>
    <s v="OK"/>
  </r>
  <r>
    <n v="1070"/>
    <x v="69"/>
    <x v="64"/>
    <d v="2024-03-23T00:00:00"/>
    <s v="Second Class"/>
    <s v="CUST-1071"/>
    <s v="ANANYA MENON"/>
    <x v="0"/>
    <s v="India"/>
    <s v="Kochi"/>
    <s v="Kerala"/>
    <x v="2"/>
    <n v="673001"/>
    <s v="P-518"/>
    <x v="1"/>
    <s v="Shoes"/>
    <s v="Running Shoes"/>
    <n v="3130.18"/>
    <n v="1"/>
    <n v="0"/>
    <n v="967.14"/>
    <s v="OK"/>
    <s v="OK"/>
  </r>
  <r>
    <n v="1071"/>
    <x v="70"/>
    <x v="65"/>
    <d v="2024-06-02T00:00:00"/>
    <s v="First Class"/>
    <s v="CUST-1090"/>
    <s v="RIYA PAUL"/>
    <x v="1"/>
    <s v="India"/>
    <s v="Ahmedabad"/>
    <s v="Gujarat"/>
    <x v="3"/>
    <n v="673001"/>
    <s v="P-803"/>
    <x v="1"/>
    <s v="Shirts"/>
    <s v="Cotton Casual Shirt"/>
    <n v="2706.46"/>
    <n v="2"/>
    <n v="0.1"/>
    <n v="438.55"/>
    <s v="OK"/>
    <s v="OK"/>
  </r>
  <r>
    <n v="1072"/>
    <x v="71"/>
    <x v="40"/>
    <d v="2024-08-06T00:00:00"/>
    <s v="Second Class"/>
    <s v="CUST-1083"/>
    <s v="RAHUL KUMAR"/>
    <x v="0"/>
    <s v="India"/>
    <s v="Bengaluru"/>
    <s v="Karnataka"/>
    <x v="1"/>
    <n v="110001"/>
    <s v="P-245"/>
    <x v="4"/>
    <s v="Kitchen"/>
    <s v="Mixer Grinder"/>
    <n v="26088.51"/>
    <n v="5"/>
    <n v="0.1"/>
    <n v="1526.92"/>
    <s v="OK"/>
    <s v="OK"/>
  </r>
  <r>
    <n v="1073"/>
    <x v="72"/>
    <x v="66"/>
    <d v="2024-08-13T00:00:00"/>
    <s v="Same Day"/>
    <s v="CUST-1089"/>
    <s v="ARJUN DAS"/>
    <x v="0"/>
    <s v="India"/>
    <s v="Kochi"/>
    <s v="Kerala"/>
    <x v="3"/>
    <n v="695001"/>
    <s v="P-612"/>
    <x v="0"/>
    <s v="Laptops"/>
    <s v="Dell Inspiron 15"/>
    <n v="85356.78"/>
    <n v="2"/>
    <n v="0.15"/>
    <n v="819.9"/>
    <s v="OK"/>
    <s v="OK"/>
  </r>
  <r>
    <n v="1074"/>
    <x v="73"/>
    <x v="67"/>
    <d v="2024-06-19T00:00:00"/>
    <s v="First Class"/>
    <s v="CUST-1004"/>
    <s v="ANANYA MENON"/>
    <x v="0"/>
    <s v="India"/>
    <s v="Delhi"/>
    <s v="Delhi"/>
    <x v="2"/>
    <n v="400001"/>
    <s v="P-956"/>
    <x v="3"/>
    <s v="Paper"/>
    <s v="A4 Copier Paper"/>
    <n v="1030.25"/>
    <n v="3"/>
    <n v="0.25"/>
    <n v="38.69"/>
    <s v="OK"/>
    <s v="OK"/>
  </r>
  <r>
    <n v="1075"/>
    <x v="74"/>
    <x v="68"/>
    <d v="2024-10-23T00:00:00"/>
    <s v="Second Class"/>
    <s v="CUST-1061"/>
    <s v="VISHNU RAJ"/>
    <x v="1"/>
    <s v="India"/>
    <s v="Hyderabad"/>
    <s v="Telangana"/>
    <x v="3"/>
    <n v="695001"/>
    <s v="P-285"/>
    <x v="3"/>
    <s v="Storage"/>
    <s v="Document Organizer"/>
    <n v="749.55"/>
    <n v="1"/>
    <n v="0.15"/>
    <n v="68.33"/>
    <s v="OK"/>
    <s v="OK"/>
  </r>
  <r>
    <n v="1076"/>
    <x v="75"/>
    <x v="69"/>
    <d v="2024-08-31T00:00:00"/>
    <s v="Same Day"/>
    <s v="CUST-1043"/>
    <s v="MEERA JOSEPH"/>
    <x v="1"/>
    <s v="India"/>
    <s v="Jaipur"/>
    <s v="Rajasthan"/>
    <x v="0"/>
    <n v="110001"/>
    <s v="P-264"/>
    <x v="2"/>
    <s v="Bookcases"/>
    <s v="Wooden Bookshelf"/>
    <n v="20454.189999999999"/>
    <n v="3"/>
    <n v="0"/>
    <n v="2846.51"/>
    <s v="OK"/>
    <s v="OK"/>
  </r>
  <r>
    <n v="1077"/>
    <x v="76"/>
    <x v="18"/>
    <d v="2024-10-09T00:00:00"/>
    <s v="Same Day"/>
    <s v="CUST-1012"/>
    <s v="MEERA JOSEPH"/>
    <x v="1"/>
    <s v="India"/>
    <s v="Mumbai"/>
    <s v="Maharashtra"/>
    <x v="1"/>
    <n v="695001"/>
    <s v="P-218"/>
    <x v="2"/>
    <s v="Bookcases"/>
    <s v="Wooden Bookshelf"/>
    <n v="9054.56"/>
    <n v="2"/>
    <n v="0.25"/>
    <n v="-22.52"/>
    <s v="OK"/>
    <s v="OK"/>
  </r>
  <r>
    <n v="1078"/>
    <x v="77"/>
    <x v="70"/>
    <d v="2024-12-07T00:00:00"/>
    <s v="Same Day"/>
    <s v="CUST-1053"/>
    <s v="AARAV NAIR"/>
    <x v="2"/>
    <s v="India"/>
    <s v="Bhubaneswar"/>
    <s v="Odisha"/>
    <x v="3"/>
    <n v="600001"/>
    <s v="P-470"/>
    <x v="2"/>
    <s v="Bookcases"/>
    <s v="Wooden Bookshelf"/>
    <n v="34486.53"/>
    <n v="5"/>
    <n v="0"/>
    <n v="4806.2"/>
    <s v="OK"/>
    <s v="OK"/>
  </r>
  <r>
    <n v="1079"/>
    <x v="78"/>
    <x v="71"/>
    <d v="2024-04-17T00:00:00"/>
    <s v="Second Class"/>
    <s v="CUST-1119"/>
    <s v="ARJUN DAS"/>
    <x v="0"/>
    <s v="India"/>
    <s v="Jaipur"/>
    <s v="Rajasthan"/>
    <x v="3"/>
    <n v="400001"/>
    <s v="P-596"/>
    <x v="1"/>
    <s v="Shoes"/>
    <s v="Running Shoes"/>
    <n v="6576.27"/>
    <n v="2"/>
    <n v="0"/>
    <n v="1859.13"/>
    <s v="OK"/>
    <s v="OK"/>
  </r>
  <r>
    <n v="1080"/>
    <x v="79"/>
    <x v="72"/>
    <d v="2024-12-31T00:00:00"/>
    <s v="First Class"/>
    <s v="CUST-1071"/>
    <s v="AARAV NAIR"/>
    <x v="2"/>
    <s v="India"/>
    <s v="Kochi"/>
    <s v="Kerala"/>
    <x v="3"/>
    <n v="673001"/>
    <s v="P-330"/>
    <x v="0"/>
    <s v="Laptops"/>
    <s v="Dell Inspiron 15"/>
    <n v="134506.29"/>
    <n v="3"/>
    <n v="0.1"/>
    <n v="6743.46"/>
    <s v="OK"/>
    <s v="OK"/>
  </r>
  <r>
    <n v="1081"/>
    <x v="80"/>
    <x v="73"/>
    <d v="2024-09-18T00:00:00"/>
    <s v="First Class"/>
    <s v="CUST-1066"/>
    <s v="NIKHIL VARMA"/>
    <x v="0"/>
    <s v="India"/>
    <s v="Hyderabad"/>
    <s v="Telangana"/>
    <x v="1"/>
    <n v="560001"/>
    <s v="P-954"/>
    <x v="4"/>
    <s v="Kitchen"/>
    <s v="Mixer Grinder"/>
    <n v="37754.06"/>
    <n v="7"/>
    <n v="0.05"/>
    <n v="3924.53"/>
    <s v="OK"/>
    <s v="OK"/>
  </r>
  <r>
    <n v="1082"/>
    <x v="81"/>
    <x v="74"/>
    <d v="2024-04-12T00:00:00"/>
    <s v="Second Class"/>
    <s v="CUST-1111"/>
    <s v="ANANYA MENON"/>
    <x v="0"/>
    <s v="India"/>
    <s v="Ahmedabad"/>
    <s v="Gujarat"/>
    <x v="1"/>
    <n v="110001"/>
    <s v="P-908"/>
    <x v="3"/>
    <s v="Paper"/>
    <s v="A4 Copier Paper"/>
    <n v="1034.1300000000001"/>
    <n v="3"/>
    <n v="0.25"/>
    <n v="39.47"/>
    <s v="OK"/>
    <s v="OK"/>
  </r>
  <r>
    <n v="1083"/>
    <x v="82"/>
    <x v="75"/>
    <d v="2024-01-05T00:00:00"/>
    <s v="First Class"/>
    <s v="CUST-1108"/>
    <s v="DIYA MATHEW"/>
    <x v="0"/>
    <s v="India"/>
    <s v="Hyderabad"/>
    <s v="Telangana"/>
    <x v="3"/>
    <n v="110001"/>
    <s v="P-252"/>
    <x v="2"/>
    <s v="Bookcases"/>
    <s v="Wooden Bookshelf"/>
    <n v="25416.94"/>
    <n v="5"/>
    <n v="0.15"/>
    <n v="1854.88"/>
    <s v="OK"/>
    <s v="OK"/>
  </r>
  <r>
    <n v="1084"/>
    <x v="83"/>
    <x v="39"/>
    <d v="2024-08-24T00:00:00"/>
    <s v="Second Class"/>
    <s v="CUST-1090"/>
    <s v="FATHIMA ALI"/>
    <x v="0"/>
    <s v="India"/>
    <s v="Ahmedabad"/>
    <s v="Gujarat"/>
    <x v="3"/>
    <n v="682001"/>
    <s v="P-976"/>
    <x v="3"/>
    <s v="Binders"/>
    <s v="Office Binder Pack"/>
    <n v="947.04"/>
    <n v="2"/>
    <n v="0.25"/>
    <n v="29.95"/>
    <s v="OK"/>
    <s v="OK"/>
  </r>
  <r>
    <n v="1085"/>
    <x v="84"/>
    <x v="76"/>
    <d v="2024-07-22T00:00:00"/>
    <s v="Second Class"/>
    <s v="CUST-1064"/>
    <s v="AARAV NAIR"/>
    <x v="0"/>
    <s v="India"/>
    <s v="Bhubaneswar"/>
    <s v="Odisha"/>
    <x v="2"/>
    <n v="600001"/>
    <s v="P-704"/>
    <x v="2"/>
    <s v="Bookcases"/>
    <s v="Wooden Bookshelf"/>
    <n v="17789.259999999998"/>
    <n v="4"/>
    <n v="0.25"/>
    <n v="-46.49"/>
    <s v="OK"/>
    <s v="OK"/>
  </r>
  <r>
    <n v="1086"/>
    <x v="85"/>
    <x v="77"/>
    <d v="2024-09-30T00:00:00"/>
    <s v="Standard Class"/>
    <s v="CUST-1093"/>
    <s v="RAHUL KUMAR"/>
    <x v="0"/>
    <s v="India"/>
    <s v="Mumbai"/>
    <s v="Maharashtra"/>
    <x v="3"/>
    <n v="110001"/>
    <s v="P-770"/>
    <x v="4"/>
    <s v="Kitchen"/>
    <s v="Electric Kettle"/>
    <n v="11312.51"/>
    <n v="5"/>
    <n v="0"/>
    <n v="1115.17"/>
    <s v="OK"/>
    <s v="OK"/>
  </r>
  <r>
    <n v="1087"/>
    <x v="86"/>
    <x v="78"/>
    <d v="2024-11-21T00:00:00"/>
    <s v="Same Day"/>
    <s v="CUST-1084"/>
    <s v="ANANYA MENON"/>
    <x v="0"/>
    <s v="India"/>
    <s v="Thiruvananthapuram"/>
    <s v="Kerala"/>
    <x v="1"/>
    <n v="110001"/>
    <s v="P-790"/>
    <x v="0"/>
    <s v="Mobiles"/>
    <s v="Samsung Galaxy A55"/>
    <n v="201990.07"/>
    <n v="7"/>
    <n v="0.2"/>
    <n v="-3487.35"/>
    <s v="OK"/>
    <s v="OK"/>
  </r>
  <r>
    <n v="1088"/>
    <x v="87"/>
    <x v="79"/>
    <d v="2024-10-05T00:00:00"/>
    <s v="Standard Class"/>
    <s v="CUST-1031"/>
    <s v="ADIL KHAN"/>
    <x v="0"/>
    <s v="India"/>
    <s v="Hyderabad"/>
    <s v="Telangana"/>
    <x v="1"/>
    <n v="682001"/>
    <s v="P-864"/>
    <x v="3"/>
    <s v="Binders"/>
    <s v="Office Binder Pack"/>
    <n v="931.14"/>
    <n v="2"/>
    <n v="0.3"/>
    <n v="3.9"/>
    <s v="OK"/>
    <s v="OK"/>
  </r>
  <r>
    <n v="1089"/>
    <x v="88"/>
    <x v="80"/>
    <d v="2024-08-17T00:00:00"/>
    <s v="First Class"/>
    <s v="CUST-1116"/>
    <s v="AARAV NAIR"/>
    <x v="2"/>
    <s v="India"/>
    <s v="Kochi"/>
    <s v="Kerala"/>
    <x v="0"/>
    <n v="695001"/>
    <s v="P-915"/>
    <x v="2"/>
    <s v="Bookcases"/>
    <s v="Wooden Bookshelf"/>
    <n v="26382.080000000002"/>
    <n v="4"/>
    <n v="0"/>
    <n v="3982.08"/>
    <s v="OK"/>
    <s v="OK"/>
  </r>
  <r>
    <n v="1090"/>
    <x v="89"/>
    <x v="81"/>
    <d v="2024-10-02T00:00:00"/>
    <s v="Second Class"/>
    <s v="CUST-1022"/>
    <s v="RAHUL KUMAR"/>
    <x v="0"/>
    <s v="India"/>
    <s v="Kozhikode"/>
    <s v="Kerala"/>
    <x v="0"/>
    <n v="600001"/>
    <s v="P-991"/>
    <x v="2"/>
    <s v="Chairs"/>
    <s v="Ergonomic Office Chair"/>
    <n v="16369.12"/>
    <n v="2"/>
    <n v="0.1"/>
    <n v="1273.23"/>
    <s v="OK"/>
    <s v="OK"/>
  </r>
  <r>
    <n v="1091"/>
    <x v="90"/>
    <x v="82"/>
    <d v="2024-05-02T00:00:00"/>
    <s v="First Class"/>
    <s v="CUST-1059"/>
    <s v="ARJUN DAS"/>
    <x v="1"/>
    <s v="India"/>
    <s v="Pune"/>
    <s v="Maharashtra"/>
    <x v="0"/>
    <n v="110001"/>
    <s v="P-576"/>
    <x v="3"/>
    <s v="Storage"/>
    <s v="Document Organizer"/>
    <n v="2638.65"/>
    <n v="3"/>
    <n v="0.05"/>
    <n v="356.56"/>
    <s v="OK"/>
    <s v="OK"/>
  </r>
  <r>
    <n v="1092"/>
    <x v="91"/>
    <x v="83"/>
    <d v="2024-10-30T00:00:00"/>
    <s v="Same Day"/>
    <s v="CUST-1089"/>
    <s v="ARJUN DAS"/>
    <x v="0"/>
    <s v="India"/>
    <s v="Chennai"/>
    <s v="Tamil Nadu"/>
    <x v="3"/>
    <n v="110001"/>
    <s v="P-409"/>
    <x v="3"/>
    <s v="Art"/>
    <s v="Marker Set"/>
    <n v="324.66000000000003"/>
    <n v="1"/>
    <n v="0.2"/>
    <n v="27.01"/>
    <s v="OK"/>
    <s v="OK"/>
  </r>
  <r>
    <n v="1093"/>
    <x v="92"/>
    <x v="84"/>
    <d v="2024-10-22T00:00:00"/>
    <s v="First Class"/>
    <s v="CUST-1090"/>
    <s v="ARJUN DAS"/>
    <x v="2"/>
    <s v="India"/>
    <s v="Bengaluru"/>
    <s v="Karnataka"/>
    <x v="0"/>
    <n v="110001"/>
    <s v="P-774"/>
    <x v="2"/>
    <s v="Bookcases"/>
    <s v="Wooden Bookshelf"/>
    <n v="4614.1000000000004"/>
    <n v="1"/>
    <n v="0.25"/>
    <n v="-12.46"/>
    <s v="OK"/>
    <s v="OK"/>
  </r>
  <r>
    <n v="1094"/>
    <x v="93"/>
    <x v="85"/>
    <d v="2024-11-12T00:00:00"/>
    <s v="Same Day"/>
    <s v="CUST-1111"/>
    <s v="MUHAMMED SHAFI"/>
    <x v="0"/>
    <s v="India"/>
    <s v="Pune"/>
    <s v="Maharashtra"/>
    <x v="1"/>
    <n v="110001"/>
    <s v="P-918"/>
    <x v="2"/>
    <s v="Chairs"/>
    <s v="Ergonomic Office Chair"/>
    <n v="44657.11"/>
    <n v="5"/>
    <n v="0"/>
    <n v="7342.35"/>
    <s v="OK"/>
    <s v="OK"/>
  </r>
  <r>
    <n v="1095"/>
    <x v="94"/>
    <x v="30"/>
    <d v="2024-11-16T00:00:00"/>
    <s v="Second Class"/>
    <s v="CUST-1081"/>
    <s v="ANANYA MENON"/>
    <x v="1"/>
    <s v="India"/>
    <s v="Bengaluru"/>
    <s v="Karnataka"/>
    <x v="0"/>
    <n v="695001"/>
    <s v="P-907"/>
    <x v="3"/>
    <s v="Storage"/>
    <s v="Document Organizer"/>
    <n v="859.06"/>
    <n v="1"/>
    <n v="0.1"/>
    <n v="101"/>
    <s v="OK"/>
    <s v="OK"/>
  </r>
  <r>
    <n v="1096"/>
    <x v="95"/>
    <x v="86"/>
    <d v="2024-06-03T00:00:00"/>
    <s v="Same Day"/>
    <s v="CUST-1023"/>
    <s v="FATHIMA ALI"/>
    <x v="1"/>
    <s v="India"/>
    <s v="Ahmedabad"/>
    <s v="Gujarat"/>
    <x v="2"/>
    <n v="110001"/>
    <s v="P-652"/>
    <x v="0"/>
    <s v="Laptops"/>
    <s v="Dell Inspiron 15"/>
    <n v="194458.46"/>
    <n v="4"/>
    <n v="0"/>
    <n v="25638.74"/>
    <s v="OK"/>
    <s v="OK"/>
  </r>
  <r>
    <n v="1097"/>
    <x v="96"/>
    <x v="87"/>
    <d v="2024-05-15T00:00:00"/>
    <s v="First Class"/>
    <s v="CUST-1096"/>
    <s v="RIYA PAUL"/>
    <x v="0"/>
    <s v="India"/>
    <s v="Mumbai"/>
    <s v="Maharashtra"/>
    <x v="1"/>
    <n v="110001"/>
    <s v="P-217"/>
    <x v="3"/>
    <s v="Binders"/>
    <s v="Office Binder Pack"/>
    <n v="1314.12"/>
    <n v="2"/>
    <n v="0.05"/>
    <n v="234.76"/>
    <s v="OK"/>
    <s v="OK"/>
  </r>
  <r>
    <n v="1098"/>
    <x v="97"/>
    <x v="88"/>
    <d v="2024-10-15T00:00:00"/>
    <s v="Standard Class"/>
    <s v="CUST-1102"/>
    <s v="AMAL THOMAS"/>
    <x v="0"/>
    <s v="India"/>
    <s v="Ahmedabad"/>
    <s v="Gujarat"/>
    <x v="0"/>
    <n v="695001"/>
    <s v="P-649"/>
    <x v="0"/>
    <s v="Mobiles"/>
    <s v="Samsung Galaxy A55"/>
    <n v="184132.26"/>
    <n v="7"/>
    <n v="0.25"/>
    <n v="-8938.1"/>
    <s v="OK"/>
    <s v="OK"/>
  </r>
  <r>
    <n v="1099"/>
    <x v="98"/>
    <x v="89"/>
    <d v="2024-10-30T00:00:00"/>
    <s v="First Class"/>
    <s v="CUST-1014"/>
    <s v="ADIL KHAN"/>
    <x v="0"/>
    <s v="India"/>
    <s v="Kochi"/>
    <s v="Kerala"/>
    <x v="2"/>
    <n v="560001"/>
    <s v="P-125"/>
    <x v="3"/>
    <s v="Paper"/>
    <s v="A4 Copier Paper"/>
    <n v="1585.31"/>
    <n v="4"/>
    <n v="0.15"/>
    <n v="194.76"/>
    <s v="OK"/>
    <s v="OK"/>
  </r>
  <r>
    <n v="1100"/>
    <x v="99"/>
    <x v="90"/>
    <d v="2024-11-28T00:00:00"/>
    <s v="Same Day"/>
    <s v="CUST-1117"/>
    <s v="NIKHIL VARMA"/>
    <x v="2"/>
    <s v="India"/>
    <s v="Jaipur"/>
    <s v="Rajasthan"/>
    <x v="1"/>
    <n v="400001"/>
    <s v="P-518"/>
    <x v="4"/>
    <s v="Kitchen"/>
    <s v="Mixer Grinder"/>
    <n v="11086.59"/>
    <n v="2"/>
    <n v="0.1"/>
    <n v="821.47"/>
    <s v="OK"/>
    <s v="OK"/>
  </r>
  <r>
    <n v="1101"/>
    <x v="100"/>
    <x v="91"/>
    <d v="2024-03-01T00:00:00"/>
    <s v="Second Class"/>
    <s v="CUST-1114"/>
    <s v="VISHNU RAJ"/>
    <x v="0"/>
    <s v="India"/>
    <s v="Kochi"/>
    <s v="Kerala"/>
    <x v="2"/>
    <n v="560001"/>
    <s v="P-564"/>
    <x v="0"/>
    <s v="Accessories"/>
    <s v="Logitech Wireless Mouse"/>
    <n v="859.09"/>
    <n v="1"/>
    <n v="0.3"/>
    <n v="-57.84"/>
    <s v="OK"/>
    <s v="OK"/>
  </r>
  <r>
    <n v="1102"/>
    <x v="101"/>
    <x v="83"/>
    <d v="2024-11-02T00:00:00"/>
    <s v="Second Class"/>
    <s v="CUST-1114"/>
    <s v="AMAL THOMAS"/>
    <x v="2"/>
    <s v="India"/>
    <s v="Mumbai"/>
    <s v="Maharashtra"/>
    <x v="0"/>
    <n v="110001"/>
    <s v="P-601"/>
    <x v="3"/>
    <s v="Art"/>
    <s v="Marker Set"/>
    <n v="1078.28"/>
    <n v="4"/>
    <n v="0.25"/>
    <n v="48.49"/>
    <s v="OK"/>
    <s v="OK"/>
  </r>
  <r>
    <n v="1103"/>
    <x v="102"/>
    <x v="92"/>
    <d v="2024-04-25T00:00:00"/>
    <s v="Same Day"/>
    <s v="CUST-1031"/>
    <s v="RIYA PAUL"/>
    <x v="2"/>
    <s v="India"/>
    <s v="Jaipur"/>
    <s v="Rajasthan"/>
    <x v="1"/>
    <n v="673001"/>
    <s v="P-802"/>
    <x v="2"/>
    <s v="Bookcases"/>
    <s v="Wooden Bookshelf"/>
    <n v="10414.370000000001"/>
    <n v="2"/>
    <n v="0.2"/>
    <n v="235.76"/>
    <s v="OK"/>
    <s v="OK"/>
  </r>
  <r>
    <n v="1104"/>
    <x v="103"/>
    <x v="52"/>
    <d v="2024-07-25T00:00:00"/>
    <s v="Second Class"/>
    <s v="CUST-1016"/>
    <s v="RIYA PAUL"/>
    <x v="2"/>
    <s v="India"/>
    <s v="Mumbai"/>
    <s v="Maharashtra"/>
    <x v="3"/>
    <n v="673001"/>
    <s v="P-778"/>
    <x v="3"/>
    <s v="Binders"/>
    <s v="Office Binder Pack"/>
    <n v="1825.66"/>
    <n v="3"/>
    <n v="0"/>
    <n v="394.98"/>
    <s v="OK"/>
    <s v="OK"/>
  </r>
  <r>
    <n v="1105"/>
    <x v="104"/>
    <x v="31"/>
    <d v="2024-06-21T00:00:00"/>
    <s v="Second Class"/>
    <s v="CUST-1101"/>
    <s v="DIYA MATHEW"/>
    <x v="1"/>
    <s v="India"/>
    <s v="Bengaluru"/>
    <s v="Karnataka"/>
    <x v="2"/>
    <n v="673001"/>
    <s v="P-949"/>
    <x v="3"/>
    <s v="Art"/>
    <s v="Marker Set"/>
    <n v="2799.26"/>
    <n v="8"/>
    <n v="0"/>
    <n v="464.9"/>
    <s v="OK"/>
    <s v="OK"/>
  </r>
  <r>
    <n v="1106"/>
    <x v="105"/>
    <x v="93"/>
    <d v="2024-06-19T00:00:00"/>
    <s v="Standard Class"/>
    <s v="CUST-1036"/>
    <s v="RIYA PAUL"/>
    <x v="0"/>
    <s v="India"/>
    <s v="Bhubaneswar"/>
    <s v="Odisha"/>
    <x v="2"/>
    <n v="682001"/>
    <s v="P-653"/>
    <x v="3"/>
    <s v="Binders"/>
    <s v="Office Binder Pack"/>
    <n v="589.55999999999995"/>
    <n v="1"/>
    <n v="0.1"/>
    <n v="87.23"/>
    <s v="OK"/>
    <s v="OK"/>
  </r>
  <r>
    <n v="1107"/>
    <x v="106"/>
    <x v="94"/>
    <d v="2024-03-09T00:00:00"/>
    <s v="First Class"/>
    <s v="CUST-1102"/>
    <s v="ASHA KRISHNAN"/>
    <x v="0"/>
    <s v="India"/>
    <s v="Chennai"/>
    <s v="Tamil Nadu"/>
    <x v="2"/>
    <n v="600001"/>
    <s v="P-431"/>
    <x v="1"/>
    <s v="Shoes"/>
    <s v="Running Shoes"/>
    <n v="13111.22"/>
    <n v="4"/>
    <n v="0"/>
    <n v="2825.91"/>
    <s v="OK"/>
    <s v="OK"/>
  </r>
  <r>
    <n v="1108"/>
    <x v="107"/>
    <x v="77"/>
    <d v="2024-09-27T00:00:00"/>
    <s v="Standard Class"/>
    <s v="CUST-1061"/>
    <s v="SNEHA NAIR"/>
    <x v="0"/>
    <s v="India"/>
    <s v="Kozhikode"/>
    <s v="Kerala"/>
    <x v="1"/>
    <n v="600001"/>
    <s v="P-707"/>
    <x v="0"/>
    <s v="Accessories"/>
    <s v="Logitech Wireless Mouse"/>
    <n v="930.55"/>
    <n v="1"/>
    <n v="0.25"/>
    <n v="-42.44"/>
    <s v="OK"/>
    <s v="OK"/>
  </r>
  <r>
    <n v="1109"/>
    <x v="108"/>
    <x v="95"/>
    <d v="2024-12-08T00:00:00"/>
    <s v="First Class"/>
    <s v="CUST-1059"/>
    <s v="ADIL KHAN"/>
    <x v="0"/>
    <s v="India"/>
    <s v="Kochi"/>
    <s v="Kerala"/>
    <x v="0"/>
    <n v="673001"/>
    <s v="P-590"/>
    <x v="3"/>
    <s v="Paper"/>
    <s v="A4 Copier Paper"/>
    <n v="3062"/>
    <n v="7"/>
    <n v="0"/>
    <n v="687.88"/>
    <s v="OK"/>
    <s v="OK"/>
  </r>
  <r>
    <n v="1110"/>
    <x v="109"/>
    <x v="24"/>
    <d v="2024-02-08T00:00:00"/>
    <s v="First Class"/>
    <s v="CUST-1078"/>
    <s v="RAHUL KUMAR"/>
    <x v="0"/>
    <s v="India"/>
    <s v="Hyderabad"/>
    <s v="Telangana"/>
    <x v="0"/>
    <n v="682001"/>
    <s v="P-381"/>
    <x v="2"/>
    <s v="Bookcases"/>
    <s v="Wooden Bookshelf"/>
    <n v="4587.26"/>
    <n v="1"/>
    <n v="0.3"/>
    <n v="-188.59"/>
    <s v="OK"/>
    <s v="OK"/>
  </r>
  <r>
    <n v="1111"/>
    <x v="110"/>
    <x v="96"/>
    <d v="2024-11-06T00:00:00"/>
    <s v="First Class"/>
    <s v="CUST-1059"/>
    <s v="VISHNU RAJ"/>
    <x v="1"/>
    <s v="India"/>
    <s v="Jaipur"/>
    <s v="Rajasthan"/>
    <x v="3"/>
    <n v="673001"/>
    <s v="P-912"/>
    <x v="3"/>
    <s v="Art"/>
    <s v="Marker Set"/>
    <n v="1168.75"/>
    <n v="4"/>
    <n v="0.25"/>
    <n v="45.33"/>
    <s v="OK"/>
    <s v="OK"/>
  </r>
  <r>
    <n v="1112"/>
    <x v="111"/>
    <x v="29"/>
    <d v="2024-08-12T00:00:00"/>
    <s v="Second Class"/>
    <s v="CUST-1053"/>
    <s v="MEERA JOSEPH"/>
    <x v="2"/>
    <s v="India"/>
    <s v="Kolkata"/>
    <s v="West Bengal"/>
    <x v="3"/>
    <n v="560001"/>
    <s v="P-525"/>
    <x v="0"/>
    <s v="Mobiles"/>
    <s v="Samsung Galaxy A55"/>
    <n v="121174.44"/>
    <n v="4"/>
    <n v="0.1"/>
    <n v="5092.1899999999996"/>
    <s v="OK"/>
    <s v="OK"/>
  </r>
  <r>
    <n v="1113"/>
    <x v="112"/>
    <x v="97"/>
    <d v="2024-07-12T00:00:00"/>
    <s v="Same Day"/>
    <s v="CUST-1009"/>
    <s v="ANANYA MENON"/>
    <x v="0"/>
    <s v="India"/>
    <s v="Kolkata"/>
    <s v="West Bengal"/>
    <x v="0"/>
    <n v="673001"/>
    <s v="P-542"/>
    <x v="0"/>
    <s v="Mobiles"/>
    <s v="Samsung Galaxy A55"/>
    <n v="58900.86"/>
    <n v="2"/>
    <n v="0.15"/>
    <n v="642.02"/>
    <s v="OK"/>
    <s v="OK"/>
  </r>
  <r>
    <n v="1114"/>
    <x v="113"/>
    <x v="83"/>
    <d v="2024-11-01T00:00:00"/>
    <s v="First Class"/>
    <s v="CUST-1086"/>
    <s v="ANANYA MENON"/>
    <x v="1"/>
    <s v="India"/>
    <s v="Kochi"/>
    <s v="Kerala"/>
    <x v="3"/>
    <n v="695001"/>
    <s v="P-994"/>
    <x v="1"/>
    <s v="Shirts"/>
    <s v="Cotton Casual Shirt"/>
    <n v="7529.77"/>
    <n v="5"/>
    <n v="0"/>
    <n v="1781.82"/>
    <s v="OK"/>
    <s v="OK"/>
  </r>
  <r>
    <n v="1115"/>
    <x v="114"/>
    <x v="65"/>
    <d v="2024-06-01T00:00:00"/>
    <s v="First Class"/>
    <s v="CUST-1046"/>
    <s v="ANANYA MENON"/>
    <x v="0"/>
    <s v="India"/>
    <s v="Lucknow"/>
    <s v="Uttar Pradesh"/>
    <x v="2"/>
    <n v="682001"/>
    <s v="P-772"/>
    <x v="1"/>
    <s v="Shoes"/>
    <s v="Running Shoes"/>
    <n v="20404.37"/>
    <n v="6"/>
    <n v="0"/>
    <n v="5435.57"/>
    <s v="OK"/>
    <s v="OK"/>
  </r>
  <r>
    <n v="1116"/>
    <x v="115"/>
    <x v="98"/>
    <d v="2024-03-02T00:00:00"/>
    <s v="Second Class"/>
    <s v="CUST-1104"/>
    <s v="AMAL THOMAS"/>
    <x v="1"/>
    <s v="India"/>
    <s v="Ahmedabad"/>
    <s v="Gujarat"/>
    <x v="0"/>
    <n v="600001"/>
    <s v="P-773"/>
    <x v="0"/>
    <s v="Accessories"/>
    <s v="HP Wireless Keyboard"/>
    <n v="3015.85"/>
    <n v="2"/>
    <n v="0.2"/>
    <n v="-60.4"/>
    <s v="OK"/>
    <s v="OK"/>
  </r>
  <r>
    <n v="1117"/>
    <x v="116"/>
    <x v="99"/>
    <d v="2024-06-25T00:00:00"/>
    <s v="Standard Class"/>
    <s v="CUST-1024"/>
    <s v="RIYA PAUL"/>
    <x v="0"/>
    <s v="India"/>
    <s v="Hyderabad"/>
    <s v="Telangana"/>
    <x v="2"/>
    <n v="600001"/>
    <s v="P-773"/>
    <x v="1"/>
    <s v="Shirts"/>
    <s v="Cotton Casual Shirt"/>
    <n v="1204.6400000000001"/>
    <n v="1"/>
    <n v="0.15"/>
    <n v="183.02"/>
    <s v="OK"/>
    <s v="OK"/>
  </r>
  <r>
    <n v="1118"/>
    <x v="117"/>
    <x v="100"/>
    <d v="2024-02-22T00:00:00"/>
    <s v="Second Class"/>
    <s v="CUST-1049"/>
    <s v="AMAL THOMAS"/>
    <x v="0"/>
    <s v="India"/>
    <s v="Pune"/>
    <s v="Maharashtra"/>
    <x v="3"/>
    <n v="695001"/>
    <s v="P-261"/>
    <x v="0"/>
    <s v="Mobiles"/>
    <s v="Samsung Galaxy A55"/>
    <n v="102733.8"/>
    <n v="3"/>
    <n v="0"/>
    <n v="12557.65"/>
    <s v="OK"/>
    <s v="OK"/>
  </r>
  <r>
    <n v="1119"/>
    <x v="118"/>
    <x v="101"/>
    <d v="2024-01-29T00:00:00"/>
    <s v="Second Class"/>
    <s v="CUST-1097"/>
    <s v="DIYA MATHEW"/>
    <x v="1"/>
    <s v="India"/>
    <s v="Mumbai"/>
    <s v="Maharashtra"/>
    <x v="0"/>
    <n v="400001"/>
    <s v="P-183"/>
    <x v="2"/>
    <s v="Chairs"/>
    <s v="Ergonomic Office Chair"/>
    <n v="32807.4"/>
    <n v="4"/>
    <n v="0"/>
    <n v="4000.71"/>
    <s v="OK"/>
    <s v="OK"/>
  </r>
  <r>
    <n v="1120"/>
    <x v="119"/>
    <x v="102"/>
    <d v="2024-08-03T00:00:00"/>
    <s v="Second Class"/>
    <s v="CUST-1097"/>
    <s v="VISHNU RAJ"/>
    <x v="1"/>
    <s v="India"/>
    <s v="Chennai"/>
    <s v="Tamil Nadu"/>
    <x v="0"/>
    <n v="695001"/>
    <s v="P-540"/>
    <x v="3"/>
    <s v="Paper"/>
    <s v="A4 Copier Paper"/>
    <n v="967"/>
    <n v="3"/>
    <n v="0.3"/>
    <n v="4.05"/>
    <s v="OK"/>
    <s v="OK"/>
  </r>
  <r>
    <n v="1121"/>
    <x v="120"/>
    <x v="103"/>
    <d v="2024-01-26T00:00:00"/>
    <s v="Same Day"/>
    <s v="CUST-1077"/>
    <s v="AARAV NAIR "/>
    <x v="1"/>
    <s v="India"/>
    <s v="Kochi"/>
    <s v="Kerala"/>
    <x v="0"/>
    <n v="682001"/>
    <s v="P-408"/>
    <x v="2"/>
    <s v="Chairs"/>
    <s v="Ergonomic Office Chair"/>
    <n v="23202.51"/>
    <n v="3"/>
    <n v="0.15"/>
    <n v="1779.29"/>
    <s v="OK"/>
    <s v="OK"/>
  </r>
  <r>
    <n v="1122"/>
    <x v="121"/>
    <x v="104"/>
    <d v="2024-03-03T00:00:00"/>
    <s v="Same Day"/>
    <s v="CUST-1096"/>
    <s v="AMAL THOMAS"/>
    <x v="0"/>
    <s v="India"/>
    <s v="Bengaluru"/>
    <s v="Karnataka"/>
    <x v="2"/>
    <n v="682001"/>
    <s v="P-489"/>
    <x v="1"/>
    <s v="Shoes"/>
    <s v="Running Shoes"/>
    <n v="5459.86"/>
    <n v="2"/>
    <n v="0.2"/>
    <n v="612.65"/>
    <s v="OK"/>
    <s v="OK"/>
  </r>
  <r>
    <n v="1123"/>
    <x v="122"/>
    <x v="105"/>
    <d v="2024-02-10T00:00:00"/>
    <s v="Standard Class"/>
    <s v="CUST-1056"/>
    <s v="AARAV NAIR"/>
    <x v="0"/>
    <s v="India"/>
    <s v="Delhi"/>
    <s v="Delhi"/>
    <x v="3"/>
    <n v="673001"/>
    <s v="P-982"/>
    <x v="1"/>
    <s v="Shirts"/>
    <s v="Cotton Casual Shirt"/>
    <n v="3099.51"/>
    <n v="3"/>
    <n v="0.2"/>
    <n v="451.6"/>
    <s v="OK"/>
    <s v="OK"/>
  </r>
  <r>
    <n v="1124"/>
    <x v="123"/>
    <x v="106"/>
    <d v="2024-05-29T00:00:00"/>
    <s v="Same Day"/>
    <s v="CUST-1003"/>
    <s v="MEERA JOSEPH"/>
    <x v="0"/>
    <s v="India"/>
    <s v="Mumbai"/>
    <s v="Maharashtra"/>
    <x v="2"/>
    <n v="110001"/>
    <s v="P-732"/>
    <x v="3"/>
    <s v="Storage"/>
    <s v="Document Organizer"/>
    <n v="1408.63"/>
    <n v="2"/>
    <n v="0.25"/>
    <n v="65.150000000000006"/>
    <s v="OK"/>
    <s v="OK"/>
  </r>
  <r>
    <n v="1125"/>
    <x v="124"/>
    <x v="54"/>
    <d v="2024-02-26T00:00:00"/>
    <s v="Same Day"/>
    <s v="CUST-1076"/>
    <s v="AMAL THOMAS"/>
    <x v="1"/>
    <s v="India"/>
    <s v="Ahmedabad"/>
    <s v="Gujarat"/>
    <x v="0"/>
    <n v="560001"/>
    <s v="P-991"/>
    <x v="4"/>
    <s v="Kitchen"/>
    <s v="Electric Kettle"/>
    <n v="3544.79"/>
    <n v="2"/>
    <n v="0.25"/>
    <n v="-135.54"/>
    <s v="OK"/>
    <s v="OK"/>
  </r>
  <r>
    <n v="1126"/>
    <x v="125"/>
    <x v="107"/>
    <d v="2024-02-14T00:00:00"/>
    <s v="Standard Class"/>
    <s v="CUST-1068"/>
    <s v="VISHNU RAJ"/>
    <x v="0"/>
    <s v="India"/>
    <s v="Chennai"/>
    <s v="Tamil Nadu"/>
    <x v="2"/>
    <n v="110001"/>
    <s v="P-457"/>
    <x v="1"/>
    <s v="Shirts"/>
    <s v="Cotton Casual Shirt"/>
    <n v="2572.52"/>
    <n v="2"/>
    <n v="0.05"/>
    <n v="527.38"/>
    <s v="OK"/>
    <s v="OK"/>
  </r>
  <r>
    <n v="1127"/>
    <x v="126"/>
    <x v="108"/>
    <d v="2024-05-01T00:00:00"/>
    <s v="Second Class"/>
    <s v="CUST-1033"/>
    <s v="FATHIMA ALI"/>
    <x v="2"/>
    <s v="India"/>
    <s v="Mumbai"/>
    <s v="Maharashtra"/>
    <x v="2"/>
    <n v="600001"/>
    <s v="P-256"/>
    <x v="1"/>
    <s v="Shirts"/>
    <s v="Cotton Casual Shirt"/>
    <n v="4214.17"/>
    <n v="3"/>
    <n v="0.05"/>
    <n v="832.68"/>
    <s v="OK"/>
    <s v="OK"/>
  </r>
  <r>
    <n v="1128"/>
    <x v="127"/>
    <x v="109"/>
    <d v="2024-08-30T00:00:00"/>
    <s v="Same Day"/>
    <s v="CUST-1088"/>
    <s v="MUHAMMED SHAFI"/>
    <x v="1"/>
    <s v="India"/>
    <s v="Bhubaneswar"/>
    <s v="Odisha"/>
    <x v="1"/>
    <n v="110001"/>
    <s v="P-742"/>
    <x v="1"/>
    <s v="Shoes"/>
    <s v="Running Shoes"/>
    <n v="2121.5500000000002"/>
    <n v="1"/>
    <n v="0.3"/>
    <n v="120"/>
    <s v="OK"/>
    <s v="OK"/>
  </r>
  <r>
    <n v="1129"/>
    <x v="128"/>
    <x v="43"/>
    <d v="2024-05-25T00:00:00"/>
    <s v="Standard Class"/>
    <s v="CUST-1046"/>
    <s v="VISHNU RAJ"/>
    <x v="0"/>
    <s v="India"/>
    <s v="Mumbai"/>
    <s v="Maharashtra"/>
    <x v="0"/>
    <n v="695001"/>
    <s v="P-572"/>
    <x v="0"/>
    <s v="Accessories"/>
    <s v="Logitech Wireless Mouse"/>
    <n v="2182.36"/>
    <n v="25"/>
    <n v="0.15"/>
    <n v="29.95"/>
    <s v="OK"/>
    <s v="OK"/>
  </r>
  <r>
    <n v="1130"/>
    <x v="129"/>
    <x v="58"/>
    <d v="2024-11-27T00:00:00"/>
    <s v="Same Day"/>
    <s v="CUST-1060"/>
    <s v="DIYA MATHEW"/>
    <x v="0"/>
    <s v="India"/>
    <s v="Ahmedabad"/>
    <s v="Gujarat"/>
    <x v="0"/>
    <n v="560001"/>
    <s v="P-929"/>
    <x v="0"/>
    <s v="Laptops"/>
    <s v="Dell Inspiron 15"/>
    <n v="262914.53999999998"/>
    <n v="5"/>
    <n v="0"/>
    <n v="23095.65"/>
    <s v="OK"/>
    <s v="OK"/>
  </r>
  <r>
    <n v="1131"/>
    <x v="130"/>
    <x v="110"/>
    <d v="2024-02-05T00:00:00"/>
    <s v="Standard Class"/>
    <s v="CUST-1104"/>
    <s v="MUHAMMED SHAFI"/>
    <x v="0"/>
    <s v="India"/>
    <s v="Jaipur"/>
    <s v="Rajasthan"/>
    <x v="1"/>
    <n v="400001"/>
    <s v="P-186"/>
    <x v="3"/>
    <s v="Art"/>
    <s v="Marker Set"/>
    <n v="1102.93"/>
    <n v="3"/>
    <n v="0.05"/>
    <n v="230.01"/>
    <s v="OK"/>
    <s v="OK"/>
  </r>
  <r>
    <n v="1132"/>
    <x v="131"/>
    <x v="66"/>
    <d v="2024-08-17T00:00:00"/>
    <s v="Second Class"/>
    <s v="CUST-1047"/>
    <s v="MEERA JOSEPH"/>
    <x v="0"/>
    <s v="India"/>
    <s v="Delhi"/>
    <s v="Delhi"/>
    <x v="1"/>
    <n v="560001"/>
    <s v="P-518"/>
    <x v="3"/>
    <s v="Art"/>
    <s v="Marker Set"/>
    <n v="250.68"/>
    <n v="1"/>
    <n v="0.3"/>
    <n v="1.26"/>
    <s v="OK"/>
    <s v="OK"/>
  </r>
  <r>
    <n v="1133"/>
    <x v="132"/>
    <x v="111"/>
    <d v="2024-02-06T00:00:00"/>
    <s v="Standard Class"/>
    <s v="CUST-1072"/>
    <s v="ADIL KHAN"/>
    <x v="1"/>
    <s v="India"/>
    <s v="Bhubaneswar"/>
    <s v="Odisha"/>
    <x v="3"/>
    <n v="695001"/>
    <s v="P-358"/>
    <x v="2"/>
    <s v="Tables"/>
    <s v="Study Table"/>
    <n v="6107.79"/>
    <n v="1"/>
    <n v="0.2"/>
    <n v="205.29"/>
    <s v="OK"/>
    <s v="OK"/>
  </r>
  <r>
    <n v="1134"/>
    <x v="133"/>
    <x v="31"/>
    <d v="2024-06-20T00:00:00"/>
    <s v="Second Class"/>
    <s v="CUST-1118"/>
    <s v="MEERA JOSEPH"/>
    <x v="1"/>
    <s v="India"/>
    <s v="Kolkata"/>
    <s v="West Bengal"/>
    <x v="1"/>
    <n v="400001"/>
    <s v="P-815"/>
    <x v="4"/>
    <s v="Kitchen"/>
    <s v="Electric Kettle"/>
    <n v="12935.29"/>
    <n v="6"/>
    <n v="0.05"/>
    <n v="1388.88"/>
    <s v="OK"/>
    <s v="OK"/>
  </r>
  <r>
    <n v="1135"/>
    <x v="134"/>
    <x v="112"/>
    <d v="2024-06-12T00:00:00"/>
    <s v="Same Day"/>
    <s v="CUST-1083"/>
    <s v="ASHA KRISHNAN"/>
    <x v="0"/>
    <s v="India"/>
    <s v="Lucknow"/>
    <s v="Uttar Pradesh"/>
    <x v="1"/>
    <n v="110001"/>
    <s v="P-230"/>
    <x v="2"/>
    <s v="Bookcases"/>
    <s v="Wooden Bookshelf"/>
    <n v="25024.48"/>
    <n v="4"/>
    <n v="0"/>
    <n v="3590.7"/>
    <s v="OK"/>
    <s v="OK"/>
  </r>
  <r>
    <n v="1136"/>
    <x v="135"/>
    <x v="58"/>
    <d v="2024-12-02T00:00:00"/>
    <s v="Same Day"/>
    <s v="CUST-1066"/>
    <s v="MEERA JOSEPH"/>
    <x v="1"/>
    <s v="India"/>
    <s v="Lucknow"/>
    <s v="Uttar Pradesh"/>
    <x v="0"/>
    <n v="695001"/>
    <s v="P-416"/>
    <x v="1"/>
    <s v="Shirts"/>
    <s v="Cotton Casual Shirt"/>
    <n v="5877.19"/>
    <n v="4"/>
    <n v="0"/>
    <n v="1697.12"/>
    <s v="OK"/>
    <s v="OK"/>
  </r>
  <r>
    <n v="1137"/>
    <x v="136"/>
    <x v="113"/>
    <d v="2024-04-27T00:00:00"/>
    <s v="Second Class"/>
    <s v="CUST-1010"/>
    <s v="ARJUN DAS"/>
    <x v="0"/>
    <s v="India"/>
    <s v="Thiruvananthapuram"/>
    <s v="Kerala"/>
    <x v="0"/>
    <n v="600001"/>
    <s v="P-889"/>
    <x v="0"/>
    <s v="Accessories"/>
    <s v="HP Wireless Keyboard"/>
    <n v="6860.58"/>
    <n v="4"/>
    <n v="0.1"/>
    <n v="372.52"/>
    <s v="OK"/>
    <s v="OK"/>
  </r>
  <r>
    <n v="1138"/>
    <x v="137"/>
    <x v="114"/>
    <d v="2024-11-14T00:00:00"/>
    <s v="Same Day"/>
    <s v="CUST-1020"/>
    <s v="RAHUL KUMAR"/>
    <x v="1"/>
    <s v="India"/>
    <s v="Delhi"/>
    <s v="Delhi"/>
    <x v="2"/>
    <n v="110001"/>
    <s v="P-809"/>
    <x v="4"/>
    <s v="Kitchen"/>
    <s v="Electric Kettle"/>
    <n v="5289.58"/>
    <n v="3"/>
    <n v="0.2"/>
    <n v="-211.58"/>
    <s v="OK"/>
    <s v="OK"/>
  </r>
  <r>
    <n v="1139"/>
    <x v="138"/>
    <x v="35"/>
    <d v="2024-01-27T00:00:00"/>
    <s v="First Class"/>
    <s v="CUST-1087"/>
    <s v="NIKHIL VARMA"/>
    <x v="1"/>
    <s v="India"/>
    <s v="Bhubaneswar"/>
    <s v="Odisha"/>
    <x v="2"/>
    <n v="560001"/>
    <s v="P-725"/>
    <x v="3"/>
    <s v="Storage"/>
    <s v="Document Organizer"/>
    <n v="696.74"/>
    <n v="1"/>
    <n v="0.3"/>
    <n v="3.74"/>
    <s v="OK"/>
    <s v="OK"/>
  </r>
  <r>
    <n v="1140"/>
    <x v="139"/>
    <x v="112"/>
    <d v="2024-06-11T00:00:00"/>
    <s v="Second Class"/>
    <s v="CUST-1048"/>
    <s v="ADIL KHAN"/>
    <x v="1"/>
    <s v="India"/>
    <s v="Chennai"/>
    <s v="Tamil Nadu"/>
    <x v="3"/>
    <n v="560001"/>
    <s v="P-887"/>
    <x v="1"/>
    <s v="Shoes"/>
    <s v="Running Shoes"/>
    <n v="5946.13"/>
    <n v="2"/>
    <n v="0.1"/>
    <n v="1262.73"/>
    <s v="OK"/>
    <s v="OK"/>
  </r>
  <r>
    <n v="1141"/>
    <x v="140"/>
    <x v="115"/>
    <d v="2024-04-17T00:00:00"/>
    <s v="Second Class"/>
    <s v="CUST-1112"/>
    <s v="ARJUN DAS"/>
    <x v="0"/>
    <s v="India"/>
    <s v="Chennai"/>
    <s v="Tamil Nadu"/>
    <x v="0"/>
    <n v="400001"/>
    <s v="P-592"/>
    <x v="1"/>
    <s v="Shoes"/>
    <s v="Running Shoes"/>
    <n v="9689.1"/>
    <n v="3"/>
    <n v="0.05"/>
    <n v="1936.68"/>
    <s v="OK"/>
    <s v="OK"/>
  </r>
  <r>
    <n v="1142"/>
    <x v="141"/>
    <x v="116"/>
    <d v="2024-05-26T00:00:00"/>
    <s v="Second Class"/>
    <s v="CUST-1035"/>
    <s v="SNEHA NAIR"/>
    <x v="1"/>
    <s v="India"/>
    <s v="Hyderabad"/>
    <s v="Telangana"/>
    <x v="2"/>
    <n v="110001"/>
    <s v="P-547"/>
    <x v="2"/>
    <s v="Tables"/>
    <s v="Study Table"/>
    <n v="7056.67"/>
    <n v="1"/>
    <n v="0"/>
    <n v="899.86"/>
    <s v="OK"/>
    <s v="OK"/>
  </r>
  <r>
    <n v="1143"/>
    <x v="142"/>
    <x v="117"/>
    <d v="2024-01-18T00:00:00"/>
    <s v="Standard Class"/>
    <s v="CUST-1051"/>
    <s v="VISHNU RAJ"/>
    <x v="0"/>
    <s v="India"/>
    <s v="Kochi"/>
    <s v="Kerala"/>
    <x v="1"/>
    <n v="682001"/>
    <s v="P-495"/>
    <x v="4"/>
    <s v="Kitchen"/>
    <s v="Mixer Grinder"/>
    <n v="9396.23"/>
    <n v="2"/>
    <n v="0.2"/>
    <n v="0"/>
    <s v="OK"/>
    <s v="OK"/>
  </r>
  <r>
    <n v="1144"/>
    <x v="143"/>
    <x v="118"/>
    <d v="2024-12-01T00:00:00"/>
    <s v="Second Class"/>
    <s v="CUST-1018"/>
    <s v="AARAV NAIR"/>
    <x v="0"/>
    <s v="India"/>
    <s v="Kochi"/>
    <s v="Kerala"/>
    <x v="1"/>
    <n v="110001"/>
    <s v="P-583"/>
    <x v="2"/>
    <s v="Tables"/>
    <s v="Study Table"/>
    <n v="14320.74"/>
    <n v="2"/>
    <n v="0"/>
    <n v="2340.17"/>
    <s v="OK"/>
    <s v="OK"/>
  </r>
  <r>
    <n v="1145"/>
    <x v="144"/>
    <x v="105"/>
    <d v="2024-11-12T00:00:00"/>
    <s v="Standard Class"/>
    <s v="CUST-1003"/>
    <s v="ARJUN DAS"/>
    <x v="0"/>
    <s v="India"/>
    <s v="Kolkata"/>
    <s v="West Bengal"/>
    <x v="2"/>
    <n v="110001"/>
    <s v="P-253"/>
    <x v="4"/>
    <s v="Kitchen"/>
    <s v="Electric Kettle"/>
    <n v="5949.62"/>
    <n v="4"/>
    <n v="0.3"/>
    <n v="-404.29"/>
    <s v="OK"/>
    <s v="OK"/>
  </r>
  <r>
    <n v="1146"/>
    <x v="145"/>
    <x v="119"/>
    <d v="2024-05-04T00:00:00"/>
    <s v="Standard Class"/>
    <s v="CUST-1007"/>
    <s v="MUHAMMAD RABEEH"/>
    <x v="1"/>
    <s v="India"/>
    <s v="Delhi"/>
    <s v="Delhi"/>
    <x v="3"/>
    <n v="400001"/>
    <s v="P-912"/>
    <x v="1"/>
    <s v="Shirts"/>
    <s v="Cotton Casual Shirt"/>
    <n v="2201.21"/>
    <n v="2"/>
    <n v="0.15"/>
    <n v="258.02999999999997"/>
    <s v="OK"/>
    <s v="OK"/>
  </r>
  <r>
    <n v="1147"/>
    <x v="146"/>
    <x v="96"/>
    <d v="2024-11-06T00:00:00"/>
    <s v="Standard Class"/>
    <s v="CUST-1081"/>
    <s v="VISHNU RAJ"/>
    <x v="0"/>
    <s v="India"/>
    <s v="Jaipur"/>
    <s v="Rajasthan"/>
    <x v="2"/>
    <n v="400001"/>
    <s v="P-247"/>
    <x v="3"/>
    <s v="Paper"/>
    <s v="A4 Copier Paper"/>
    <n v="1656.3"/>
    <n v="5"/>
    <n v="0.3"/>
    <n v="7.7"/>
    <s v="OK"/>
    <s v="OK"/>
  </r>
  <r>
    <n v="1148"/>
    <x v="147"/>
    <x v="120"/>
    <d v="2024-04-11T00:00:00"/>
    <s v="Standard Class"/>
    <s v="CUST-1068"/>
    <s v="MEERA JOSEPH"/>
    <x v="0"/>
    <s v="India"/>
    <s v="Chennai"/>
    <s v="Tamil Nadu"/>
    <x v="0"/>
    <n v="600001"/>
    <s v="P-657"/>
    <x v="2"/>
    <s v="Bookcases"/>
    <s v="Wooden Bookshelf"/>
    <n v="9027.16"/>
    <n v="2"/>
    <n v="0.25"/>
    <n v="-22.82"/>
    <s v="OK"/>
    <s v="OK"/>
  </r>
  <r>
    <n v="1149"/>
    <x v="148"/>
    <x v="69"/>
    <d v="2024-08-29T00:00:00"/>
    <s v="Same Day"/>
    <s v="CUST-1048"/>
    <s v="ARJUN DAS"/>
    <x v="2"/>
    <s v="India"/>
    <s v="Delhi"/>
    <s v="Delhi"/>
    <x v="0"/>
    <n v="695001"/>
    <s v="P-907"/>
    <x v="1"/>
    <s v="Shoes"/>
    <s v="Running Shoes"/>
    <n v="7511.03"/>
    <n v="3"/>
    <n v="0.25"/>
    <n v="563.83000000000004"/>
    <s v="OK"/>
    <s v="OK"/>
  </r>
  <r>
    <n v="1150"/>
    <x v="149"/>
    <x v="121"/>
    <d v="2024-10-30T00:00:00"/>
    <s v="First Class"/>
    <s v="CUST-1018"/>
    <s v="AARAV NAIR"/>
    <x v="0"/>
    <s v="India"/>
    <s v="Kochi"/>
    <s v="Kerala"/>
    <x v="1"/>
    <n v="600001"/>
    <s v="P-446"/>
    <x v="2"/>
    <s v="Tables"/>
    <s v="Study Table"/>
    <n v="29366.28"/>
    <n v="4"/>
    <n v="0"/>
    <n v="3724.46"/>
    <s v="OK"/>
    <s v="OK"/>
  </r>
  <r>
    <n v="1151"/>
    <x v="150"/>
    <x v="122"/>
    <d v="2024-12-26T00:00:00"/>
    <s v="Second Class"/>
    <s v="CUST-1104"/>
    <s v="RAHUL KUMAR"/>
    <x v="0"/>
    <s v="India"/>
    <s v="Hyderabad"/>
    <s v="Telangana"/>
    <x v="0"/>
    <n v="400001"/>
    <s v="P-894"/>
    <x v="3"/>
    <s v="Art"/>
    <s v="Marker Set"/>
    <n v="987.68"/>
    <n v="4"/>
    <n v="0.3"/>
    <n v="5.0199999999999996"/>
    <s v="OK"/>
    <s v="OK"/>
  </r>
  <r>
    <n v="1152"/>
    <x v="151"/>
    <x v="123"/>
    <d v="2024-01-25T00:00:00"/>
    <s v="First Class"/>
    <s v="CUST-1066"/>
    <s v="AMAL THOMAS"/>
    <x v="0"/>
    <s v="India"/>
    <s v="Ahmedabad"/>
    <s v="Gujarat"/>
    <x v="3"/>
    <n v="695001"/>
    <s v="P-137"/>
    <x v="0"/>
    <s v="Laptops"/>
    <s v="Dell Inspiron 15"/>
    <n v="47104.28"/>
    <n v="1"/>
    <n v="0.1"/>
    <n v="2265.35"/>
    <s v="OK"/>
    <s v="OK"/>
  </r>
  <r>
    <n v="1153"/>
    <x v="152"/>
    <x v="124"/>
    <d v="2024-12-04T00:00:00"/>
    <s v="First Class"/>
    <s v="CUST-1016"/>
    <s v="ASHA KRISHNAN"/>
    <x v="0"/>
    <s v="India"/>
    <s v="Bhubaneswar"/>
    <s v="Odisha"/>
    <x v="1"/>
    <n v="560001"/>
    <s v="P-509"/>
    <x v="3"/>
    <s v="Art"/>
    <s v="Marker Set"/>
    <n v="787.49"/>
    <n v="2"/>
    <n v="0"/>
    <n v="194.97"/>
    <s v="OK"/>
    <s v="OK"/>
  </r>
  <r>
    <n v="1154"/>
    <x v="153"/>
    <x v="125"/>
    <d v="2024-09-17T00:00:00"/>
    <s v="Same Day"/>
    <s v="CUST-1048"/>
    <s v="MUHAMMED SHAFI"/>
    <x v="2"/>
    <s v="India"/>
    <s v="Kolkata"/>
    <s v="West Bengal"/>
    <x v="1"/>
    <n v="110001"/>
    <s v="P-184"/>
    <x v="3"/>
    <s v="Paper"/>
    <s v="A4 Copier Paper"/>
    <n v="857.23"/>
    <n v="2"/>
    <n v="0.05"/>
    <n v="130.88"/>
    <s v="OK"/>
    <s v="OK"/>
  </r>
  <r>
    <n v="1155"/>
    <x v="154"/>
    <x v="126"/>
    <d v="2024-10-09T00:00:00"/>
    <s v="First Class"/>
    <s v="CUST-1014"/>
    <s v="ANANYA MENON"/>
    <x v="0"/>
    <s v="India"/>
    <s v="Kolkata"/>
    <s v="West Bengal"/>
    <x v="1"/>
    <n v="400001"/>
    <s v="P-402"/>
    <x v="2"/>
    <s v="Bookcases"/>
    <s v="Wooden Bookshelf"/>
    <n v="19101.47"/>
    <n v="3"/>
    <n v="0.05"/>
    <n v="2156.38"/>
    <s v="OK"/>
    <s v="OK"/>
  </r>
  <r>
    <n v="1156"/>
    <x v="155"/>
    <x v="32"/>
    <d v="2024-07-02T00:00:00"/>
    <s v="Standard Class"/>
    <s v="CUST-1094"/>
    <s v="RIYA PAUL"/>
    <x v="1"/>
    <s v="India"/>
    <s v="Chennai"/>
    <s v="Tamil Nadu"/>
    <x v="1"/>
    <n v="600001"/>
    <s v="P-545"/>
    <x v="3"/>
    <s v="Paper"/>
    <s v="A4 Copier Paper"/>
    <n v="623.85"/>
    <n v="2"/>
    <n v="0.3"/>
    <n v="2.46"/>
    <s v="OK"/>
    <s v="OK"/>
  </r>
  <r>
    <n v="1157"/>
    <x v="156"/>
    <x v="127"/>
    <d v="2024-12-15T00:00:00"/>
    <s v="Same Day"/>
    <s v="CUST-1047"/>
    <s v="VISHNU RAJ"/>
    <x v="2"/>
    <s v="India"/>
    <s v="Chennai"/>
    <s v="Tamil Nadu"/>
    <x v="2"/>
    <n v="673001"/>
    <s v="P-246"/>
    <x v="3"/>
    <s v="Art"/>
    <s v="Marker Set"/>
    <n v="2457.9899999999998"/>
    <n v="7"/>
    <n v="0"/>
    <n v="605.32000000000005"/>
    <s v="OK"/>
    <s v="OK"/>
  </r>
  <r>
    <n v="1158"/>
    <x v="157"/>
    <x v="128"/>
    <d v="2024-02-06T00:00:00"/>
    <s v="First Class"/>
    <s v="CUST-1047"/>
    <s v="AMAL THOMAS"/>
    <x v="1"/>
    <s v="India"/>
    <s v="Hyderabad"/>
    <s v="Telangana"/>
    <x v="0"/>
    <n v="600001"/>
    <s v="P-257"/>
    <x v="3"/>
    <s v="Storage"/>
    <s v="Document Organizer"/>
    <n v="1902.03"/>
    <n v="2"/>
    <n v="0.05"/>
    <n v="349.81"/>
    <s v="OK"/>
    <s v="OK"/>
  </r>
  <r>
    <n v="1159"/>
    <x v="158"/>
    <x v="129"/>
    <d v="2024-10-22T00:00:00"/>
    <s v="First Class"/>
    <s v="CUST-1051"/>
    <s v="MEERA JOSEPH"/>
    <x v="2"/>
    <s v="India"/>
    <s v="Lucknow"/>
    <s v="Uttar Pradesh"/>
    <x v="1"/>
    <n v="682001"/>
    <s v="P-216"/>
    <x v="3"/>
    <s v="Paper"/>
    <s v="A4 Copier Paper"/>
    <n v="886.89"/>
    <n v="2"/>
    <n v="0"/>
    <n v="148.4"/>
    <s v="OK"/>
    <s v="OK"/>
  </r>
  <r>
    <n v="1160"/>
    <x v="159"/>
    <x v="130"/>
    <d v="2024-05-17T00:00:00"/>
    <s v="Same Day"/>
    <s v="CUST-1028"/>
    <s v="DIYA MATHEW"/>
    <x v="0"/>
    <s v="India"/>
    <s v="Kozhikode"/>
    <s v="Kerala"/>
    <x v="1"/>
    <n v="400001"/>
    <s v="P-602"/>
    <x v="1"/>
    <s v="Shirts"/>
    <s v="Cotton Casual Shirt"/>
    <n v="3969.13"/>
    <n v="3"/>
    <n v="0"/>
    <n v="868.37"/>
    <s v="OK"/>
    <s v="OK"/>
  </r>
  <r>
    <n v="1161"/>
    <x v="160"/>
    <x v="80"/>
    <d v="2024-08-16T00:00:00"/>
    <s v="First Class"/>
    <s v="CUST-1086"/>
    <s v="MEERA JOSEPH"/>
    <x v="0"/>
    <s v="India"/>
    <s v="Bengaluru"/>
    <s v="Karnataka"/>
    <x v="0"/>
    <n v="600001"/>
    <s v="P-655"/>
    <x v="0"/>
    <s v="Mobiles"/>
    <s v="Samsung Galaxy A55"/>
    <n v="34469.370000000003"/>
    <n v="1"/>
    <n v="0.05"/>
    <n v="2958.01"/>
    <s v="OK"/>
    <s v="OK"/>
  </r>
  <r>
    <n v="1162"/>
    <x v="161"/>
    <x v="131"/>
    <d v="2024-07-09T00:00:00"/>
    <s v="Second Class"/>
    <s v="CUST-1016"/>
    <s v="FATHIMA ALI"/>
    <x v="0"/>
    <s v="India"/>
    <s v="Chennai"/>
    <s v="Tamil Nadu"/>
    <x v="2"/>
    <n v="682001"/>
    <s v="P-909"/>
    <x v="4"/>
    <s v="Kitchen"/>
    <s v="Mixer Grinder"/>
    <n v="5651.23"/>
    <n v="1"/>
    <n v="0.05"/>
    <n v="490.37"/>
    <s v="OK"/>
    <s v="OK"/>
  </r>
  <r>
    <n v="1163"/>
    <x v="162"/>
    <x v="28"/>
    <d v="2024-10-11T00:00:00"/>
    <s v="Standard Class"/>
    <s v="CUST-1009"/>
    <s v="ARJUN DAS"/>
    <x v="0"/>
    <s v="India"/>
    <s v="Ahmedabad"/>
    <s v="Gujarat"/>
    <x v="3"/>
    <n v="400001"/>
    <s v="P-836"/>
    <x v="0"/>
    <s v="Laptops"/>
    <s v="Dell Inspiron 15"/>
    <n v="117147.41"/>
    <n v="3"/>
    <n v="0.3"/>
    <n v="-11141.96"/>
    <s v="OK"/>
    <s v="OK"/>
  </r>
  <r>
    <n v="1164"/>
    <x v="163"/>
    <x v="132"/>
    <d v="2024-03-08T00:00:00"/>
    <s v="Standard Class"/>
    <s v="CUST-1058"/>
    <s v="SNEHA NAIR"/>
    <x v="0"/>
    <s v="India"/>
    <s v="Ahmedabad"/>
    <s v="Gujarat"/>
    <x v="1"/>
    <n v="682001"/>
    <s v="P-999"/>
    <x v="3"/>
    <s v="Binders"/>
    <s v="Office Binder Pack"/>
    <n v="1311.31"/>
    <n v="2"/>
    <n v="0"/>
    <n v="276.91000000000003"/>
    <s v="OK"/>
    <s v="OK"/>
  </r>
  <r>
    <n v="1165"/>
    <x v="164"/>
    <x v="105"/>
    <d v="2024-08-14T00:00:00"/>
    <s v="Standard Class"/>
    <s v="CUST-1107"/>
    <s v="ANANYA MENON"/>
    <x v="1"/>
    <s v="India"/>
    <s v="Hyderabad"/>
    <s v="Telangana"/>
    <x v="2"/>
    <n v="695001"/>
    <s v="P-268"/>
    <x v="1"/>
    <s v="Shoes"/>
    <s v="Running Shoes"/>
    <n v="9002.68"/>
    <n v="3"/>
    <n v="0.05"/>
    <n v="1711.1"/>
    <s v="OK"/>
    <s v="OK"/>
  </r>
  <r>
    <n v="1166"/>
    <x v="165"/>
    <x v="133"/>
    <d v="2024-02-13T00:00:00"/>
    <s v="Second Class"/>
    <s v="CUST-1082"/>
    <s v="VISHNU RAJ"/>
    <x v="2"/>
    <s v="India"/>
    <s v="Thiruvananthapuram"/>
    <s v="Kerala"/>
    <x v="1"/>
    <n v="682001"/>
    <s v="P-740"/>
    <x v="2"/>
    <s v="Tables"/>
    <s v="Study Table"/>
    <n v="5978.97"/>
    <n v="1"/>
    <n v="0.15"/>
    <n v="421.86"/>
    <s v="OK"/>
    <s v="OK"/>
  </r>
  <r>
    <n v="1167"/>
    <x v="166"/>
    <x v="134"/>
    <d v="2024-11-04T00:00:00"/>
    <s v="Second Class"/>
    <s v="CUST-1022"/>
    <s v="ADIL KHAN"/>
    <x v="0"/>
    <s v="India"/>
    <s v="Chennai"/>
    <s v="Tamil Nadu"/>
    <x v="1"/>
    <n v="110001"/>
    <s v="P-677"/>
    <x v="3"/>
    <s v="Storage"/>
    <s v="Document Organizer"/>
    <n v="2497.14"/>
    <n v="3"/>
    <n v="0.05"/>
    <n v="337.98"/>
    <s v="OK"/>
    <s v="OK"/>
  </r>
  <r>
    <n v="1168"/>
    <x v="167"/>
    <x v="135"/>
    <d v="2024-12-01T00:00:00"/>
    <s v="Same Day"/>
    <s v="CUST-1080"/>
    <s v="ADIL KHAN"/>
    <x v="2"/>
    <s v="India"/>
    <s v="Kozhikode"/>
    <s v="Kerala"/>
    <x v="0"/>
    <n v="560001"/>
    <s v="P-742"/>
    <x v="4"/>
    <s v="Kitchen"/>
    <s v="Electric Kettle"/>
    <n v="1734.16"/>
    <n v="1"/>
    <n v="0.15"/>
    <n v="43.42"/>
    <s v="OK"/>
    <s v="OK"/>
  </r>
  <r>
    <n v="1169"/>
    <x v="168"/>
    <x v="136"/>
    <d v="2024-12-20T00:00:00"/>
    <s v="First Class"/>
    <s v="CUST-1059"/>
    <s v="ANANYA MENON"/>
    <x v="1"/>
    <s v="India"/>
    <s v="Delhi"/>
    <s v="Delhi"/>
    <x v="0"/>
    <n v="682001"/>
    <s v="P-550"/>
    <x v="2"/>
    <s v="Chairs"/>
    <s v="Ergonomic Office Chair"/>
    <n v="16170.17"/>
    <n v="2"/>
    <n v="0.1"/>
    <n v="1692.59"/>
    <s v="OK"/>
    <s v="OK"/>
  </r>
  <r>
    <n v="1170"/>
    <x v="169"/>
    <x v="137"/>
    <d v="2024-06-15T00:00:00"/>
    <s v="First Class"/>
    <s v="CUST-1094"/>
    <s v="RIYA PAUL"/>
    <x v="0"/>
    <s v="India"/>
    <s v="Pune"/>
    <s v="Maharashtra"/>
    <x v="1"/>
    <n v="560001"/>
    <s v="P-233"/>
    <x v="3"/>
    <s v="Paper"/>
    <s v="A4 Copier Paper"/>
    <n v="851.47"/>
    <n v="2"/>
    <n v="0.05"/>
    <n v="113.94"/>
    <s v="OK"/>
    <s v="OK"/>
  </r>
  <r>
    <n v="1171"/>
    <x v="170"/>
    <x v="38"/>
    <d v="2024-08-27T00:00:00"/>
    <s v="First Class"/>
    <s v="CUST-1058"/>
    <s v="FATHIMA ALI"/>
    <x v="0"/>
    <s v="India"/>
    <s v="Bhubaneswar"/>
    <s v="Odisha"/>
    <x v="2"/>
    <n v="673001"/>
    <s v="P-151"/>
    <x v="2"/>
    <s v="Tables"/>
    <s v="Study Table"/>
    <n v="6471.31"/>
    <n v="1"/>
    <n v="0.1"/>
    <n v="606.62"/>
    <s v="OK"/>
    <s v="OK"/>
  </r>
  <r>
    <n v="1172"/>
    <x v="171"/>
    <x v="138"/>
    <d v="2024-06-21T00:00:00"/>
    <s v="First Class"/>
    <s v="CUST-1025"/>
    <s v="ASHA KRISHNAN"/>
    <x v="2"/>
    <s v="India"/>
    <s v="Chennai"/>
    <s v="Tamil Nadu"/>
    <x v="2"/>
    <n v="560001"/>
    <s v="P-627"/>
    <x v="2"/>
    <s v="Bookcases"/>
    <s v="Wooden Bookshelf"/>
    <n v="11524.18"/>
    <n v="2"/>
    <n v="0.05"/>
    <n v="1420.74"/>
    <s v="OK"/>
    <s v="OK"/>
  </r>
  <r>
    <n v="1173"/>
    <x v="172"/>
    <x v="139"/>
    <d v="2024-07-25T00:00:00"/>
    <s v="Same Day"/>
    <s v="CUST-1031"/>
    <s v="FATHIMA ALI"/>
    <x v="2"/>
    <s v="India"/>
    <s v="Ahmedabad"/>
    <s v="Gujarat"/>
    <x v="1"/>
    <n v="673001"/>
    <s v="P-151"/>
    <x v="3"/>
    <s v="Paper"/>
    <s v="A4 Copier Paper"/>
    <n v="1328.08"/>
    <n v="3"/>
    <n v="0"/>
    <n v="281"/>
    <s v="OK"/>
    <s v="OK"/>
  </r>
  <r>
    <n v="1174"/>
    <x v="173"/>
    <x v="140"/>
    <d v="2024-05-31T00:00:00"/>
    <s v="Standard Class"/>
    <s v="CUST-1109"/>
    <s v="ANANYA MENON"/>
    <x v="1"/>
    <s v="India"/>
    <s v="Chennai"/>
    <s v="Tamil Nadu"/>
    <x v="3"/>
    <n v="682001"/>
    <s v="P-370"/>
    <x v="3"/>
    <s v="Paper"/>
    <s v="A4 Copier Paper"/>
    <n v="1609.04"/>
    <n v="5"/>
    <n v="0.3"/>
    <n v="6.22"/>
    <s v="OK"/>
    <s v="OK"/>
  </r>
  <r>
    <n v="1175"/>
    <x v="174"/>
    <x v="101"/>
    <d v="2024-02-01T00:00:00"/>
    <s v="Second Class"/>
    <s v="CUST-1047"/>
    <s v="VISHNU RAJ"/>
    <x v="1"/>
    <s v="India"/>
    <s v="Kolkata"/>
    <s v="West Bengal"/>
    <x v="1"/>
    <n v="673001"/>
    <s v="P-495"/>
    <x v="2"/>
    <s v="Tables"/>
    <s v="Study Table"/>
    <n v="10583.33"/>
    <n v="2"/>
    <n v="0.25"/>
    <n v="-28.12"/>
    <s v="OK"/>
    <s v="OK"/>
  </r>
  <r>
    <n v="1176"/>
    <x v="175"/>
    <x v="12"/>
    <d v="2024-03-07T00:00:00"/>
    <s v="Same Day"/>
    <s v="CUST-1048"/>
    <s v="ASHA KRISHNAN"/>
    <x v="1"/>
    <s v="India"/>
    <s v="Delhi"/>
    <s v="Delhi"/>
    <x v="1"/>
    <n v="600001"/>
    <s v="P-474"/>
    <x v="3"/>
    <s v="Paper"/>
    <s v="A4 Copier Paper"/>
    <n v="900.45"/>
    <n v="2"/>
    <n v="0"/>
    <n v="212.19"/>
    <s v="OK"/>
    <s v="OK"/>
  </r>
  <r>
    <n v="1177"/>
    <x v="176"/>
    <x v="103"/>
    <d v="2024-01-25T00:00:00"/>
    <s v="Second Class"/>
    <s v="CUST-1092"/>
    <s v="MEERA JOSEPH"/>
    <x v="0"/>
    <s v="India"/>
    <s v="Bhubaneswar"/>
    <s v="Odisha"/>
    <x v="3"/>
    <n v="600001"/>
    <s v="P-567"/>
    <x v="0"/>
    <s v="Accessories"/>
    <s v="Logitech Wireless Mouse"/>
    <n v="3691.41"/>
    <n v="3"/>
    <n v="0"/>
    <n v="337.62"/>
    <s v="OK"/>
    <s v="OK"/>
  </r>
  <r>
    <n v="1178"/>
    <x v="177"/>
    <x v="5"/>
    <d v="2024-03-28T00:00:00"/>
    <s v="First Class"/>
    <s v="CUST-1076"/>
    <s v="MEERA JOSEPH"/>
    <x v="2"/>
    <s v="India"/>
    <s v="Thiruvananthapuram"/>
    <s v="Kerala"/>
    <x v="3"/>
    <n v="400001"/>
    <s v="P-676"/>
    <x v="3"/>
    <s v="Storage"/>
    <s v="Document Organizer"/>
    <n v="707.78"/>
    <n v="1"/>
    <n v="0.2"/>
    <n v="53.07"/>
    <s v="OK"/>
    <s v="OK"/>
  </r>
  <r>
    <n v="1179"/>
    <x v="178"/>
    <x v="141"/>
    <d v="2024-08-06T00:00:00"/>
    <s v="First Class"/>
    <s v="CUST-1102"/>
    <s v="MUHAMMED SHAFI"/>
    <x v="1"/>
    <s v="India"/>
    <s v="Chennai"/>
    <s v="Tamil Nadu"/>
    <x v="0"/>
    <n v="600001"/>
    <s v="P-585"/>
    <x v="3"/>
    <s v="Paper"/>
    <s v="A4 Copier Paper"/>
    <n v="831.82"/>
    <n v="2"/>
    <n v="0"/>
    <n v="173.5"/>
    <s v="OK"/>
    <s v="OK"/>
  </r>
  <r>
    <n v="1180"/>
    <x v="179"/>
    <x v="101"/>
    <d v="2024-02-01T00:00:00"/>
    <s v="Same Day"/>
    <s v="CUST-1022"/>
    <s v="VISHNU RAJ"/>
    <x v="1"/>
    <s v="India"/>
    <s v="Chennai"/>
    <s v="Tamil Nadu"/>
    <x v="3"/>
    <n v="682001"/>
    <s v="P-941"/>
    <x v="3"/>
    <s v="Art"/>
    <s v="Marker Set"/>
    <n v="1464.36"/>
    <n v="4"/>
    <n v="0.1"/>
    <n v="205.15"/>
    <s v="OK"/>
    <s v="OK"/>
  </r>
  <r>
    <n v="1181"/>
    <x v="180"/>
    <x v="74"/>
    <d v="2024-04-08T00:00:00"/>
    <s v="Same Day"/>
    <s v="CUST-1041"/>
    <s v="AMAL THOMAS"/>
    <x v="0"/>
    <s v="India"/>
    <s v="Lucknow"/>
    <s v="Uttar Pradesh"/>
    <x v="2"/>
    <n v="560001"/>
    <s v="P-807"/>
    <x v="0"/>
    <s v="Accessories"/>
    <s v="HP Wireless Keyboard"/>
    <n v="12374.55"/>
    <n v="7"/>
    <n v="0"/>
    <n v="1458.72"/>
    <s v="OK"/>
    <s v="OK"/>
  </r>
  <r>
    <n v="1182"/>
    <x v="181"/>
    <x v="110"/>
    <d v="2024-02-07T00:00:00"/>
    <s v="Second Class"/>
    <s v="CUST-1067"/>
    <s v="FATHIMA ALI"/>
    <x v="0"/>
    <s v="India"/>
    <s v="Bengaluru"/>
    <s v="Karnataka"/>
    <x v="1"/>
    <n v="400001"/>
    <s v="P-589"/>
    <x v="2"/>
    <s v="Bookcases"/>
    <s v="Wooden Bookshelf"/>
    <n v="13350.23"/>
    <n v="3"/>
    <n v="0.3"/>
    <n v="-477.92"/>
    <s v="OK"/>
    <s v="OK"/>
  </r>
  <r>
    <n v="1183"/>
    <x v="182"/>
    <x v="126"/>
    <d v="2024-10-09T00:00:00"/>
    <s v="First Class"/>
    <s v="CUST-1079"/>
    <s v="SNEHA NAIR"/>
    <x v="0"/>
    <s v="India"/>
    <s v="Delhi"/>
    <s v="Delhi"/>
    <x v="2"/>
    <n v="682001"/>
    <s v="P-385"/>
    <x v="2"/>
    <s v="Bookcases"/>
    <s v="Wooden Bookshelf"/>
    <n v="5481.65"/>
    <n v="1"/>
    <n v="0.2"/>
    <n v="155.08000000000001"/>
    <s v="OK"/>
    <s v="OK"/>
  </r>
  <r>
    <n v="1184"/>
    <x v="183"/>
    <x v="65"/>
    <d v="2024-06-02T00:00:00"/>
    <s v="Second Class"/>
    <s v="CUST-1089"/>
    <s v="NIKHIL VARMA"/>
    <x v="0"/>
    <s v="India"/>
    <s v="Delhi"/>
    <s v="Delhi"/>
    <x v="3"/>
    <n v="695001"/>
    <s v="P-591"/>
    <x v="2"/>
    <s v="Chairs"/>
    <s v="Ergonomic Office Chair"/>
    <n v="62065.09"/>
    <n v="8"/>
    <n v="0.15"/>
    <n v="4665.26"/>
    <s v="OK"/>
    <s v="OK"/>
  </r>
  <r>
    <n v="1185"/>
    <x v="184"/>
    <x v="65"/>
    <d v="2024-05-28T00:00:00"/>
    <s v="Same Day"/>
    <s v="CUST-1115"/>
    <s v="AMAL THOMAS"/>
    <x v="2"/>
    <s v="India"/>
    <s v="Mumbai"/>
    <s v="Maharashtra"/>
    <x v="1"/>
    <n v="110001"/>
    <s v="P-923"/>
    <x v="3"/>
    <s v="Binders"/>
    <s v="Office Binder Pack"/>
    <n v="2628.04"/>
    <n v="5"/>
    <n v="0.15"/>
    <n v="211.37"/>
    <s v="OK"/>
    <s v="OK"/>
  </r>
  <r>
    <n v="1186"/>
    <x v="185"/>
    <x v="142"/>
    <d v="2024-06-30T00:00:00"/>
    <s v="First Class"/>
    <s v="CUST-1096"/>
    <s v="SNEHA NAIR "/>
    <x v="0"/>
    <s v="India"/>
    <s v="Thiruvananthapuram"/>
    <s v="Kerala"/>
    <x v="2"/>
    <n v="682001"/>
    <s v="P-947"/>
    <x v="2"/>
    <s v="Chairs"/>
    <s v="Ergonomic Office Chair"/>
    <n v="55699.41"/>
    <n v="7"/>
    <n v="0"/>
    <n v="6765.12"/>
    <s v="OK"/>
    <s v="OK"/>
  </r>
  <r>
    <n v="1187"/>
    <x v="186"/>
    <x v="34"/>
    <d v="2024-03-01T00:00:00"/>
    <s v="Second Class"/>
    <s v="CUST-1032"/>
    <s v="AARAV NAIR"/>
    <x v="2"/>
    <s v="India"/>
    <s v="Delhi"/>
    <s v="Delhi"/>
    <x v="2"/>
    <n v="400001"/>
    <s v="P-338"/>
    <x v="2"/>
    <s v="Chairs"/>
    <s v="Ergonomic Office Chair"/>
    <n v="30204.080000000002"/>
    <n v="4"/>
    <n v="0.05"/>
    <n v="4203.3999999999996"/>
    <s v="OK"/>
    <s v="OK"/>
  </r>
  <r>
    <n v="1188"/>
    <x v="187"/>
    <x v="143"/>
    <d v="2024-12-16T00:00:00"/>
    <s v="Standard Class"/>
    <s v="CUST-1071"/>
    <s v="MUHAMMED SHAFI"/>
    <x v="0"/>
    <s v="India"/>
    <s v="Kozhikode"/>
    <s v="Kerala"/>
    <x v="2"/>
    <n v="560001"/>
    <s v="P-768"/>
    <x v="0"/>
    <s v="Mobiles"/>
    <s v="Samsung Galaxy A55"/>
    <n v="134120.19"/>
    <n v="4"/>
    <n v="0"/>
    <n v="13417.87"/>
    <s v="OK"/>
    <s v="OK"/>
  </r>
  <r>
    <n v="1189"/>
    <x v="188"/>
    <x v="144"/>
    <d v="2024-06-16T00:00:00"/>
    <s v="Standard Class"/>
    <s v="CUST-1117"/>
    <s v="ASHA KRISHNAN"/>
    <x v="1"/>
    <s v="India"/>
    <s v="Ahmedabad"/>
    <s v="Gujarat"/>
    <x v="0"/>
    <n v="400001"/>
    <s v="P-687"/>
    <x v="3"/>
    <s v="Paper"/>
    <s v="A4 Copier Paper"/>
    <n v="1614.43"/>
    <n v="4"/>
    <n v="0.15"/>
    <n v="126.03"/>
    <s v="OK"/>
    <s v="OK"/>
  </r>
  <r>
    <n v="1190"/>
    <x v="189"/>
    <x v="145"/>
    <d v="2024-04-03T00:00:00"/>
    <s v="Second Class"/>
    <s v="CUST-1120"/>
    <s v="MUHAMMED SHAFI"/>
    <x v="1"/>
    <s v="India"/>
    <s v="Bengaluru"/>
    <s v="Karnataka"/>
    <x v="0"/>
    <n v="110001"/>
    <s v="P-506"/>
    <x v="3"/>
    <s v="Binders"/>
    <s v="Office Binder Pack"/>
    <n v="3413.52"/>
    <n v="5"/>
    <n v="0.85"/>
    <n v="608.24"/>
    <s v="OK"/>
    <s v="OK"/>
  </r>
  <r>
    <n v="1191"/>
    <x v="190"/>
    <x v="146"/>
    <d v="2024-01-21T00:00:00"/>
    <s v="First Class"/>
    <s v="CUST-1073"/>
    <s v="DIYA MATHEW"/>
    <x v="0"/>
    <s v="India"/>
    <s v="Bhubaneswar"/>
    <s v="Odisha"/>
    <x v="0"/>
    <n v="695001"/>
    <s v="P-391"/>
    <x v="3"/>
    <s v="Paper"/>
    <s v="A4 Copier Paper"/>
    <n v="1436.53"/>
    <n v="4"/>
    <n v="0.15"/>
    <n v="161.72999999999999"/>
    <s v="OK"/>
    <s v="OK"/>
  </r>
  <r>
    <n v="1192"/>
    <x v="191"/>
    <x v="147"/>
    <d v="2024-09-19T00:00:00"/>
    <s v="First Class"/>
    <s v="CUST-1025"/>
    <s v="ASHA KRISHNAN"/>
    <x v="0"/>
    <s v="India"/>
    <s v="Ahmedabad"/>
    <s v="Gujarat"/>
    <x v="0"/>
    <n v="695001"/>
    <s v="P-266"/>
    <x v="3"/>
    <s v="Art"/>
    <s v="Marker Set"/>
    <n v="1105.3399999999999"/>
    <n v="3"/>
    <n v="0.05"/>
    <n v="220.09"/>
    <s v="OK"/>
    <s v="OK"/>
  </r>
  <r>
    <n v="1193"/>
    <x v="192"/>
    <x v="148"/>
    <d v="2024-06-24T00:00:00"/>
    <s v="Second Class"/>
    <s v="CUST-1023"/>
    <s v="DIYA MATHEW"/>
    <x v="1"/>
    <s v="India"/>
    <s v="Kolkata"/>
    <s v="West Bengal"/>
    <x v="3"/>
    <n v="110001"/>
    <s v="P-537"/>
    <x v="3"/>
    <s v="Paper"/>
    <s v="A4 Copier Paper"/>
    <n v="1867.7"/>
    <n v="4"/>
    <n v="0"/>
    <n v="430.22"/>
    <s v="OK"/>
    <s v="OK"/>
  </r>
  <r>
    <n v="1194"/>
    <x v="193"/>
    <x v="0"/>
    <d v="2024-03-16T00:00:00"/>
    <s v="First Class"/>
    <s v="CUST-1120"/>
    <s v="FATHIMA ALI"/>
    <x v="0"/>
    <s v="India"/>
    <s v="Delhi"/>
    <s v="Delhi"/>
    <x v="0"/>
    <n v="695001"/>
    <s v="P-492"/>
    <x v="2"/>
    <s v="Tables"/>
    <s v="Study Table"/>
    <n v="26405.83"/>
    <n v="4"/>
    <n v="0.05"/>
    <n v="2823.75"/>
    <s v="OK"/>
    <s v="OK"/>
  </r>
  <r>
    <n v="1195"/>
    <x v="194"/>
    <x v="149"/>
    <d v="2024-10-31T00:00:00"/>
    <s v="Standard Class"/>
    <s v="CUST-1034"/>
    <s v="ADIL KHAN"/>
    <x v="1"/>
    <s v="India"/>
    <s v="Bengaluru"/>
    <s v="Karnataka"/>
    <x v="1"/>
    <n v="400001"/>
    <s v="P-341"/>
    <x v="3"/>
    <s v="Paper"/>
    <s v="A4 Copier Paper"/>
    <n v="2784.86"/>
    <n v="7"/>
    <n v="0.15"/>
    <n v="329.24"/>
    <s v="OK"/>
    <s v="OK"/>
  </r>
  <r>
    <n v="1196"/>
    <x v="195"/>
    <x v="150"/>
    <d v="2024-12-22T00:00:00"/>
    <s v="First Class"/>
    <s v="CUST-1089"/>
    <s v="ANANYA MENON"/>
    <x v="0"/>
    <s v="India"/>
    <s v="Kozhikode"/>
    <s v="Kerala"/>
    <x v="1"/>
    <n v="695001"/>
    <s v="P-729"/>
    <x v="3"/>
    <s v="Art"/>
    <s v="Marker Set"/>
    <n v="614.73"/>
    <n v="2"/>
    <n v="0.25"/>
    <n v="22.05"/>
    <s v="OK"/>
    <s v="OK"/>
  </r>
  <r>
    <n v="1197"/>
    <x v="196"/>
    <x v="85"/>
    <d v="2024-11-09T00:00:00"/>
    <s v="Same Day"/>
    <s v="CUST-1090"/>
    <s v="VISHNU RAJ"/>
    <x v="2"/>
    <s v="India"/>
    <s v="Bengaluru"/>
    <s v="Karnataka"/>
    <x v="3"/>
    <n v="110001"/>
    <s v="P-650"/>
    <x v="0"/>
    <s v="Accessories"/>
    <s v="HP Wireless Keyboard"/>
    <n v="3702.6"/>
    <n v="3"/>
    <n v="0.3"/>
    <n v="-358.22"/>
    <s v="OK"/>
    <s v="OK"/>
  </r>
  <r>
    <n v="1198"/>
    <x v="197"/>
    <x v="77"/>
    <d v="2024-09-30T00:00:00"/>
    <s v="First Class"/>
    <s v="CUST-1010"/>
    <s v="MUHAMMED SHAFI"/>
    <x v="1"/>
    <s v="India"/>
    <s v="Bhubaneswar"/>
    <s v="Odisha"/>
    <x v="0"/>
    <n v="673001"/>
    <s v="P-948"/>
    <x v="3"/>
    <s v="Art"/>
    <s v="Marker Set"/>
    <n v="1481.28"/>
    <n v="4"/>
    <n v="0"/>
    <n v="360.06"/>
    <s v="OK"/>
    <s v="OK"/>
  </r>
  <r>
    <n v="1199"/>
    <x v="198"/>
    <x v="47"/>
    <d v="2024-03-28T00:00:00"/>
    <s v="Same Day"/>
    <s v="CUST-1015"/>
    <s v="ADIL KHAN"/>
    <x v="0"/>
    <s v="India"/>
    <s v="Delhi"/>
    <s v="Delhi"/>
    <x v="2"/>
    <n v="400001"/>
    <s v="P-697"/>
    <x v="4"/>
    <s v="Kitchen"/>
    <s v="Mixer Grinder"/>
    <n v="17477.93"/>
    <n v="3"/>
    <n v="0.05"/>
    <n v="1643.6"/>
    <s v="OK"/>
    <s v="OK"/>
  </r>
  <r>
    <n v="1200"/>
    <x v="199"/>
    <x v="151"/>
    <d v="2024-08-22T00:00:00"/>
    <s v="Same Day"/>
    <s v="CUST-1059"/>
    <s v="DIYA MATHEW"/>
    <x v="2"/>
    <s v="India"/>
    <s v="Ahmedabad"/>
    <s v="Gujarat"/>
    <x v="0"/>
    <n v="600001"/>
    <s v="P-573"/>
    <x v="0"/>
    <s v="Mobiles"/>
    <s v="Samsung Galaxy A55"/>
    <n v="74890.03"/>
    <n v="2"/>
    <n v="0"/>
    <n v="9286.35"/>
    <s v="OK"/>
    <s v="OK"/>
  </r>
  <r>
    <n v="1201"/>
    <x v="200"/>
    <x v="75"/>
    <d v="2024-01-08T00:00:00"/>
    <s v="Second Class"/>
    <s v="CUST-1075"/>
    <s v="ANANYA MENON"/>
    <x v="0"/>
    <s v="India"/>
    <s v="Lucknow"/>
    <s v="Uttar Pradesh"/>
    <x v="0"/>
    <n v="560001"/>
    <s v="P-452"/>
    <x v="1"/>
    <s v="Shoes"/>
    <s v="Running Shoes"/>
    <n v="2547.2800000000002"/>
    <n v="1"/>
    <n v="0.15"/>
    <n v="466.65"/>
    <s v="OK"/>
    <s v="OK"/>
  </r>
  <r>
    <n v="1202"/>
    <x v="201"/>
    <x v="152"/>
    <d v="2024-08-30T00:00:00"/>
    <s v="First Class"/>
    <s v="CUST-1053"/>
    <s v="RAHUL KUMAR"/>
    <x v="0"/>
    <s v="India"/>
    <s v="Kolkata"/>
    <s v="West Bengal"/>
    <x v="2"/>
    <n v="110001"/>
    <s v="P-756"/>
    <x v="0"/>
    <s v="Mobiles"/>
    <s v="Samsung Galaxy A55"/>
    <n v="36030.25"/>
    <n v="1"/>
    <n v="0"/>
    <n v="4610.26"/>
    <s v="OK"/>
    <s v="OK"/>
  </r>
  <r>
    <n v="1203"/>
    <x v="202"/>
    <x v="153"/>
    <d v="2024-08-21T00:00:00"/>
    <s v="Same Day"/>
    <s v="CUST-1011"/>
    <s v="ADIL KHAN"/>
    <x v="2"/>
    <s v="India"/>
    <s v="Kolkata"/>
    <s v="West Bengal"/>
    <x v="2"/>
    <n v="400001"/>
    <s v="P-980"/>
    <x v="3"/>
    <s v="Art"/>
    <s v="Marker Set"/>
    <n v="553.59"/>
    <n v="2"/>
    <n v="0.25"/>
    <n v="24.87"/>
    <s v="OK"/>
    <s v="OK"/>
  </r>
  <r>
    <n v="1204"/>
    <x v="203"/>
    <x v="154"/>
    <d v="2024-04-25T00:00:00"/>
    <s v="Standard Class"/>
    <s v="CUST-1039"/>
    <s v="SNEHA NAIR"/>
    <x v="0"/>
    <s v="India"/>
    <s v="Mumbai"/>
    <s v="Maharashtra"/>
    <x v="3"/>
    <n v="600001"/>
    <s v="P-488"/>
    <x v="0"/>
    <s v="Mobiles"/>
    <s v="Samsung Galaxy A55"/>
    <n v="100781.13"/>
    <n v="3"/>
    <n v="0.05"/>
    <n v="5900.23"/>
    <s v="OK"/>
    <s v="OK"/>
  </r>
  <r>
    <n v="1205"/>
    <x v="204"/>
    <x v="155"/>
    <d v="2024-04-12T00:00:00"/>
    <s v="Standard Class"/>
    <s v="CUST-1005"/>
    <s v="ASHA KRISHNAN"/>
    <x v="0"/>
    <s v="India"/>
    <s v="Hyderabad"/>
    <s v="Telangana"/>
    <x v="3"/>
    <n v="600001"/>
    <s v="P-884"/>
    <x v="0"/>
    <s v="Accessories"/>
    <s v="HP Wireless Keyboard"/>
    <n v="3258.48"/>
    <n v="2"/>
    <n v="0.15"/>
    <n v="32.409999999999997"/>
    <s v="OK"/>
    <s v="OK"/>
  </r>
  <r>
    <n v="1206"/>
    <x v="205"/>
    <x v="156"/>
    <d v="2024-08-21T00:00:00"/>
    <s v="Standard Class"/>
    <s v="CUST-1032"/>
    <s v="NIKHIL VARMA"/>
    <x v="0"/>
    <s v="India"/>
    <s v="Kozhikode"/>
    <s v="Kerala"/>
    <x v="0"/>
    <n v="560001"/>
    <s v="P-549"/>
    <x v="0"/>
    <s v="Accessories"/>
    <s v="HP Wireless Keyboard"/>
    <n v="1747.96"/>
    <n v="1"/>
    <n v="0"/>
    <n v="235.54"/>
    <s v="OK"/>
    <s v="OK"/>
  </r>
  <r>
    <n v="1207"/>
    <x v="206"/>
    <x v="0"/>
    <d v="2024-03-17T00:00:00"/>
    <s v="First Class"/>
    <s v="CUST-1030"/>
    <s v="RIYA PAUL"/>
    <x v="0"/>
    <s v="India"/>
    <s v="Bengaluru"/>
    <s v="Karnataka"/>
    <x v="1"/>
    <n v="600001"/>
    <s v="P-712"/>
    <x v="3"/>
    <s v="Binders"/>
    <s v="Office Binder Pack"/>
    <n v="3484.32"/>
    <n v="5"/>
    <n v="0"/>
    <n v="722.45"/>
    <s v="OK"/>
    <s v="OK"/>
  </r>
  <r>
    <n v="1208"/>
    <x v="207"/>
    <x v="157"/>
    <d v="2024-12-09T00:00:00"/>
    <s v="Second Class"/>
    <s v="CUST-1053"/>
    <s v="ARJUN DAS"/>
    <x v="1"/>
    <s v="India"/>
    <s v="Bhubaneswar"/>
    <s v="Odisha"/>
    <x v="1"/>
    <n v="673001"/>
    <s v="P-670"/>
    <x v="3"/>
    <s v="Art"/>
    <s v="Marker Set"/>
    <n v="368.61"/>
    <n v="1"/>
    <n v="0.05"/>
    <n v="60.15"/>
    <s v="OK"/>
    <s v="OK"/>
  </r>
  <r>
    <n v="1209"/>
    <x v="208"/>
    <x v="158"/>
    <d v="2024-10-15T00:00:00"/>
    <s v="Standard Class"/>
    <s v="CUST-1045"/>
    <s v="ADIL KHAN"/>
    <x v="1"/>
    <s v="India"/>
    <s v="Jaipur"/>
    <s v="Rajasthan"/>
    <x v="3"/>
    <n v="110001"/>
    <s v="P-637"/>
    <x v="4"/>
    <s v="Kitchen"/>
    <s v="Mixer Grinder"/>
    <n v="4206.07"/>
    <n v="1"/>
    <n v="0.25"/>
    <n v="-124.99"/>
    <s v="OK"/>
    <s v="OK"/>
  </r>
  <r>
    <n v="1210"/>
    <x v="209"/>
    <x v="159"/>
    <d v="2024-04-09T00:00:00"/>
    <s v="Same Day"/>
    <s v="CUST-1031"/>
    <s v="RIYA PAUL"/>
    <x v="0"/>
    <s v="India"/>
    <s v="Mumbai"/>
    <s v="Maharashtra"/>
    <x v="2"/>
    <n v="695001"/>
    <s v="P-978"/>
    <x v="1"/>
    <s v="Shirts"/>
    <s v="Cotton Casual Shirt"/>
    <n v="1078.98"/>
    <n v="1"/>
    <n v="0.25"/>
    <n v="106.32"/>
    <s v="OK"/>
    <s v="OK"/>
  </r>
  <r>
    <n v="1211"/>
    <x v="210"/>
    <x v="141"/>
    <d v="2024-08-06T00:00:00"/>
    <s v="Second Class"/>
    <s v="CUST-1050"/>
    <s v="FATHIMA ALI"/>
    <x v="1"/>
    <s v="India"/>
    <s v="Kolkata"/>
    <s v="West Bengal"/>
    <x v="1"/>
    <n v="682001"/>
    <s v="P-438"/>
    <x v="0"/>
    <s v="Accessories"/>
    <s v="Logitech Wireless Mouse"/>
    <n v="5651.92"/>
    <n v="6"/>
    <n v="0.25"/>
    <n v="-339.69"/>
    <s v="OK"/>
    <s v="OK"/>
  </r>
  <r>
    <n v="1212"/>
    <x v="211"/>
    <x v="160"/>
    <d v="2024-10-07T00:00:00"/>
    <s v="Second Class"/>
    <s v="CUST-1007"/>
    <s v="ARJUN DAS"/>
    <x v="2"/>
    <s v="India"/>
    <s v="Lucknow"/>
    <s v="Uttar Pradesh"/>
    <x v="3"/>
    <n v="400001"/>
    <s v="P-719"/>
    <x v="0"/>
    <s v="Mobiles"/>
    <s v="Samsung Galaxy A55"/>
    <n v="168226.74"/>
    <n v="5"/>
    <n v="0"/>
    <n v="18453.32"/>
    <s v="OK"/>
    <s v="OK"/>
  </r>
  <r>
    <n v="1213"/>
    <x v="212"/>
    <x v="161"/>
    <d v="2024-09-04T00:00:00"/>
    <s v="First Class"/>
    <s v="CUST-1039"/>
    <s v="MUHAMMED SHAFI "/>
    <x v="2"/>
    <s v="India"/>
    <s v="Jaipur"/>
    <s v="Rajasthan"/>
    <x v="0"/>
    <n v="682001"/>
    <s v="P-294"/>
    <x v="0"/>
    <s v="Laptops"/>
    <s v="Dell Inspiron 15"/>
    <n v="43487"/>
    <n v="2"/>
    <n v="0.1"/>
    <n v="2005.38"/>
    <s v="OK"/>
    <s v="OK"/>
  </r>
  <r>
    <n v="1214"/>
    <x v="213"/>
    <x v="122"/>
    <d v="2024-12-27T00:00:00"/>
    <s v="Second Class"/>
    <s v="CUST-1051"/>
    <s v="MUHAMMED SHAFI"/>
    <x v="1"/>
    <s v="India"/>
    <s v="Kolkata"/>
    <s v="West Bengal"/>
    <x v="2"/>
    <n v="600001"/>
    <s v="P-429"/>
    <x v="0"/>
    <s v="Mobiles"/>
    <s v="Samsung Galaxy A55"/>
    <n v="128387.58"/>
    <n v="4"/>
    <n v="0.1"/>
    <n v="6897.41"/>
    <s v="OK"/>
    <s v="OK"/>
  </r>
  <r>
    <n v="1215"/>
    <x v="214"/>
    <x v="162"/>
    <d v="2024-06-09T00:00:00"/>
    <s v="First Class"/>
    <s v="CUST-1066"/>
    <s v="MUHAMMED SHAFI"/>
    <x v="0"/>
    <s v="India"/>
    <s v="Bhubaneswar"/>
    <s v="Odisha"/>
    <x v="3"/>
    <n v="560001"/>
    <s v="P-200"/>
    <x v="2"/>
    <s v="Chairs"/>
    <s v="Ergonomic Office Chair"/>
    <n v="19913.39"/>
    <n v="3"/>
    <n v="0.2"/>
    <n v="483.02"/>
    <s v="OK"/>
    <s v="OK"/>
  </r>
  <r>
    <n v="1216"/>
    <x v="215"/>
    <x v="163"/>
    <d v="2024-07-11T00:00:00"/>
    <s v="Same Day"/>
    <s v="CUST-1006"/>
    <s v="DIYA MATHEW"/>
    <x v="0"/>
    <s v="India"/>
    <s v="Bhubaneswar"/>
    <s v="Odisha"/>
    <x v="2"/>
    <n v="400001"/>
    <s v="P-249"/>
    <x v="1"/>
    <s v="Shirts"/>
    <s v="Cotton Casual Shirt"/>
    <n v="5940.14"/>
    <n v="5"/>
    <n v="0.1"/>
    <n v="1242.6199999999999"/>
    <s v="OK"/>
    <s v="OK"/>
  </r>
  <r>
    <n v="1217"/>
    <x v="216"/>
    <x v="86"/>
    <d v="2024-06-02T00:00:00"/>
    <s v="Second Class"/>
    <s v="CUST-1043"/>
    <s v="FATHIMA ALI"/>
    <x v="1"/>
    <s v="India"/>
    <s v="Kozhikode"/>
    <s v="Kerala"/>
    <x v="3"/>
    <n v="600001"/>
    <s v="P-953"/>
    <x v="2"/>
    <s v="Chairs"/>
    <s v="Ergonomic Office Chair"/>
    <n v="19486.75"/>
    <n v="3"/>
    <n v="0.25"/>
    <n v="-39"/>
    <s v="OK"/>
    <s v="OK"/>
  </r>
  <r>
    <n v="1218"/>
    <x v="217"/>
    <x v="87"/>
    <d v="2024-05-15T00:00:00"/>
    <s v="Same Day"/>
    <s v="CUST-1059"/>
    <s v="RAHUL KUMAR"/>
    <x v="1"/>
    <s v="India"/>
    <s v="Bengaluru"/>
    <s v="Karnataka"/>
    <x v="1"/>
    <n v="682001"/>
    <s v="P-243"/>
    <x v="3"/>
    <s v="Paper"/>
    <s v="A4 Copier Paper"/>
    <n v="2352.31"/>
    <n v="7"/>
    <n v="0.2"/>
    <n v="181.21"/>
    <s v="OK"/>
    <s v="OK"/>
  </r>
  <r>
    <n v="1219"/>
    <x v="218"/>
    <x v="164"/>
    <d v="2024-09-26T00:00:00"/>
    <s v="Standard Class"/>
    <s v="CUST-1105"/>
    <s v="ADIL KHAN"/>
    <x v="0"/>
    <s v="India"/>
    <s v="Kolkata"/>
    <s v="West Bengal"/>
    <x v="0"/>
    <n v="110001"/>
    <s v="P-106"/>
    <x v="3"/>
    <s v="Binders"/>
    <s v="Office Binder Pack"/>
    <n v="3633.4"/>
    <n v="6"/>
    <n v="0"/>
    <n v="843.62"/>
    <s v="OK"/>
    <s v="OK"/>
  </r>
  <r>
    <n v="1220"/>
    <x v="219"/>
    <x v="165"/>
    <d v="2024-01-07T00:00:00"/>
    <s v="Same Day"/>
    <s v="CUST-1048"/>
    <s v="AARAV NAIR"/>
    <x v="1"/>
    <s v="India"/>
    <s v="Pune"/>
    <s v="Maharashtra"/>
    <x v="3"/>
    <n v="400001"/>
    <s v="P-599"/>
    <x v="0"/>
    <s v="Accessories"/>
    <s v="Logitech Wireless Mouse"/>
    <n v="1177.6199999999999"/>
    <n v="1"/>
    <n v="0.05"/>
    <n v="72.16"/>
    <s v="OK"/>
    <s v="OK"/>
  </r>
  <r>
    <n v="1221"/>
    <x v="220"/>
    <x v="81"/>
    <d v="2024-10-04T00:00:00"/>
    <s v="First Class"/>
    <s v="CUST-1069"/>
    <s v="ARJUN DAS"/>
    <x v="0"/>
    <s v="India"/>
    <s v="Kozhikode"/>
    <s v="Kerala"/>
    <x v="0"/>
    <n v="600001"/>
    <s v="P-932"/>
    <x v="0"/>
    <s v="Laptops"/>
    <s v="Dell Inspiron 15"/>
    <n v="97091.7"/>
    <n v="2"/>
    <n v="0"/>
    <n v="13278.76"/>
    <s v="OK"/>
    <s v="OK"/>
  </r>
  <r>
    <n v="1222"/>
    <x v="221"/>
    <x v="54"/>
    <d v="2024-02-25T00:00:00"/>
    <s v="Second Class"/>
    <s v="CUST-1031"/>
    <s v="FATHIMA ALI"/>
    <x v="0"/>
    <s v="India"/>
    <s v="Kolkata"/>
    <s v="West Bengal"/>
    <x v="1"/>
    <n v="110001"/>
    <s v="P-462"/>
    <x v="3"/>
    <s v="Art"/>
    <s v="Marker Set"/>
    <n v="2476.17"/>
    <n v="7"/>
    <n v="0.05"/>
    <n v="387.93"/>
    <s v="OK"/>
    <s v="OK"/>
  </r>
  <r>
    <n v="1223"/>
    <x v="222"/>
    <x v="3"/>
    <d v="2024-08-28T00:00:00"/>
    <s v="Second Class"/>
    <s v="CUST-1090"/>
    <s v="FATHIMA ALI"/>
    <x v="0"/>
    <s v="India"/>
    <s v="Chennai"/>
    <s v="Tamil Nadu"/>
    <x v="1"/>
    <n v="400001"/>
    <s v="P-947"/>
    <x v="1"/>
    <s v="Shoes"/>
    <s v="Running Shoes"/>
    <n v="5040.2299999999996"/>
    <n v="2"/>
    <n v="0.25"/>
    <n v="539.64"/>
    <s v="OK"/>
    <s v="OK"/>
  </r>
  <r>
    <n v="1224"/>
    <x v="223"/>
    <x v="27"/>
    <d v="2024-02-21T00:00:00"/>
    <s v="Same Day"/>
    <s v="CUST-1049"/>
    <s v="VISHNU RAJ"/>
    <x v="1"/>
    <s v="India"/>
    <s v="Hyderabad"/>
    <s v="Telangana"/>
    <x v="3"/>
    <n v="673001"/>
    <s v="P-752"/>
    <x v="0"/>
    <s v="Mobiles"/>
    <s v="Samsung Galaxy A55"/>
    <n v="193996.83"/>
    <n v="5"/>
    <n v="0"/>
    <n v="24043.15"/>
    <s v="OK"/>
    <s v="OK"/>
  </r>
  <r>
    <n v="1225"/>
    <x v="224"/>
    <x v="58"/>
    <d v="2024-11-29T00:00:00"/>
    <s v="Standard Class"/>
    <s v="CUST-1115"/>
    <s v="VISHNU RAJ"/>
    <x v="0"/>
    <s v="India"/>
    <s v="Kozhikode"/>
    <s v="Kerala"/>
    <x v="0"/>
    <n v="682001"/>
    <s v="P-316"/>
    <x v="1"/>
    <s v="Shirts"/>
    <s v="Cotton Casual Shirt"/>
    <n v="3087.63"/>
    <n v="3"/>
    <n v="0.25"/>
    <n v="213.91"/>
    <s v="OK"/>
    <s v="OK"/>
  </r>
  <r>
    <n v="1226"/>
    <x v="225"/>
    <x v="166"/>
    <d v="2024-02-14T00:00:00"/>
    <s v="First Class"/>
    <s v="CUST-1116"/>
    <s v="VISHNU RAJ"/>
    <x v="2"/>
    <s v="India"/>
    <s v="Hyderabad"/>
    <s v="Telangana"/>
    <x v="0"/>
    <n v="682001"/>
    <s v="P-970"/>
    <x v="1"/>
    <s v="Shirts"/>
    <s v="Cotton Casual Shirt"/>
    <n v="4386.24"/>
    <n v="3"/>
    <n v="0"/>
    <n v="1128.58"/>
    <s v="OK"/>
    <s v="OK"/>
  </r>
  <r>
    <n v="1227"/>
    <x v="226"/>
    <x v="107"/>
    <d v="2024-02-12T00:00:00"/>
    <s v="Second Class"/>
    <s v="CUST-1073"/>
    <s v="FATHIMA ALI"/>
    <x v="2"/>
    <s v="India"/>
    <s v="Mumbai"/>
    <s v="Maharashtra"/>
    <x v="3"/>
    <n v="400001"/>
    <s v="P-653"/>
    <x v="0"/>
    <s v="Laptops"/>
    <s v="Dell Inspiron 15"/>
    <n v="115581.44"/>
    <n v="3"/>
    <n v="0.25"/>
    <n v="-7300.91"/>
    <s v="OK"/>
    <s v="OK"/>
  </r>
  <r>
    <n v="1228"/>
    <x v="227"/>
    <x v="167"/>
    <d v="2024-09-19T00:00:00"/>
    <s v="First Class"/>
    <s v="CUST-1007"/>
    <s v="ANANYA MENON"/>
    <x v="1"/>
    <s v="India"/>
    <s v="Mumbai"/>
    <s v="Maharashtra"/>
    <x v="3"/>
    <n v="682001"/>
    <s v="P-958"/>
    <x v="2"/>
    <s v="Bookcases"/>
    <s v="Wooden Bookshelf"/>
    <n v="6001.87"/>
    <n v="1"/>
    <n v="0"/>
    <n v="956.76"/>
    <s v="OK"/>
    <s v="OK"/>
  </r>
  <r>
    <n v="1229"/>
    <x v="228"/>
    <x v="138"/>
    <d v="2024-06-17T00:00:00"/>
    <s v="First Class"/>
    <s v="CUST-1101"/>
    <s v="SNEHA NAIR"/>
    <x v="1"/>
    <s v="India"/>
    <s v="Kochi"/>
    <s v="Kerala"/>
    <x v="3"/>
    <n v="682001"/>
    <s v="P-464"/>
    <x v="2"/>
    <s v="Tables"/>
    <s v="Study Table"/>
    <n v="14933.43"/>
    <n v="3"/>
    <n v="0.25"/>
    <n v="-36.75"/>
    <s v="OK"/>
    <s v="OK"/>
  </r>
  <r>
    <n v="1230"/>
    <x v="229"/>
    <x v="62"/>
    <d v="2024-02-18T00:00:00"/>
    <s v="First Class"/>
    <s v="CUST-1103"/>
    <s v="FATHIMA ALI"/>
    <x v="0"/>
    <s v="India"/>
    <s v="Delhi"/>
    <s v="Delhi"/>
    <x v="0"/>
    <n v="673001"/>
    <s v="P-374"/>
    <x v="2"/>
    <s v="Bookcases"/>
    <s v="Wooden Bookshelf"/>
    <n v="17836.96"/>
    <n v="4"/>
    <n v="0.25"/>
    <n v="-36.090000000000003"/>
    <s v="OK"/>
    <s v="OK"/>
  </r>
  <r>
    <n v="1231"/>
    <x v="230"/>
    <x v="168"/>
    <d v="2024-06-14T00:00:00"/>
    <s v="Standard Class"/>
    <s v="CUST-1012"/>
    <s v="AARAV NAIR"/>
    <x v="1"/>
    <s v="India"/>
    <s v="Thiruvananthapuram"/>
    <s v="Kerala"/>
    <x v="1"/>
    <n v="560001"/>
    <s v="P-468"/>
    <x v="2"/>
    <s v="Bookcases"/>
    <s v="Wooden Bookshelf"/>
    <n v="13518.78"/>
    <n v="3"/>
    <n v="0.25"/>
    <n v="-36.32"/>
    <s v="OK"/>
    <s v="OK"/>
  </r>
  <r>
    <n v="1232"/>
    <x v="231"/>
    <x v="153"/>
    <d v="2024-08-22T00:00:00"/>
    <s v="Same Day"/>
    <s v="CUST-1014"/>
    <s v="AARAV NAIR"/>
    <x v="0"/>
    <s v="India"/>
    <s v="Bhubaneswar"/>
    <s v="Odisha"/>
    <x v="0"/>
    <n v="695001"/>
    <s v="P-667"/>
    <x v="2"/>
    <s v="Chairs"/>
    <s v="Ergonomic Office Chair"/>
    <n v="6625.97"/>
    <n v="1"/>
    <n v="0.25"/>
    <n v="-17.260000000000002"/>
    <s v="OK"/>
    <s v="OK"/>
  </r>
  <r>
    <n v="1233"/>
    <x v="232"/>
    <x v="169"/>
    <d v="2024-01-10T00:00:00"/>
    <s v="Same Day"/>
    <s v="CUST-1050"/>
    <s v="ASHA KRISHNAN"/>
    <x v="1"/>
    <s v="India"/>
    <s v="Kochi"/>
    <s v="Kerala"/>
    <x v="0"/>
    <n v="400001"/>
    <s v="P-672"/>
    <x v="3"/>
    <s v="Storage"/>
    <s v="Document Organizer"/>
    <n v="1530.38"/>
    <n v="2"/>
    <n v="0.25"/>
    <n v="53.8"/>
    <s v="OK"/>
    <s v="OK"/>
  </r>
  <r>
    <n v="1234"/>
    <x v="233"/>
    <x v="0"/>
    <d v="2024-03-15T00:00:00"/>
    <s v="First Class"/>
    <s v="CUST-1035"/>
    <s v="SNEHA NAIR"/>
    <x v="0"/>
    <s v="India"/>
    <s v="Bengaluru"/>
    <s v="Karnataka"/>
    <x v="2"/>
    <n v="673001"/>
    <s v="P-271"/>
    <x v="3"/>
    <s v="Storage"/>
    <s v="Document Organizer"/>
    <n v="3486.23"/>
    <n v="4"/>
    <n v="0.05"/>
    <n v="691.56"/>
    <s v="OK"/>
    <s v="OK"/>
  </r>
  <r>
    <n v="1235"/>
    <x v="234"/>
    <x v="170"/>
    <d v="2024-07-06T00:00:00"/>
    <s v="Second Class"/>
    <s v="CUST-1093"/>
    <s v="ADIL KHAN"/>
    <x v="0"/>
    <s v="India"/>
    <s v="Pune"/>
    <s v="Maharashtra"/>
    <x v="3"/>
    <n v="600001"/>
    <s v="P-731"/>
    <x v="2"/>
    <s v="Chairs"/>
    <s v="Ergonomic Office Chair"/>
    <n v="24372.27"/>
    <n v="3"/>
    <n v="0"/>
    <n v="4802.75"/>
    <s v="OK"/>
    <s v="OK"/>
  </r>
  <r>
    <n v="1236"/>
    <x v="235"/>
    <x v="31"/>
    <d v="2024-06-24T00:00:00"/>
    <s v="Same Day"/>
    <s v="CUST-1103"/>
    <s v="RIYA PAUL"/>
    <x v="0"/>
    <s v="India"/>
    <s v="Bengaluru"/>
    <s v="Karnataka"/>
    <x v="1"/>
    <n v="560001"/>
    <s v="P-442"/>
    <x v="3"/>
    <s v="Paper"/>
    <s v="A4 Copier Paper"/>
    <n v="622.30999999999995"/>
    <n v="2"/>
    <n v="0.25"/>
    <n v="28.82"/>
    <s v="OK"/>
    <s v="OK"/>
  </r>
  <r>
    <n v="1237"/>
    <x v="236"/>
    <x v="36"/>
    <d v="2024-06-05T00:00:00"/>
    <s v="Second Class"/>
    <s v="CUST-1062"/>
    <s v="MEERA JOSEPH"/>
    <x v="1"/>
    <s v="India"/>
    <s v="Pune"/>
    <s v="Maharashtra"/>
    <x v="2"/>
    <n v="560001"/>
    <s v="P-426"/>
    <x v="4"/>
    <s v="Kitchen"/>
    <s v="Electric Kettle"/>
    <n v="7748.93"/>
    <n v="4"/>
    <n v="0.05"/>
    <n v="903.28"/>
    <s v="OK"/>
    <s v="OK"/>
  </r>
  <r>
    <n v="1238"/>
    <x v="237"/>
    <x v="171"/>
    <d v="2024-06-19T00:00:00"/>
    <s v="First Class"/>
    <s v="CUST-1105"/>
    <s v="ASHA KRISHNAN"/>
    <x v="1"/>
    <s v="India"/>
    <s v="Chennai"/>
    <s v="Tamil Nadu"/>
    <x v="3"/>
    <n v="695001"/>
    <s v="P-216"/>
    <x v="1"/>
    <s v="Shirts"/>
    <s v="Cotton Casual Shirt"/>
    <n v="3796.75"/>
    <n v="3"/>
    <n v="0.1"/>
    <n v="875.53"/>
    <s v="OK"/>
    <s v="OK"/>
  </r>
  <r>
    <n v="1239"/>
    <x v="238"/>
    <x v="48"/>
    <d v="2024-08-30T00:00:00"/>
    <s v="Second Class"/>
    <s v="CUST-1057"/>
    <s v="ASHA KRISHNAN"/>
    <x v="1"/>
    <s v="India"/>
    <s v="Jaipur"/>
    <s v="Rajasthan"/>
    <x v="1"/>
    <n v="110001"/>
    <s v="P-809"/>
    <x v="0"/>
    <s v="Accessories"/>
    <s v="HP Wireless Keyboard"/>
    <n v="5031.76"/>
    <n v="3"/>
    <n v="0"/>
    <n v="568.4"/>
    <s v="OK"/>
    <s v="OK"/>
  </r>
  <r>
    <n v="1240"/>
    <x v="239"/>
    <x v="0"/>
    <d v="2024-03-18T00:00:00"/>
    <s v="First Class"/>
    <s v="CUST-1031"/>
    <s v="ARJUN DAS"/>
    <x v="1"/>
    <s v="India"/>
    <s v="Kochi"/>
    <s v="Kerala"/>
    <x v="2"/>
    <n v="400001"/>
    <s v="P-533"/>
    <x v="4"/>
    <s v="Kitchen"/>
    <s v="Electric Kettle"/>
    <n v="8278.18"/>
    <n v="4"/>
    <n v="0.3"/>
    <n v="-544.29999999999995"/>
    <s v="OK"/>
    <s v="OK"/>
  </r>
  <r>
    <n v="1241"/>
    <x v="240"/>
    <x v="149"/>
    <d v="2024-10-29T00:00:00"/>
    <s v="Same Day"/>
    <s v="CUST-1070"/>
    <s v="AARAV NAIR"/>
    <x v="0"/>
    <s v="India"/>
    <s v="Bhubaneswar"/>
    <s v="Odisha"/>
    <x v="1"/>
    <n v="400001"/>
    <s v="P-931"/>
    <x v="2"/>
    <s v="Bookcases"/>
    <s v="Wooden Bookshelf"/>
    <n v="36582.019999999997"/>
    <n v="8"/>
    <n v="0.3"/>
    <n v="-1405.69"/>
    <s v="OK"/>
    <s v="OK"/>
  </r>
  <r>
    <n v="1242"/>
    <x v="241"/>
    <x v="70"/>
    <d v="2024-12-08T00:00:00"/>
    <s v="First Class"/>
    <s v="CUST-1022"/>
    <s v="ADIL KHAN"/>
    <x v="1"/>
    <s v="India"/>
    <s v="Delhi"/>
    <s v="Delhi"/>
    <x v="0"/>
    <n v="600001"/>
    <s v="P-760"/>
    <x v="3"/>
    <s v="Storage"/>
    <s v="Document Organizer"/>
    <n v="848.78"/>
    <n v="1"/>
    <n v="0.1"/>
    <n v="121.89"/>
    <s v="OK"/>
    <s v="OK"/>
  </r>
  <r>
    <n v="1243"/>
    <x v="242"/>
    <x v="54"/>
    <d v="2024-02-25T00:00:00"/>
    <s v="Standard Class"/>
    <s v="CUST-1034"/>
    <s v="FATHIMA ALI"/>
    <x v="0"/>
    <s v="India"/>
    <s v="Lucknow"/>
    <s v="Uttar Pradesh"/>
    <x v="2"/>
    <n v="560001"/>
    <s v="P-483"/>
    <x v="3"/>
    <s v="Art"/>
    <s v="Marker Set"/>
    <n v="1155.3800000000001"/>
    <n v="4"/>
    <n v="0.25"/>
    <n v="52.02"/>
    <s v="OK"/>
    <s v="OK"/>
  </r>
  <r>
    <n v="1244"/>
    <x v="243"/>
    <x v="172"/>
    <d v="2024-06-26T00:00:00"/>
    <s v="Same Day"/>
    <s v="CUST-1014"/>
    <s v="ARJUN DAS"/>
    <x v="1"/>
    <s v="India"/>
    <s v="Pune"/>
    <s v="Maharashtra"/>
    <x v="3"/>
    <n v="673001"/>
    <s v="P-218"/>
    <x v="3"/>
    <s v="Paper"/>
    <s v="A4 Copier Paper"/>
    <n v="1189.23"/>
    <n v="3"/>
    <n v="0.05"/>
    <n v="177.38"/>
    <s v="OK"/>
    <s v="OK"/>
  </r>
  <r>
    <n v="1245"/>
    <x v="244"/>
    <x v="173"/>
    <d v="2024-04-20T00:00:00"/>
    <s v="Same Day"/>
    <s v="CUST-1045"/>
    <s v="SNEHA NAIR"/>
    <x v="0"/>
    <s v="India"/>
    <s v="Hyderabad"/>
    <s v="Telangana"/>
    <x v="0"/>
    <n v="560001"/>
    <s v="P-839"/>
    <x v="1"/>
    <s v="Shirts"/>
    <s v="Cotton Casual Shirt"/>
    <n v="2101.25"/>
    <n v="2"/>
    <n v="0.3"/>
    <n v="138.12"/>
    <s v="OK"/>
    <s v="OK"/>
  </r>
  <r>
    <n v="1246"/>
    <x v="245"/>
    <x v="174"/>
    <d v="2024-01-15T00:00:00"/>
    <s v="Standard Class"/>
    <s v="CUST-1087"/>
    <s v="ASHA KRISHNAN"/>
    <x v="0"/>
    <s v="India"/>
    <s v="Kolkata"/>
    <s v="West Bengal"/>
    <x v="2"/>
    <n v="400001"/>
    <s v="P-349"/>
    <x v="3"/>
    <s v="Paper"/>
    <s v="A4 Copier Paper"/>
    <n v="893.61"/>
    <n v="2"/>
    <n v="0"/>
    <n v="189.46"/>
    <s v="OK"/>
    <s v="OK"/>
  </r>
  <r>
    <n v="1247"/>
    <x v="246"/>
    <x v="48"/>
    <d v="2024-08-26T00:00:00"/>
    <s v="Same Day"/>
    <s v="CUST-1081"/>
    <s v="RAHUL KUMAR"/>
    <x v="1"/>
    <s v="India"/>
    <s v="Delhi"/>
    <s v="Delhi"/>
    <x v="2"/>
    <n v="400001"/>
    <s v="P-773"/>
    <x v="0"/>
    <s v="Accessories"/>
    <s v="Logitech Wireless Mouse"/>
    <n v="1735.89"/>
    <n v="2"/>
    <n v="0.25"/>
    <n v="-76.92"/>
    <s v="OK"/>
    <s v="OK"/>
  </r>
  <r>
    <n v="1248"/>
    <x v="247"/>
    <x v="175"/>
    <d v="2024-08-23T00:00:00"/>
    <s v="Same Day"/>
    <s v="CUST-1050"/>
    <s v="AARAV NAIR"/>
    <x v="0"/>
    <s v="India"/>
    <s v="Pune"/>
    <s v="Maharashtra"/>
    <x v="2"/>
    <n v="682001"/>
    <s v="P-385"/>
    <x v="2"/>
    <s v="Bookcases"/>
    <s v="Wooden Bookshelf"/>
    <n v="17179.63"/>
    <n v="3"/>
    <n v="0.1"/>
    <n v="1512.4"/>
    <s v="OK"/>
    <s v="OK"/>
  </r>
  <r>
    <n v="1249"/>
    <x v="248"/>
    <x v="160"/>
    <d v="2024-10-03T00:00:00"/>
    <s v="First Class"/>
    <s v="CUST-1042"/>
    <s v="FATHIMA ALI"/>
    <x v="1"/>
    <s v="India"/>
    <s v="Bhubaneswar"/>
    <s v="Odisha"/>
    <x v="3"/>
    <n v="673001"/>
    <s v="P-368"/>
    <x v="1"/>
    <s v="Shirts"/>
    <s v="Cotton Casual Shirt"/>
    <n v="1418.74"/>
    <n v="1"/>
    <n v="0"/>
    <n v="279.8"/>
    <s v="OK"/>
    <s v="OK"/>
  </r>
  <r>
    <n v="1250"/>
    <x v="249"/>
    <x v="96"/>
    <d v="2024-11-05T00:00:00"/>
    <s v="Same Day"/>
    <s v="CUST-1076"/>
    <s v="ANANYA MENON"/>
    <x v="0"/>
    <s v="India"/>
    <s v="Lucknow"/>
    <s v="Uttar Pradesh"/>
    <x v="1"/>
    <n v="695001"/>
    <s v="P-965"/>
    <x v="4"/>
    <s v="Kitchen"/>
    <s v="Electric Kettle"/>
    <n v="13255.13"/>
    <n v="7"/>
    <n v="0.2"/>
    <n v="-530.21"/>
    <s v="OK"/>
    <s v="OK"/>
  </r>
  <r>
    <n v="1251"/>
    <x v="250"/>
    <x v="176"/>
    <d v="2024-11-15T00:00:00"/>
    <s v="Standard Class"/>
    <s v="CUST-1087"/>
    <s v="RAHUL KUMAR"/>
    <x v="0"/>
    <s v="India"/>
    <s v="Ahmedabad"/>
    <s v="Gujarat"/>
    <x v="1"/>
    <n v="673001"/>
    <s v="P-344"/>
    <x v="3"/>
    <s v="Storage"/>
    <s v="Document Organizer"/>
    <n v="3332.41"/>
    <n v="4"/>
    <n v="0.15"/>
    <n v="347.74"/>
    <s v="OK"/>
    <s v="OK"/>
  </r>
  <r>
    <n v="1252"/>
    <x v="251"/>
    <x v="177"/>
    <d v="2024-08-07T00:00:00"/>
    <s v="Second Class"/>
    <s v="CUST-1074"/>
    <s v="AMAL THOMAS"/>
    <x v="0"/>
    <s v="India"/>
    <s v="Chennai"/>
    <s v="Tamil Nadu"/>
    <x v="0"/>
    <n v="682001"/>
    <s v="P-598"/>
    <x v="0"/>
    <s v="Mobiles"/>
    <s v="Samsung Galaxy A55"/>
    <n v="104708.64"/>
    <n v="4"/>
    <n v="0.25"/>
    <n v="-6359.7"/>
    <s v="OK"/>
    <s v="OK"/>
  </r>
  <r>
    <n v="1253"/>
    <x v="252"/>
    <x v="158"/>
    <d v="2024-10-13T00:00:00"/>
    <s v="Same Day"/>
    <s v="CUST-1037"/>
    <s v="RAHUL KUMAR"/>
    <x v="1"/>
    <s v="India"/>
    <s v="Lucknow"/>
    <s v="Uttar Pradesh"/>
    <x v="2"/>
    <n v="695001"/>
    <s v="P-962"/>
    <x v="3"/>
    <s v="Binders"/>
    <s v="Office Binder Pack"/>
    <n v="1907.25"/>
    <n v="3"/>
    <n v="0.05"/>
    <n v="265.57"/>
    <s v="OK"/>
    <s v="OK"/>
  </r>
  <r>
    <n v="1254"/>
    <x v="253"/>
    <x v="178"/>
    <d v="2024-09-07T00:00:00"/>
    <s v="Second Class"/>
    <s v="CUST-1105"/>
    <s v="AMAL THOMAS"/>
    <x v="0"/>
    <s v="India"/>
    <s v="Ahmedabad"/>
    <s v="Gujarat"/>
    <x v="3"/>
    <n v="560001"/>
    <s v="P-801"/>
    <x v="3"/>
    <s v="Storage"/>
    <s v="Document Organizer"/>
    <n v="2024.92"/>
    <n v="2"/>
    <n v="0"/>
    <n v="470.3"/>
    <s v="OK"/>
    <s v="OK"/>
  </r>
  <r>
    <n v="1255"/>
    <x v="254"/>
    <x v="179"/>
    <d v="2024-02-17T00:00:00"/>
    <s v="Standard Class"/>
    <s v="CUST-1102"/>
    <s v="ASHA KRISHNAN"/>
    <x v="1"/>
    <s v="India"/>
    <s v="Ahmedabad"/>
    <s v="Gujarat"/>
    <x v="2"/>
    <n v="695001"/>
    <s v="P-133"/>
    <x v="2"/>
    <s v="Bookcases"/>
    <s v="Wooden Bookshelf"/>
    <n v="13035.13"/>
    <n v="2"/>
    <n v="0.05"/>
    <n v="1849.55"/>
    <s v="OK"/>
    <s v="OK"/>
  </r>
  <r>
    <n v="1256"/>
    <x v="255"/>
    <x v="53"/>
    <d v="2024-10-22T00:00:00"/>
    <s v="Same Day"/>
    <s v="CUST-1071"/>
    <s v="VISHNU RAJ"/>
    <x v="0"/>
    <s v="India"/>
    <s v="Chennai"/>
    <s v="Tamil Nadu"/>
    <x v="0"/>
    <n v="600001"/>
    <s v="P-216"/>
    <x v="0"/>
    <s v="Accessories"/>
    <s v="HP Wireless Keyboard"/>
    <n v="1282.8599999999999"/>
    <n v="1"/>
    <n v="0.3"/>
    <n v="-104.59"/>
    <s v="OK"/>
    <s v="OK"/>
  </r>
  <r>
    <n v="1257"/>
    <x v="256"/>
    <x v="180"/>
    <d v="2024-08-18T00:00:00"/>
    <s v="Second Class"/>
    <s v="CUST-1055"/>
    <s v="ANANYA MENON"/>
    <x v="0"/>
    <s v="India"/>
    <s v="Chennai"/>
    <s v="Tamil Nadu"/>
    <x v="2"/>
    <n v="695001"/>
    <s v="P-995"/>
    <x v="1"/>
    <s v="Shoes"/>
    <s v="Running Shoes"/>
    <n v="27372.46"/>
    <n v="8"/>
    <n v="0"/>
    <n v="8095.62"/>
    <s v="OK"/>
    <s v="OK"/>
  </r>
  <r>
    <n v="1258"/>
    <x v="257"/>
    <x v="66"/>
    <d v="2024-08-13T00:00:00"/>
    <s v="Second Class"/>
    <s v="CUST-1027"/>
    <s v="ASHA KRISHNAN"/>
    <x v="0"/>
    <s v="India"/>
    <s v="Kozhikode"/>
    <s v="Kerala"/>
    <x v="1"/>
    <n v="110001"/>
    <s v="P-827"/>
    <x v="3"/>
    <s v="Paper"/>
    <s v="A4 Copier Paper"/>
    <n v="2086.2800000000002"/>
    <n v="5"/>
    <n v="0"/>
    <n v="318.44"/>
    <s v="OK"/>
    <s v="OK"/>
  </r>
  <r>
    <n v="1259"/>
    <x v="258"/>
    <x v="173"/>
    <d v="2024-04-16T00:00:00"/>
    <s v="First Class"/>
    <s v="CUST-1069"/>
    <s v="ARJUN DAS"/>
    <x v="0"/>
    <s v="India"/>
    <s v="Jaipur"/>
    <s v="Rajasthan"/>
    <x v="2"/>
    <n v="695001"/>
    <s v="P-820"/>
    <x v="3"/>
    <s v="Art"/>
    <s v="Marker Set"/>
    <n v="1005.72"/>
    <n v="3"/>
    <n v="0.1"/>
    <n v="156.85"/>
    <s v="OK"/>
    <s v="OK"/>
  </r>
  <r>
    <n v="1260"/>
    <x v="259"/>
    <x v="181"/>
    <d v="2024-03-14T00:00:00"/>
    <s v="Standard Class"/>
    <s v="CUST-1036"/>
    <s v="RIYA PAUL"/>
    <x v="1"/>
    <s v="India"/>
    <s v="Chennai"/>
    <s v="Tamil Nadu"/>
    <x v="2"/>
    <n v="400001"/>
    <s v="P-986"/>
    <x v="2"/>
    <s v="Chairs"/>
    <s v="Ergonomic Office Chair"/>
    <n v="64138.87"/>
    <n v="7"/>
    <n v="0"/>
    <n v="8468.4699999999993"/>
    <s v="OK"/>
    <s v="OK"/>
  </r>
  <r>
    <n v="1261"/>
    <x v="260"/>
    <x v="37"/>
    <d v="2024-12-16T00:00:00"/>
    <s v="Same Day"/>
    <s v="CUST-1019"/>
    <s v="DIYA MATHEW"/>
    <x v="0"/>
    <s v="India"/>
    <s v="Thiruvananthapuram"/>
    <s v="Kerala"/>
    <x v="1"/>
    <n v="400001"/>
    <s v="P-524"/>
    <x v="0"/>
    <s v="Accessories"/>
    <s v="HP Wireless Keyboard"/>
    <n v="3288.8"/>
    <n v="2"/>
    <n v="0.1"/>
    <n v="139.18"/>
    <s v="OK"/>
    <s v="OK"/>
  </r>
  <r>
    <n v="1262"/>
    <x v="261"/>
    <x v="182"/>
    <d v="2024-07-30T00:00:00"/>
    <s v="First Class"/>
    <s v="CUST-1089"/>
    <s v="MUHAMMED SHAFI"/>
    <x v="0"/>
    <s v="India"/>
    <s v="Pune"/>
    <s v="Maharashtra"/>
    <x v="1"/>
    <n v="560001"/>
    <s v="P-599"/>
    <x v="3"/>
    <s v="Paper"/>
    <s v="A4 Copier Paper"/>
    <n v="2419.17"/>
    <n v="5"/>
    <n v="0"/>
    <n v="566.6"/>
    <s v="OK"/>
    <s v="OK"/>
  </r>
  <r>
    <n v="1263"/>
    <x v="262"/>
    <x v="183"/>
    <d v="2024-08-28T00:00:00"/>
    <s v="First Class"/>
    <s v="CUST-1109"/>
    <s v="ANANYA MENON"/>
    <x v="0"/>
    <s v="India"/>
    <s v="Mumbai"/>
    <s v="Maharashtra"/>
    <x v="3"/>
    <n v="682001"/>
    <s v="P-539"/>
    <x v="3"/>
    <s v="Storage"/>
    <s v="Document Organizer"/>
    <n v="4005.7"/>
    <n v="4"/>
    <n v="0"/>
    <n v="788.6"/>
    <s v="OK"/>
    <s v="OK"/>
  </r>
  <r>
    <n v="1264"/>
    <x v="263"/>
    <x v="148"/>
    <d v="2024-06-26T00:00:00"/>
    <s v="Second Class"/>
    <s v="CUST-1073"/>
    <s v="RIYA PAUL"/>
    <x v="0"/>
    <s v="India"/>
    <s v="Hyderabad"/>
    <s v="Telangana"/>
    <x v="3"/>
    <n v="110001"/>
    <s v="P-451"/>
    <x v="0"/>
    <s v="Accessories"/>
    <s v="HP Wireless Keyboard"/>
    <n v="3018.3"/>
    <n v="2"/>
    <n v="0.15"/>
    <n v="33.450000000000003"/>
    <s v="OK"/>
    <s v="OK"/>
  </r>
  <r>
    <n v="1265"/>
    <x v="264"/>
    <x v="184"/>
    <d v="2024-01-10T00:00:00"/>
    <s v="Second Class"/>
    <s v="CUST-1057"/>
    <s v="SNEHA NAIR"/>
    <x v="0"/>
    <s v="India"/>
    <s v="Lucknow"/>
    <s v="Uttar Pradesh"/>
    <x v="0"/>
    <n v="560001"/>
    <s v="P-307"/>
    <x v="1"/>
    <s v="Shoes"/>
    <s v="Running Shoes"/>
    <n v="2081"/>
    <n v="1"/>
    <n v="0.3"/>
    <n v="135.33000000000001"/>
    <s v="OK"/>
    <s v="OK"/>
  </r>
  <r>
    <n v="1266"/>
    <x v="265"/>
    <x v="43"/>
    <d v="2024-05-21T00:00:00"/>
    <s v="First Class"/>
    <s v="CUST-1033"/>
    <s v="ANANYA MENON"/>
    <x v="0"/>
    <s v="India"/>
    <s v="Kolkata"/>
    <s v="West Bengal"/>
    <x v="1"/>
    <n v="400001"/>
    <s v="P-764"/>
    <x v="4"/>
    <s v="Kitchen"/>
    <s v="Mixer Grinder"/>
    <n v="17357.560000000001"/>
    <n v="3"/>
    <n v="0.05"/>
    <n v="2115.21"/>
    <s v="OK"/>
    <s v="OK"/>
  </r>
  <r>
    <n v="1267"/>
    <x v="266"/>
    <x v="185"/>
    <d v="2024-08-13T00:00:00"/>
    <s v="Standard Class"/>
    <s v="CUST-1091"/>
    <s v="ANANYA MENON"/>
    <x v="0"/>
    <s v="India"/>
    <s v="Thiruvananthapuram"/>
    <s v="Kerala"/>
    <x v="0"/>
    <n v="682001"/>
    <s v="P-588"/>
    <x v="0"/>
    <s v="Laptops"/>
    <s v="Dell Inspiron 15"/>
    <n v="101037.63"/>
    <n v="2"/>
    <n v="0.1"/>
    <n v="4672.71"/>
    <s v="OK"/>
    <s v="OK"/>
  </r>
  <r>
    <n v="1268"/>
    <x v="267"/>
    <x v="165"/>
    <d v="2024-01-06T00:00:00"/>
    <s v="First Class"/>
    <s v="CUST-1105"/>
    <s v="ANANYA MENON"/>
    <x v="1"/>
    <s v="India"/>
    <s v="Kochi"/>
    <s v="Kerala"/>
    <x v="3"/>
    <n v="400001"/>
    <s v="P-235"/>
    <x v="0"/>
    <s v="Accessories"/>
    <s v="Logitech Wireless Mouse"/>
    <n v="2628.46"/>
    <n v="3"/>
    <n v="0.3"/>
    <n v="-273.10000000000002"/>
    <s v="OK"/>
    <s v="OK"/>
  </r>
  <r>
    <n v="1269"/>
    <x v="268"/>
    <x v="186"/>
    <d v="2024-02-25T00:00:00"/>
    <s v="First Class"/>
    <s v="CUST-1113"/>
    <s v="ARJUN DAS"/>
    <x v="0"/>
    <s v="India"/>
    <s v="Ahmedabad"/>
    <s v="Gujarat"/>
    <x v="2"/>
    <n v="560001"/>
    <s v="P-892"/>
    <x v="0"/>
    <s v="Mobiles"/>
    <s v="Samsung Galaxy A55"/>
    <n v="38013.97"/>
    <n v="1"/>
    <n v="0"/>
    <n v="3653.3"/>
    <s v="OK"/>
    <s v="OK"/>
  </r>
  <r>
    <n v="1270"/>
    <x v="269"/>
    <x v="187"/>
    <d v="2024-02-10T00:00:00"/>
    <s v="Standard Class"/>
    <s v="CUST-1079"/>
    <s v="ADIL KHAN"/>
    <x v="2"/>
    <s v="India"/>
    <s v="Hyderabad"/>
    <s v="Telangana"/>
    <x v="2"/>
    <n v="560001"/>
    <s v="P-459"/>
    <x v="1"/>
    <s v="Shoes"/>
    <s v="Running Shoes"/>
    <n v="9047.83"/>
    <n v="3"/>
    <n v="0.05"/>
    <n v="1603.01"/>
    <s v="OK"/>
    <s v="OK"/>
  </r>
  <r>
    <n v="1271"/>
    <x v="270"/>
    <x v="55"/>
    <d v="2024-11-17T00:00:00"/>
    <s v="Same Day"/>
    <s v="CUST-1111"/>
    <s v="FATHIMA ALI"/>
    <x v="1"/>
    <s v="India"/>
    <s v="Kolkata"/>
    <s v="West Bengal"/>
    <x v="0"/>
    <n v="673001"/>
    <s v="P-243"/>
    <x v="0"/>
    <s v="Accessories"/>
    <s v="HP Wireless Keyboard"/>
    <n v="1448.08"/>
    <n v="1"/>
    <n v="0.25"/>
    <n v="-80.06"/>
    <s v="OK"/>
    <s v="OK"/>
  </r>
  <r>
    <n v="1272"/>
    <x v="271"/>
    <x v="6"/>
    <d v="2024-06-12T00:00:00"/>
    <s v="Second Class"/>
    <s v="CUST-1036"/>
    <s v="ADIL KHAN"/>
    <x v="1"/>
    <s v="India"/>
    <s v="Bhubaneswar"/>
    <s v="Odisha"/>
    <x v="0"/>
    <n v="682001"/>
    <s v="P-666"/>
    <x v="0"/>
    <s v="Mobiles"/>
    <s v="Samsung Galaxy A55"/>
    <n v="51655.47"/>
    <n v="2"/>
    <n v="0"/>
    <n v="-2944.73"/>
    <s v="OK"/>
    <s v="OK"/>
  </r>
  <r>
    <n v="1273"/>
    <x v="272"/>
    <x v="95"/>
    <d v="2024-12-06T00:00:00"/>
    <s v="Second Class"/>
    <s v="CUST-1067"/>
    <s v="DIYA MATHEW"/>
    <x v="1"/>
    <s v="India"/>
    <s v="Jaipur"/>
    <s v="Rajasthan"/>
    <x v="2"/>
    <n v="400001"/>
    <s v="P-501"/>
    <x v="3"/>
    <s v="Storage"/>
    <s v="Document Organizer"/>
    <n v="1935.91"/>
    <n v="2"/>
    <n v="0"/>
    <n v="359.72"/>
    <s v="OK"/>
    <s v="OK"/>
  </r>
  <r>
    <n v="1274"/>
    <x v="273"/>
    <x v="188"/>
    <d v="2024-09-14T00:00:00"/>
    <s v="Standard Class"/>
    <s v="CUST-1031"/>
    <s v="SNEHA NAIR"/>
    <x v="0"/>
    <s v="India"/>
    <s v="Chennai"/>
    <s v="Tamil Nadu"/>
    <x v="0"/>
    <n v="600001"/>
    <s v="P-112"/>
    <x v="3"/>
    <s v="Art"/>
    <s v="Marker Set"/>
    <n v="1925.12"/>
    <n v="6"/>
    <n v="0.1"/>
    <n v="282.19"/>
    <s v="OK"/>
    <s v="OK"/>
  </r>
  <r>
    <n v="1275"/>
    <x v="274"/>
    <x v="189"/>
    <d v="2024-07-11T00:00:00"/>
    <s v="Second Class"/>
    <s v="CUST-1098"/>
    <s v="SNEHA NAIR"/>
    <x v="0"/>
    <s v="India"/>
    <s v="Mumbai"/>
    <s v="Maharashtra"/>
    <x v="0"/>
    <n v="673001"/>
    <s v="P-701"/>
    <x v="4"/>
    <s v="Kitchen"/>
    <s v="Mixer Grinder"/>
    <n v="8728.27"/>
    <n v="2"/>
    <n v="0.25"/>
    <n v="-322.29000000000002"/>
    <s v="OK"/>
    <s v="OK"/>
  </r>
  <r>
    <n v="1276"/>
    <x v="275"/>
    <x v="52"/>
    <d v="2024-07-27T00:00:00"/>
    <s v="First Class"/>
    <s v="CUST-1081"/>
    <s v="NIKHIL VARMA"/>
    <x v="0"/>
    <s v="India"/>
    <s v="Kochi"/>
    <s v="Kerala"/>
    <x v="3"/>
    <n v="560001"/>
    <s v="P-818"/>
    <x v="0"/>
    <s v="Laptops"/>
    <s v="Dell Inspiron 15"/>
    <n v="52167.76"/>
    <n v="1"/>
    <n v="0"/>
    <n v="6748.94"/>
    <s v="OK"/>
    <s v="OK"/>
  </r>
  <r>
    <n v="1277"/>
    <x v="276"/>
    <x v="2"/>
    <d v="2024-05-23T00:00:00"/>
    <s v="First Class"/>
    <s v="CUST-1011"/>
    <s v="VISHNU RAJ"/>
    <x v="1"/>
    <s v="India"/>
    <s v="Pune"/>
    <s v="Maharashtra"/>
    <x v="2"/>
    <n v="110001"/>
    <s v="P-259"/>
    <x v="0"/>
    <s v="Mobiles"/>
    <s v="Samsung Galaxy A55"/>
    <n v="103452.1"/>
    <n v="3"/>
    <n v="0.05"/>
    <n v="8261.82"/>
    <s v="OK"/>
    <s v="OK"/>
  </r>
  <r>
    <n v="1278"/>
    <x v="277"/>
    <x v="112"/>
    <d v="2024-06-13T00:00:00"/>
    <s v="Same Day"/>
    <s v="CUST-1094"/>
    <s v="RIYA PAUL"/>
    <x v="0"/>
    <s v="India"/>
    <s v="Delhi"/>
    <s v="Delhi"/>
    <x v="2"/>
    <n v="673001"/>
    <s v="P-350"/>
    <x v="2"/>
    <s v="Tables"/>
    <s v="Study Table"/>
    <n v="22901.71"/>
    <n v="3"/>
    <n v="0"/>
    <n v="3487.44"/>
    <s v="OK"/>
    <s v="OK"/>
  </r>
  <r>
    <n v="1279"/>
    <x v="278"/>
    <x v="112"/>
    <d v="2024-06-13T00:00:00"/>
    <s v="Second Class"/>
    <s v="CUST-1016"/>
    <s v="AARAV NAIR"/>
    <x v="0"/>
    <s v="India"/>
    <s v="Kochi"/>
    <s v="Kerala"/>
    <x v="2"/>
    <n v="400001"/>
    <s v="P-111"/>
    <x v="4"/>
    <s v="Kitchen"/>
    <s v="Mixer Grinder"/>
    <n v="10920.73"/>
    <n v="2"/>
    <n v="0"/>
    <n v="1085.2"/>
    <s v="OK"/>
    <s v="OK"/>
  </r>
  <r>
    <n v="1280"/>
    <x v="279"/>
    <x v="190"/>
    <d v="2024-03-29T00:00:00"/>
    <s v="Second Class"/>
    <s v="CUST-1096"/>
    <s v="ASHA KRISHNAN"/>
    <x v="2"/>
    <s v="India"/>
    <s v="Thiruvananthapuram"/>
    <s v="Kerala"/>
    <x v="1"/>
    <n v="400001"/>
    <s v="P-220"/>
    <x v="3"/>
    <s v="Paper"/>
    <s v="A4 Copier Paper"/>
    <n v="1194.3399999999999"/>
    <n v="3"/>
    <n v="0.15"/>
    <n v="129.78"/>
    <s v="OK"/>
    <s v="OK"/>
  </r>
  <r>
    <n v="1281"/>
    <x v="280"/>
    <x v="164"/>
    <d v="2024-09-26T00:00:00"/>
    <s v="First Class"/>
    <s v="CUST-1092"/>
    <s v="DIYA MATHEW"/>
    <x v="0"/>
    <s v="India"/>
    <s v="Bhubaneswar"/>
    <s v="Odisha"/>
    <x v="0"/>
    <n v="560001"/>
    <s v="P-566"/>
    <x v="4"/>
    <s v="Kitchen"/>
    <s v="Mixer Grinder"/>
    <n v="25454.89"/>
    <n v="5"/>
    <n v="0.15"/>
    <n v="708.55"/>
    <s v="OK"/>
    <s v="OK"/>
  </r>
  <r>
    <n v="1282"/>
    <x v="281"/>
    <x v="51"/>
    <d v="2024-07-09T00:00:00"/>
    <s v="First Class"/>
    <s v="CUST-1099"/>
    <s v="ANANYA MENON"/>
    <x v="0"/>
    <s v="India"/>
    <s v="Delhi"/>
    <s v="Delhi"/>
    <x v="0"/>
    <n v="682001"/>
    <s v="P-858"/>
    <x v="2"/>
    <s v="Tables"/>
    <s v="Study Table"/>
    <n v="32210.22"/>
    <n v="5"/>
    <n v="0.05"/>
    <n v="3109.97"/>
    <s v="OK"/>
    <s v="OK"/>
  </r>
  <r>
    <n v="1283"/>
    <x v="282"/>
    <x v="103"/>
    <d v="2024-01-28T00:00:00"/>
    <s v="First Class"/>
    <s v="CUST-1050"/>
    <s v="MUHAMMED SHAFI"/>
    <x v="0"/>
    <s v="India"/>
    <s v="Delhi"/>
    <s v="Delhi"/>
    <x v="2"/>
    <n v="682001"/>
    <s v="P-978"/>
    <x v="0"/>
    <s v="Laptops"/>
    <s v="Dell Inspiron 15"/>
    <n v="228406"/>
    <n v="5"/>
    <n v="0.1"/>
    <n v="10740.37"/>
    <s v="OK"/>
    <s v="OK"/>
  </r>
  <r>
    <n v="1284"/>
    <x v="283"/>
    <x v="154"/>
    <d v="2024-04-27T00:00:00"/>
    <s v="Second Class"/>
    <s v="CUST-1054"/>
    <s v="MUHAMMED SHAFI"/>
    <x v="1"/>
    <s v="India"/>
    <s v="Kozhikode"/>
    <s v="Kerala"/>
    <x v="1"/>
    <n v="695001"/>
    <s v="P-945"/>
    <x v="3"/>
    <s v="Binders"/>
    <s v="Office Binder Pack"/>
    <n v="1916.38"/>
    <n v="4"/>
    <n v="0.25"/>
    <n v="69.62"/>
    <s v="OK"/>
    <s v="OK"/>
  </r>
  <r>
    <n v="1285"/>
    <x v="284"/>
    <x v="191"/>
    <d v="2024-04-03T00:00:00"/>
    <s v="Standard Class"/>
    <s v="CUST-1052"/>
    <s v="ANANYA MENON"/>
    <x v="0"/>
    <s v="India"/>
    <s v="Kochi"/>
    <s v="Kerala"/>
    <x v="3"/>
    <n v="110001"/>
    <s v="P-389"/>
    <x v="3"/>
    <s v="Storage"/>
    <s v="Document Organizer"/>
    <n v="3034.3"/>
    <n v="3"/>
    <n v="0"/>
    <n v="560.82000000000005"/>
    <s v="OK"/>
    <s v="OK"/>
  </r>
  <r>
    <n v="1286"/>
    <x v="285"/>
    <x v="165"/>
    <d v="2024-01-08T00:00:00"/>
    <s v="Second Class"/>
    <s v="CUST-1038"/>
    <s v="DIYA MATHEW"/>
    <x v="0"/>
    <s v="India"/>
    <s v="Bhubaneswar"/>
    <s v="Odisha"/>
    <x v="3"/>
    <n v="400001"/>
    <s v="P-737"/>
    <x v="4"/>
    <s v="Kitchen"/>
    <s v="Electric Kettle"/>
    <n v="1543.45"/>
    <n v="1"/>
    <n v="0.3"/>
    <n v="-114.55"/>
    <s v="OK"/>
    <s v="OK"/>
  </r>
  <r>
    <n v="1287"/>
    <x v="286"/>
    <x v="126"/>
    <d v="2024-10-08T00:00:00"/>
    <s v="Second Class"/>
    <s v="CUST-1001"/>
    <s v="MUHAMMED SHAFI"/>
    <x v="0"/>
    <s v="India"/>
    <s v="Bengaluru"/>
    <s v="Karnataka"/>
    <x v="3"/>
    <n v="673001"/>
    <s v="P-338"/>
    <x v="3"/>
    <s v="Paper"/>
    <s v="A4 Copier Paper"/>
    <n v="3186.37"/>
    <n v="8"/>
    <n v="0.1"/>
    <n v="456.42"/>
    <s v="OK"/>
    <s v="OK"/>
  </r>
  <r>
    <n v="1288"/>
    <x v="287"/>
    <x v="192"/>
    <d v="2024-06-21T00:00:00"/>
    <s v="Same Day"/>
    <s v="CUST-1109"/>
    <s v="NIKHIL VARMA"/>
    <x v="1"/>
    <s v="India"/>
    <s v="Delhi"/>
    <s v="Delhi"/>
    <x v="1"/>
    <n v="673001"/>
    <s v="P-310"/>
    <x v="2"/>
    <s v="Tables"/>
    <s v="Study Table"/>
    <n v="30469.77"/>
    <n v="4"/>
    <n v="0"/>
    <n v="5970.91"/>
    <s v="OK"/>
    <s v="OK"/>
  </r>
  <r>
    <n v="1289"/>
    <x v="288"/>
    <x v="193"/>
    <d v="2025-01-02T00:00:00"/>
    <s v="Standard Class"/>
    <s v="CUST-1006"/>
    <s v="MUHAMMED SHAFI"/>
    <x v="0"/>
    <s v="India"/>
    <s v="Delhi"/>
    <s v="Delhi"/>
    <x v="2"/>
    <n v="110001"/>
    <s v="P-632"/>
    <x v="0"/>
    <s v="Accessories"/>
    <s v="HP Wireless Keyboard"/>
    <n v="11294.08"/>
    <n v="7"/>
    <n v="0.05"/>
    <n v="1061.99"/>
    <s v="OK"/>
    <s v="OK"/>
  </r>
  <r>
    <n v="1290"/>
    <x v="289"/>
    <x v="121"/>
    <d v="2024-10-25T00:00:00"/>
    <s v="Second Class"/>
    <s v="CUST-1082"/>
    <s v="RIYA PAUL"/>
    <x v="2"/>
    <s v="India"/>
    <s v="Pune"/>
    <s v="Maharashtra"/>
    <x v="3"/>
    <n v="673001"/>
    <s v="P-706"/>
    <x v="1"/>
    <s v="Shirts"/>
    <s v="Cotton Casual Shirt"/>
    <n v="2796.47"/>
    <n v="2"/>
    <n v="0"/>
    <n v="614.61"/>
    <s v="OK"/>
    <s v="OK"/>
  </r>
  <r>
    <n v="1291"/>
    <x v="290"/>
    <x v="194"/>
    <d v="2024-06-01T00:00:00"/>
    <s v="First Class"/>
    <s v="CUST-1119"/>
    <s v="ASHA KRISHNAN"/>
    <x v="0"/>
    <s v="India"/>
    <s v="Jaipur"/>
    <s v="Rajasthan"/>
    <x v="3"/>
    <n v="400001"/>
    <s v="P-951"/>
    <x v="0"/>
    <s v="Laptops"/>
    <s v="Dell Inspiron 15"/>
    <n v="325458.06"/>
    <n v="7"/>
    <n v="0.1"/>
    <n v="18160.8"/>
    <s v="OK"/>
    <s v="OK"/>
  </r>
  <r>
    <n v="1292"/>
    <x v="291"/>
    <x v="195"/>
    <d v="2024-04-15T00:00:00"/>
    <s v="Standard Class"/>
    <s v="CUST-1020"/>
    <s v="ANANYA MENON"/>
    <x v="0"/>
    <s v="India"/>
    <s v="Kolkata"/>
    <s v="West Bengal"/>
    <x v="2"/>
    <n v="560001"/>
    <s v="P-577"/>
    <x v="2"/>
    <s v="Tables"/>
    <s v="Study Table"/>
    <n v="14382.99"/>
    <n v="2"/>
    <n v="0"/>
    <n v="2104.23"/>
    <s v="OK"/>
    <s v="OK"/>
  </r>
  <r>
    <n v="1293"/>
    <x v="292"/>
    <x v="196"/>
    <d v="2024-08-22T00:00:00"/>
    <s v="Same Day"/>
    <s v="CUST-1034"/>
    <s v="RIYA PAUL"/>
    <x v="0"/>
    <s v="India"/>
    <s v="Mumbai"/>
    <s v="Maharashtra"/>
    <x v="0"/>
    <n v="673001"/>
    <s v="P-261"/>
    <x v="2"/>
    <s v="Bookcases"/>
    <s v="Wooden Bookshelf"/>
    <n v="11765.88"/>
    <n v="2"/>
    <n v="0.1"/>
    <n v="972.53"/>
    <s v="OK"/>
    <s v="OK"/>
  </r>
  <r>
    <n v="1294"/>
    <x v="293"/>
    <x v="197"/>
    <d v="2024-04-23T00:00:00"/>
    <s v="Second Class"/>
    <s v="CUST-1012"/>
    <s v="NIKHIL VARMA"/>
    <x v="0"/>
    <s v="India"/>
    <s v="Bhubaneswar"/>
    <s v="Odisha"/>
    <x v="2"/>
    <n v="695001"/>
    <s v="P-505"/>
    <x v="3"/>
    <s v="Art"/>
    <s v="Marker Set"/>
    <n v="1416.85"/>
    <n v="4"/>
    <n v="0"/>
    <n v="230.79"/>
    <s v="OK"/>
    <s v="OK"/>
  </r>
  <r>
    <n v="1295"/>
    <x v="294"/>
    <x v="198"/>
    <d v="2024-01-20T00:00:00"/>
    <s v="Same Day"/>
    <s v="CUST-1072"/>
    <s v="NIKHIL VARMA"/>
    <x v="1"/>
    <s v="India"/>
    <s v="Delhi"/>
    <s v="Delhi"/>
    <x v="2"/>
    <n v="673001"/>
    <s v="P-573"/>
    <x v="0"/>
    <s v="Laptops"/>
    <s v="Dell Inspiron 15"/>
    <n v="92920.15"/>
    <n v="2"/>
    <n v="0.05"/>
    <n v="5947.93"/>
    <s v="OK"/>
    <s v="OK"/>
  </r>
  <r>
    <n v="1296"/>
    <x v="295"/>
    <x v="199"/>
    <d v="2024-04-25T00:00:00"/>
    <s v="Second Class"/>
    <s v="CUST-1106"/>
    <s v="AMAL THOMAS"/>
    <x v="1"/>
    <s v="India"/>
    <s v="Kochi"/>
    <s v="Kerala"/>
    <x v="1"/>
    <n v="400001"/>
    <s v="P-745"/>
    <x v="1"/>
    <s v="Shoes"/>
    <s v="Running Shoes"/>
    <n v="3015.08"/>
    <n v="1"/>
    <n v="0"/>
    <n v="806.86"/>
    <s v="OK"/>
    <s v="OK"/>
  </r>
  <r>
    <n v="1297"/>
    <x v="296"/>
    <x v="174"/>
    <d v="2024-01-13T00:00:00"/>
    <s v="Second Class"/>
    <s v="CUST-1116"/>
    <s v="ADIL KHAN"/>
    <x v="1"/>
    <s v="India"/>
    <s v="Lucknow"/>
    <s v="Uttar Pradesh"/>
    <x v="3"/>
    <n v="110001"/>
    <s v="P-231"/>
    <x v="0"/>
    <s v="Mobiles"/>
    <s v="Samsung Galaxy A55"/>
    <n v="68335.259999999995"/>
    <n v="2"/>
    <n v="0"/>
    <n v="6936.83"/>
    <s v="OK"/>
    <s v="OK"/>
  </r>
  <r>
    <n v="1298"/>
    <x v="297"/>
    <x v="123"/>
    <d v="2024-01-26T00:00:00"/>
    <s v="Standard Class"/>
    <s v="CUST-1022"/>
    <s v="MUHAMMED SHAFI"/>
    <x v="1"/>
    <s v="India"/>
    <s v="Kochi"/>
    <s v="Kerala"/>
    <x v="3"/>
    <n v="110001"/>
    <s v="P-841"/>
    <x v="4"/>
    <s v="Kitchen"/>
    <s v="Mixer Grinder"/>
    <n v="30841.1"/>
    <n v="5"/>
    <n v="0"/>
    <n v="3957.14"/>
    <s v="OK"/>
    <s v="OK"/>
  </r>
  <r>
    <n v="1299"/>
    <x v="298"/>
    <x v="16"/>
    <d v="2024-07-02T00:00:00"/>
    <s v="Second Class"/>
    <s v="CUST-1036"/>
    <s v="ARJUN DAS"/>
    <x v="0"/>
    <s v="India"/>
    <s v="Pune"/>
    <s v="Maharashtra"/>
    <x v="3"/>
    <n v="682001"/>
    <s v="P-135"/>
    <x v="3"/>
    <s v="Paper"/>
    <s v="A4 Copier Paper"/>
    <n v="1755.84"/>
    <n v="4"/>
    <n v="0.05"/>
    <n v="245.92"/>
    <s v="OK"/>
    <s v="OK"/>
  </r>
  <r>
    <n v="1300"/>
    <x v="299"/>
    <x v="200"/>
    <d v="2024-08-03T00:00:00"/>
    <s v="Same Day"/>
    <s v="CUST-1008"/>
    <s v="ANANYA MENON"/>
    <x v="1"/>
    <s v="India"/>
    <s v="Jaipur"/>
    <s v="Rajasthan"/>
    <x v="1"/>
    <n v="560001"/>
    <s v="P-240"/>
    <x v="3"/>
    <s v="Storage"/>
    <s v="Document Organizer"/>
    <n v="1896.78"/>
    <n v="3"/>
    <n v="0.3"/>
    <n v="7.31"/>
    <s v="OK"/>
    <s v="OK"/>
  </r>
  <r>
    <n v="1301"/>
    <x v="300"/>
    <x v="201"/>
    <d v="2024-11-23T00:00:00"/>
    <s v="Standard Class"/>
    <s v="CUST-1049"/>
    <s v="ASHA KRISHNAN"/>
    <x v="1"/>
    <s v="India"/>
    <s v="Pune"/>
    <s v="Maharashtra"/>
    <x v="1"/>
    <n v="560001"/>
    <s v="P-657"/>
    <x v="0"/>
    <s v="Accessories"/>
    <s v="HP Wireless Keyboard"/>
    <n v="7670.94"/>
    <n v="5"/>
    <n v="0.1"/>
    <n v="306.98"/>
    <s v="OK"/>
    <s v="OK"/>
  </r>
  <r>
    <n v="1302"/>
    <x v="301"/>
    <x v="202"/>
    <d v="2024-07-20T00:00:00"/>
    <s v="Second Class"/>
    <s v="CUST-1004"/>
    <s v="MEERA JOSEPH"/>
    <x v="0"/>
    <s v="India"/>
    <s v="Bhubaneswar"/>
    <s v="Odisha"/>
    <x v="2"/>
    <n v="673001"/>
    <s v="P-930"/>
    <x v="3"/>
    <s v="Paper"/>
    <s v="A4 Copier Paper"/>
    <n v="1024.19"/>
    <n v="3"/>
    <n v="0.2"/>
    <n v="56.95"/>
    <s v="OK"/>
    <s v="OK"/>
  </r>
  <r>
    <n v="1303"/>
    <x v="302"/>
    <x v="89"/>
    <d v="2024-10-28T00:00:00"/>
    <s v="Second Class"/>
    <s v="CUST-1013"/>
    <s v="FATHIMA ALI"/>
    <x v="0"/>
    <s v="India"/>
    <s v="Bhubaneswar"/>
    <s v="Odisha"/>
    <x v="2"/>
    <n v="695001"/>
    <s v="P-646"/>
    <x v="2"/>
    <s v="Chairs"/>
    <s v="Ergonomic Office Chair"/>
    <n v="51098.01"/>
    <n v="8"/>
    <n v="0.2"/>
    <n v="1502.88"/>
    <s v="OK"/>
    <s v="OK"/>
  </r>
  <r>
    <n v="1304"/>
    <x v="303"/>
    <x v="203"/>
    <d v="2024-10-25T00:00:00"/>
    <s v="First Class"/>
    <s v="CUST-1120"/>
    <s v="RIYA PAUL"/>
    <x v="2"/>
    <s v="India"/>
    <s v="Hyderabad"/>
    <s v="Telangana"/>
    <x v="2"/>
    <n v="682001"/>
    <s v="P-342"/>
    <x v="1"/>
    <s v="Shoes"/>
    <s v="Running Shoes"/>
    <n v="2744.68"/>
    <n v="1"/>
    <n v="0.1"/>
    <n v="473.31"/>
    <s v="OK"/>
    <s v="OK"/>
  </r>
  <r>
    <n v="1305"/>
    <x v="304"/>
    <x v="4"/>
    <d v="2025-01-01T00:00:00"/>
    <s v="First Class"/>
    <s v="CUST-1073"/>
    <s v="DIYA MATHEW"/>
    <x v="1"/>
    <s v="India"/>
    <s v="Jaipur"/>
    <s v="Rajasthan"/>
    <x v="2"/>
    <n v="600001"/>
    <s v="P-292"/>
    <x v="2"/>
    <s v="Tables"/>
    <s v="Study Table"/>
    <n v="28815.75"/>
    <n v="4"/>
    <n v="0"/>
    <n v="5049.43"/>
    <s v="OK"/>
    <s v="OK"/>
  </r>
  <r>
    <n v="1306"/>
    <x v="305"/>
    <x v="145"/>
    <d v="2024-04-03T00:00:00"/>
    <s v="Standard Class"/>
    <s v="CUST-1012"/>
    <s v="AARAV NAIR"/>
    <x v="2"/>
    <s v="India"/>
    <s v="Hyderabad"/>
    <s v="Telangana"/>
    <x v="0"/>
    <n v="600001"/>
    <s v="P-324"/>
    <x v="1"/>
    <s v="Shoes"/>
    <s v="Running Shoes"/>
    <n v="7558.53"/>
    <n v="3"/>
    <n v="0.15"/>
    <n v="1325.24"/>
    <s v="OK"/>
    <s v="OK"/>
  </r>
  <r>
    <n v="1307"/>
    <x v="306"/>
    <x v="204"/>
    <d v="2024-03-10T00:00:00"/>
    <s v="Second Class"/>
    <s v="CUST-1118"/>
    <s v="ASHA KRISHNAN"/>
    <x v="0"/>
    <s v="India"/>
    <s v="Kozhikode"/>
    <s v="Kerala"/>
    <x v="1"/>
    <n v="673001"/>
    <s v="P-122"/>
    <x v="3"/>
    <s v="Binders"/>
    <s v="Office Binder Pack"/>
    <n v="1193.94"/>
    <n v="2"/>
    <n v="0.1"/>
    <n v="127.48"/>
    <s v="OK"/>
    <s v="OK"/>
  </r>
  <r>
    <n v="1308"/>
    <x v="307"/>
    <x v="77"/>
    <d v="2024-09-29T00:00:00"/>
    <s v="Standard Class"/>
    <s v="CUST-1048"/>
    <s v="NIKHIL VARMA"/>
    <x v="1"/>
    <s v="India"/>
    <s v="Thiruvananthapuram"/>
    <s v="Kerala"/>
    <x v="3"/>
    <n v="600001"/>
    <s v="P-203"/>
    <x v="3"/>
    <s v="Storage"/>
    <s v="Document Organizer"/>
    <n v="1006.78"/>
    <n v="1"/>
    <n v="0"/>
    <n v="243.73"/>
    <s v="OK"/>
    <s v="OK"/>
  </r>
  <r>
    <n v="1309"/>
    <x v="308"/>
    <x v="205"/>
    <d v="2024-11-27T00:00:00"/>
    <s v="First Class"/>
    <s v="CUST-1023"/>
    <s v="NIKHIL VARMA"/>
    <x v="0"/>
    <s v="India"/>
    <s v="Mumbai"/>
    <s v="Maharashtra"/>
    <x v="1"/>
    <n v="682001"/>
    <s v="P-781"/>
    <x v="2"/>
    <s v="Chairs"/>
    <s v="Ergonomic Office Chair"/>
    <n v="47418.400000000001"/>
    <n v="8"/>
    <n v="0.25"/>
    <n v="-105.32"/>
    <s v="OK"/>
    <s v="OK"/>
  </r>
  <r>
    <n v="1310"/>
    <x v="309"/>
    <x v="12"/>
    <d v="2024-03-08T00:00:00"/>
    <s v="Standard Class"/>
    <s v="CUST-1090"/>
    <s v="DIYA MATHEW"/>
    <x v="0"/>
    <s v="India"/>
    <s v="Jaipur"/>
    <s v="Rajasthan"/>
    <x v="3"/>
    <n v="110001"/>
    <s v="P-889"/>
    <x v="4"/>
    <s v="Kitchen"/>
    <s v="Electric Kettle"/>
    <n v="3923.23"/>
    <n v="2"/>
    <n v="0.15"/>
    <n v="143.33000000000001"/>
    <s v="OK"/>
    <s v="OK"/>
  </r>
  <r>
    <n v="1311"/>
    <x v="310"/>
    <x v="205"/>
    <d v="2024-11-28T00:00:00"/>
    <s v="Standard Class"/>
    <s v="CUST-1120"/>
    <s v="SNEHA NAIR"/>
    <x v="0"/>
    <s v="India"/>
    <s v="Jaipur"/>
    <s v="Rajasthan"/>
    <x v="2"/>
    <n v="695001"/>
    <s v="P-863"/>
    <x v="0"/>
    <s v="Laptops"/>
    <s v="Dell Inspiron 15"/>
    <n v="88875.39"/>
    <n v="2"/>
    <n v="0.1"/>
    <n v="3418.18"/>
    <s v="OK"/>
    <s v="OK"/>
  </r>
  <r>
    <n v="1312"/>
    <x v="311"/>
    <x v="206"/>
    <d v="2025-01-03T00:00:00"/>
    <s v="First Class"/>
    <s v="CUST-1058"/>
    <s v="AARAV NAIR"/>
    <x v="0"/>
    <s v="India"/>
    <s v="Kochi"/>
    <s v="Kerala"/>
    <x v="1"/>
    <n v="682001"/>
    <s v="P-355"/>
    <x v="0"/>
    <s v="Accessories"/>
    <s v="HP Wireless Keyboard"/>
    <n v="3525.39"/>
    <n v="2"/>
    <n v="0"/>
    <n v="384.79"/>
    <s v="OK"/>
    <s v="OK"/>
  </r>
  <r>
    <n v="1313"/>
    <x v="312"/>
    <x v="207"/>
    <d v="2024-01-29T00:00:00"/>
    <s v="Same Day"/>
    <s v="CUST-1094"/>
    <s v="AMAL THOMAS"/>
    <x v="0"/>
    <s v="India"/>
    <s v="Kolkata"/>
    <s v="West Bengal"/>
    <x v="2"/>
    <n v="560001"/>
    <s v="P-604"/>
    <x v="0"/>
    <s v="Mobiles"/>
    <s v="Samsung Galaxy A55"/>
    <n v="183405.74"/>
    <n v="5"/>
    <n v="0"/>
    <n v="18852.32"/>
    <s v="OK"/>
    <s v="OK"/>
  </r>
  <r>
    <n v="1314"/>
    <x v="313"/>
    <x v="68"/>
    <d v="2024-10-28T00:00:00"/>
    <s v="Second Class"/>
    <s v="CUST-1021"/>
    <s v="SNEHA NAIR"/>
    <x v="0"/>
    <s v="India"/>
    <s v="Pune"/>
    <s v="Maharashtra"/>
    <x v="0"/>
    <n v="110001"/>
    <s v="P-966"/>
    <x v="2"/>
    <s v="Tables"/>
    <s v="Study Table"/>
    <n v="5009.79"/>
    <n v="1"/>
    <n v="0.3"/>
    <n v="-197.04"/>
    <s v="OK"/>
    <s v="OK"/>
  </r>
  <r>
    <n v="1315"/>
    <x v="314"/>
    <x v="24"/>
    <d v="2024-02-10T00:00:00"/>
    <s v="Second Class"/>
    <s v="CUST-1114"/>
    <s v="AMAL THOMAS"/>
    <x v="0"/>
    <s v="India"/>
    <s v="Kozhikode"/>
    <s v="Kerala"/>
    <x v="2"/>
    <n v="400001"/>
    <s v="P-176"/>
    <x v="2"/>
    <s v="Chairs"/>
    <s v="Ergonomic Office Chair"/>
    <n v="15739.78"/>
    <n v="2"/>
    <n v="0"/>
    <n v="2206.64"/>
    <s v="OK"/>
    <s v="OK"/>
  </r>
  <r>
    <n v="1316"/>
    <x v="315"/>
    <x v="4"/>
    <d v="2024-12-27T00:00:00"/>
    <s v="Same Day"/>
    <s v="CUST-1111"/>
    <s v="RAHUL KUMAR"/>
    <x v="2"/>
    <s v="India"/>
    <s v="Delhi"/>
    <s v="Delhi"/>
    <x v="3"/>
    <n v="682001"/>
    <s v="P-154"/>
    <x v="4"/>
    <s v="Kitchen"/>
    <s v="Mixer Grinder"/>
    <n v="8397.18"/>
    <n v="2"/>
    <n v="0.3"/>
    <n v="-653.66999999999996"/>
    <s v="OK"/>
    <s v="OK"/>
  </r>
  <r>
    <n v="1317"/>
    <x v="316"/>
    <x v="157"/>
    <d v="2024-12-07T00:00:00"/>
    <s v="First Class"/>
    <s v="CUST-1031"/>
    <s v="ANANYA MENON"/>
    <x v="0"/>
    <s v="India"/>
    <s v="Kochi"/>
    <s v="Kerala"/>
    <x v="0"/>
    <n v="560001"/>
    <s v="P-685"/>
    <x v="2"/>
    <s v="Tables"/>
    <s v="Study Table"/>
    <n v="6131.43"/>
    <n v="1"/>
    <n v="0.15"/>
    <n v="389.37"/>
    <s v="OK"/>
    <s v="OK"/>
  </r>
  <r>
    <n v="1318"/>
    <x v="317"/>
    <x v="208"/>
    <d v="2024-08-07T00:00:00"/>
    <s v="First Class"/>
    <s v="CUST-1106"/>
    <s v="ADIL KHAN"/>
    <x v="0"/>
    <s v="India"/>
    <s v="Delhi"/>
    <s v="Delhi"/>
    <x v="3"/>
    <n v="682001"/>
    <s v="P-199"/>
    <x v="4"/>
    <s v="Kitchen"/>
    <s v="Electric Kettle"/>
    <n v="2061.7199999999998"/>
    <n v="1"/>
    <n v="0"/>
    <n v="260.98"/>
    <s v="OK"/>
    <s v="OK"/>
  </r>
  <r>
    <n v="1319"/>
    <x v="318"/>
    <x v="59"/>
    <d v="2024-08-31T00:00:00"/>
    <s v="First Class"/>
    <s v="CUST-1101"/>
    <s v="AMAL THOMAS"/>
    <x v="0"/>
    <s v="India"/>
    <s v="Kozhikode"/>
    <s v="Kerala"/>
    <x v="3"/>
    <n v="560001"/>
    <s v="P-776"/>
    <x v="0"/>
    <s v="Accessories"/>
    <s v="HP Wireless Keyboard"/>
    <n v="3618.79"/>
    <n v="2"/>
    <n v="0"/>
    <n v="346.81"/>
    <s v="OK"/>
    <s v="OK"/>
  </r>
  <r>
    <n v="1320"/>
    <x v="319"/>
    <x v="9"/>
    <d v="2024-07-17T00:00:00"/>
    <s v="Second Class"/>
    <s v="CUST-1058"/>
    <s v="AARAV NAIR"/>
    <x v="1"/>
    <s v="India"/>
    <s v="Chennai"/>
    <s v="Tamil Nadu"/>
    <x v="1"/>
    <n v="560001"/>
    <s v="P-576"/>
    <x v="0"/>
    <s v="Mobiles"/>
    <s v="Samsung Galaxy A55"/>
    <n v="55473.35"/>
    <n v="2"/>
    <n v="0.2"/>
    <n v="-1041.3900000000001"/>
    <s v="OK"/>
    <s v="OK"/>
  </r>
  <r>
    <n v="1321"/>
    <x v="320"/>
    <x v="122"/>
    <d v="2024-12-28T00:00:00"/>
    <s v="Standard Class"/>
    <s v="CUST-1011"/>
    <s v="ADIL KHAN"/>
    <x v="1"/>
    <s v="India"/>
    <s v="Chennai"/>
    <s v="Tamil Nadu"/>
    <x v="1"/>
    <n v="110001"/>
    <s v="P-654"/>
    <x v="0"/>
    <s v="Accessories"/>
    <s v="HP Wireless Keyboard"/>
    <n v="4736.07"/>
    <n v="3"/>
    <n v="0.05"/>
    <n v="334.39"/>
    <s v="OK"/>
    <s v="OK"/>
  </r>
  <r>
    <n v="1322"/>
    <x v="321"/>
    <x v="209"/>
    <d v="2024-09-28T00:00:00"/>
    <s v="Same Day"/>
    <s v="CUST-1074"/>
    <s v="MUHAMMED SHAFI"/>
    <x v="1"/>
    <s v="India"/>
    <s v="Pune"/>
    <s v="Maharashtra"/>
    <x v="2"/>
    <n v="560001"/>
    <s v="P-406"/>
    <x v="1"/>
    <s v="Shoes"/>
    <s v="Running Shoes"/>
    <n v="6867.59"/>
    <n v="3"/>
    <n v="0.25"/>
    <n v="549.08000000000004"/>
    <s v="OK"/>
    <s v="OK"/>
  </r>
  <r>
    <n v="1323"/>
    <x v="322"/>
    <x v="105"/>
    <d v="2024-03-06T00:00:00"/>
    <s v="Second Class"/>
    <s v="CUST-1022"/>
    <s v="FATHIMA ALI"/>
    <x v="2"/>
    <s v="India"/>
    <s v="Kochi"/>
    <s v="Kerala"/>
    <x v="2"/>
    <n v="682001"/>
    <s v="P-143"/>
    <x v="2"/>
    <s v="Bookcases"/>
    <s v="Wooden Bookshelf"/>
    <n v="22840.42"/>
    <n v="4"/>
    <n v="0.05"/>
    <n v="3480.79"/>
    <s v="OK"/>
    <s v="OK"/>
  </r>
  <r>
    <n v="1324"/>
    <x v="323"/>
    <x v="210"/>
    <d v="2024-11-03T00:00:00"/>
    <s v="First Class"/>
    <s v="CUST-1117"/>
    <s v="NIKHIL VARMA"/>
    <x v="2"/>
    <s v="India"/>
    <s v="Pune"/>
    <s v="Maharashtra"/>
    <x v="0"/>
    <n v="673001"/>
    <s v="P-497"/>
    <x v="0"/>
    <s v="Mobiles"/>
    <s v="Samsung Galaxy A55"/>
    <n v="69424.28"/>
    <n v="2"/>
    <n v="0.05"/>
    <n v="5862.2"/>
    <s v="OK"/>
    <s v="OK"/>
  </r>
  <r>
    <n v="1325"/>
    <x v="324"/>
    <x v="169"/>
    <d v="2024-01-13T00:00:00"/>
    <s v="Same Day"/>
    <s v="CUST-1015"/>
    <s v="AMAL THOMAS"/>
    <x v="1"/>
    <s v="India"/>
    <s v="Delhi"/>
    <s v="Delhi"/>
    <x v="2"/>
    <n v="682001"/>
    <s v="P-680"/>
    <x v="2"/>
    <s v="Bookcases"/>
    <s v="Wooden Bookshelf"/>
    <n v="23436.39"/>
    <n v="5"/>
    <n v="0.3"/>
    <n v="-819.63"/>
    <s v="OK"/>
    <s v="OK"/>
  </r>
  <r>
    <n v="1326"/>
    <x v="325"/>
    <x v="211"/>
    <d v="2024-10-16T00:00:00"/>
    <s v="First Class"/>
    <s v="CUST-1112"/>
    <s v="VISHNU RAJ"/>
    <x v="1"/>
    <s v="India"/>
    <s v="Jaipur"/>
    <s v="Rajasthan"/>
    <x v="1"/>
    <n v="560001"/>
    <s v="P-370"/>
    <x v="3"/>
    <s v="Storage"/>
    <s v="Document Organizer"/>
    <n v="6210.48"/>
    <n v="7"/>
    <n v="0"/>
    <n v="1265.1400000000001"/>
    <s v="OK"/>
    <s v="OK"/>
  </r>
  <r>
    <n v="1327"/>
    <x v="326"/>
    <x v="212"/>
    <d v="2024-04-01T00:00:00"/>
    <s v="Same Day"/>
    <s v="CUST-1019"/>
    <s v="DIYA MATHEW"/>
    <x v="0"/>
    <s v="India"/>
    <s v="Pune"/>
    <s v="Maharashtra"/>
    <x v="3"/>
    <n v="673001"/>
    <s v="P-505"/>
    <x v="3"/>
    <s v="Art"/>
    <s v="Marker Set"/>
    <n v="1155.8399999999999"/>
    <n v="3"/>
    <n v="0"/>
    <n v="259.54000000000002"/>
    <s v="OK"/>
    <s v="OK"/>
  </r>
  <r>
    <n v="1328"/>
    <x v="327"/>
    <x v="213"/>
    <d v="2024-07-10T00:00:00"/>
    <s v="First Class"/>
    <s v="CUST-1105"/>
    <s v="MUHAMMAD RABEEH"/>
    <x v="0"/>
    <s v="India"/>
    <s v="Mumbai"/>
    <s v="Maharashtra"/>
    <x v="1"/>
    <n v="695001"/>
    <s v="P-387"/>
    <x v="1"/>
    <s v="Shirts"/>
    <s v="Cotton Casual Shirt"/>
    <n v="4707.95"/>
    <n v="4"/>
    <n v="0.15"/>
    <n v="584.27"/>
    <s v="OK"/>
    <s v="OK"/>
  </r>
  <r>
    <n v="1329"/>
    <x v="328"/>
    <x v="214"/>
    <d v="2024-03-12T00:00:00"/>
    <s v="Same Day"/>
    <s v="CUST-1100"/>
    <s v="RIYA PAUL"/>
    <x v="2"/>
    <s v="India"/>
    <s v="Hyderabad"/>
    <s v="Telangana"/>
    <x v="1"/>
    <n v="695001"/>
    <s v="P-846"/>
    <x v="3"/>
    <s v="Paper"/>
    <s v="A4 Copier Paper"/>
    <n v="1563.95"/>
    <n v="4"/>
    <n v="0.1"/>
    <n v="196.68"/>
    <s v="OK"/>
    <s v="OK"/>
  </r>
  <r>
    <n v="1330"/>
    <x v="329"/>
    <x v="215"/>
    <d v="2024-08-02T00:00:00"/>
    <s v="Same Day"/>
    <s v="CUST-1098"/>
    <s v="VISHNU RAJ"/>
    <x v="1"/>
    <s v="India"/>
    <s v="Pune"/>
    <s v="Maharashtra"/>
    <x v="1"/>
    <n v="110001"/>
    <s v="P-157"/>
    <x v="3"/>
    <s v="Storage"/>
    <s v="Document Organizer"/>
    <n v="874.96"/>
    <n v="1"/>
    <n v="0.1"/>
    <n v="122.3"/>
    <s v="OK"/>
    <s v="OK"/>
  </r>
  <r>
    <n v="1331"/>
    <x v="330"/>
    <x v="181"/>
    <d v="2024-03-15T00:00:00"/>
    <s v="Standard Class"/>
    <s v="CUST-1023"/>
    <s v="FATHIMA ALI"/>
    <x v="0"/>
    <s v="India"/>
    <s v="Delhi"/>
    <s v="Delhi"/>
    <x v="2"/>
    <n v="110001"/>
    <s v="P-159"/>
    <x v="1"/>
    <s v="Shoes"/>
    <s v="Running Shoes"/>
    <n v="4689.4799999999996"/>
    <n v="2"/>
    <n v="0.25"/>
    <n v="510.15"/>
    <s v="OK"/>
    <s v="OK"/>
  </r>
  <r>
    <n v="1332"/>
    <x v="331"/>
    <x v="43"/>
    <d v="2024-05-23T00:00:00"/>
    <s v="Same Day"/>
    <s v="CUST-1065"/>
    <s v="AMAL THOMAS"/>
    <x v="0"/>
    <s v="India"/>
    <s v="Bengaluru"/>
    <s v="Karnataka"/>
    <x v="0"/>
    <n v="400001"/>
    <s v="P-131"/>
    <x v="0"/>
    <s v="Laptops"/>
    <s v="Dell Inspiron 15"/>
    <n v="285552.25"/>
    <n v="6"/>
    <n v="0.1"/>
    <n v="11161.55"/>
    <s v="OK"/>
    <s v="OK"/>
  </r>
  <r>
    <n v="1333"/>
    <x v="332"/>
    <x v="83"/>
    <d v="2024-11-01T00:00:00"/>
    <s v="First Class"/>
    <s v="CUST-1045"/>
    <s v="RAHUL KUMAR"/>
    <x v="0"/>
    <s v="India"/>
    <s v="Bengaluru"/>
    <s v="Karnataka"/>
    <x v="1"/>
    <n v="400001"/>
    <s v="P-950"/>
    <x v="2"/>
    <s v="Tables"/>
    <s v="Study Table"/>
    <n v="9437.75"/>
    <n v="2"/>
    <n v="0.3"/>
    <n v="-272.99"/>
    <s v="OK"/>
    <s v="OK"/>
  </r>
  <r>
    <n v="1334"/>
    <x v="333"/>
    <x v="84"/>
    <d v="2024-10-21T00:00:00"/>
    <s v="Second Class"/>
    <s v="CUST-1083"/>
    <s v="FATHIMA ALI"/>
    <x v="0"/>
    <s v="India"/>
    <s v="Kolkata"/>
    <s v="West Bengal"/>
    <x v="2"/>
    <n v="695001"/>
    <s v="P-767"/>
    <x v="0"/>
    <s v="Mobiles"/>
    <s v="Samsung Galaxy A55"/>
    <n v="65619.759999999995"/>
    <n v="2"/>
    <n v="0.05"/>
    <n v="4222.72"/>
    <s v="OK"/>
    <s v="OK"/>
  </r>
  <r>
    <n v="1335"/>
    <x v="334"/>
    <x v="59"/>
    <d v="2024-09-01T00:00:00"/>
    <s v="Second Class"/>
    <s v="CUST-1077"/>
    <s v="ASHA KRISHNAN"/>
    <x v="0"/>
    <s v="India"/>
    <s v="Pune"/>
    <s v="Maharashtra"/>
    <x v="0"/>
    <n v="682001"/>
    <s v="P-358"/>
    <x v="3"/>
    <s v="Binders"/>
    <s v="Office Binder Pack"/>
    <n v="3087.01"/>
    <n v="5"/>
    <n v="0"/>
    <n v="551.05999999999995"/>
    <s v="OK"/>
    <s v="OK"/>
  </r>
  <r>
    <n v="1336"/>
    <x v="335"/>
    <x v="216"/>
    <d v="2024-08-08T00:00:00"/>
    <s v="First Class"/>
    <s v="CUST-1059"/>
    <s v="ARJUN DAS"/>
    <x v="2"/>
    <s v="India"/>
    <s v="Jaipur"/>
    <s v="Rajasthan"/>
    <x v="2"/>
    <n v="560001"/>
    <s v="P-409"/>
    <x v="1"/>
    <s v="Shoes"/>
    <s v="Running Shoes"/>
    <n v="10311.41"/>
    <n v="4"/>
    <n v="0.15"/>
    <n v="1884.44"/>
    <s v="OK"/>
    <s v="OK"/>
  </r>
  <r>
    <n v="1337"/>
    <x v="336"/>
    <x v="217"/>
    <d v="2024-01-09T00:00:00"/>
    <s v="First Class"/>
    <s v="CUST-1072"/>
    <s v="ADIL KHAN"/>
    <x v="1"/>
    <s v="India"/>
    <s v="Lucknow"/>
    <s v="Uttar Pradesh"/>
    <x v="1"/>
    <n v="695001"/>
    <s v="P-800"/>
    <x v="3"/>
    <s v="Binders"/>
    <s v="Office Binder Pack"/>
    <n v="1212.69"/>
    <n v="2"/>
    <n v="0"/>
    <n v="245.51"/>
    <s v="OK"/>
    <s v="OK"/>
  </r>
  <r>
    <n v="1338"/>
    <x v="337"/>
    <x v="218"/>
    <d v="2024-05-24T00:00:00"/>
    <s v="First Class"/>
    <s v="CUST-1025"/>
    <s v="RAHUL KUMAR"/>
    <x v="0"/>
    <s v="India"/>
    <s v="Kochi"/>
    <s v="Kerala"/>
    <x v="2"/>
    <n v="673001"/>
    <s v="P-924"/>
    <x v="3"/>
    <s v="Paper"/>
    <s v="A4 Copier Paper"/>
    <n v="2838.71"/>
    <n v="8"/>
    <n v="0.2"/>
    <n v="246.64"/>
    <s v="OK"/>
    <s v="OK"/>
  </r>
  <r>
    <n v="1339"/>
    <x v="338"/>
    <x v="143"/>
    <d v="2024-12-16T00:00:00"/>
    <s v="Standard Class"/>
    <s v="CUST-1084"/>
    <s v="SNEHA NAIR"/>
    <x v="1"/>
    <s v="India"/>
    <s v="Hyderabad"/>
    <s v="Telangana"/>
    <x v="1"/>
    <n v="695001"/>
    <s v="P-528"/>
    <x v="1"/>
    <s v="Shoes"/>
    <s v="Running Shoes"/>
    <n v="4802.18"/>
    <n v="2"/>
    <n v="0.2"/>
    <n v="546.83000000000004"/>
    <s v="OK"/>
    <s v="OK"/>
  </r>
  <r>
    <n v="1340"/>
    <x v="339"/>
    <x v="105"/>
    <d v="2024-06-30T00:00:00"/>
    <s v="Second Class"/>
    <s v="CUST-1088"/>
    <s v="VISHNU RAJ"/>
    <x v="1"/>
    <s v="India"/>
    <s v="Pune"/>
    <s v="Maharashtra"/>
    <x v="3"/>
    <n v="400001"/>
    <s v="P-467"/>
    <x v="2"/>
    <s v="Bookcases"/>
    <s v="Wooden Bookshelf"/>
    <n v="18577.990000000002"/>
    <n v="3"/>
    <n v="0.1"/>
    <n v="2087.4499999999998"/>
    <s v="OK"/>
    <s v="OK"/>
  </r>
  <r>
    <n v="1341"/>
    <x v="340"/>
    <x v="219"/>
    <d v="2024-05-31T00:00:00"/>
    <s v="Same Day"/>
    <s v="CUST-1017"/>
    <s v="NIKHIL VARMA"/>
    <x v="1"/>
    <s v="India"/>
    <s v="Delhi"/>
    <s v="Delhi"/>
    <x v="1"/>
    <n v="400001"/>
    <s v="P-927"/>
    <x v="2"/>
    <s v="Chairs"/>
    <s v="Ergonomic Office Chair"/>
    <n v="42423.29"/>
    <n v="5"/>
    <n v="0.05"/>
    <n v="4754.22"/>
    <s v="OK"/>
    <s v="OK"/>
  </r>
  <r>
    <n v="1342"/>
    <x v="341"/>
    <x v="124"/>
    <d v="2024-12-02T00:00:00"/>
    <s v="Second Class"/>
    <s v="CUST-1046"/>
    <s v="FATHIMA ALI"/>
    <x v="2"/>
    <s v="India"/>
    <s v="Delhi"/>
    <s v="Delhi"/>
    <x v="1"/>
    <n v="560001"/>
    <s v="P-907"/>
    <x v="1"/>
    <s v="Shoes"/>
    <s v="Running Shoes"/>
    <n v="16976.37"/>
    <n v="7"/>
    <n v="0.2"/>
    <n v="2208.94"/>
    <s v="OK"/>
    <s v="OK"/>
  </r>
  <r>
    <n v="1343"/>
    <x v="342"/>
    <x v="69"/>
    <d v="2024-08-29T00:00:00"/>
    <s v="Standard Class"/>
    <s v="CUST-1061"/>
    <s v="MUHAMMED SHAFI"/>
    <x v="0"/>
    <s v="India"/>
    <s v="Mumbai"/>
    <s v="Maharashtra"/>
    <x v="2"/>
    <n v="600001"/>
    <s v="P-222"/>
    <x v="2"/>
    <s v="Tables"/>
    <s v="Study Table"/>
    <n v="15389.28"/>
    <n v="2"/>
    <n v="0"/>
    <n v="2532.17"/>
    <s v="OK"/>
    <s v="OK"/>
  </r>
  <r>
    <n v="1344"/>
    <x v="343"/>
    <x v="220"/>
    <d v="2024-03-20T00:00:00"/>
    <s v="Second Class"/>
    <s v="CUST-1044"/>
    <s v="AMAL THOMAS"/>
    <x v="0"/>
    <s v="India"/>
    <s v="Hyderabad"/>
    <s v="Telangana"/>
    <x v="3"/>
    <n v="682001"/>
    <s v="P-423"/>
    <x v="3"/>
    <s v="Art"/>
    <s v="Marker Set"/>
    <n v="768.71"/>
    <n v="2"/>
    <n v="0"/>
    <n v="136.83000000000001"/>
    <s v="OK"/>
    <s v="OK"/>
  </r>
  <r>
    <n v="1345"/>
    <x v="344"/>
    <x v="221"/>
    <d v="2024-11-21T00:00:00"/>
    <s v="First Class"/>
    <s v="CUST-1082"/>
    <s v="AARAV NAIR"/>
    <x v="0"/>
    <s v="India"/>
    <s v="Hyderabad"/>
    <s v="Telangana"/>
    <x v="0"/>
    <n v="560001"/>
    <s v="P-380"/>
    <x v="1"/>
    <s v="Shirts"/>
    <s v="Cotton Casual Shirt"/>
    <n v="1168.29"/>
    <n v="1"/>
    <n v="0.2"/>
    <n v="118.26"/>
    <s v="OK"/>
    <s v="OK"/>
  </r>
  <r>
    <n v="1346"/>
    <x v="345"/>
    <x v="213"/>
    <d v="2024-09-08T00:00:00"/>
    <s v="Second Class"/>
    <s v="CUST-1079"/>
    <s v="AMAL THOMAS"/>
    <x v="1"/>
    <s v="India"/>
    <s v="Bengaluru"/>
    <s v="Karnataka"/>
    <x v="3"/>
    <n v="560001"/>
    <s v="P-539"/>
    <x v="1"/>
    <s v="Shoes"/>
    <s v="Running Shoes"/>
    <n v="8862.7099999999991"/>
    <n v="3"/>
    <n v="0.05"/>
    <n v="1855.77"/>
    <s v="OK"/>
    <s v="OK"/>
  </r>
  <r>
    <n v="1347"/>
    <x v="346"/>
    <x v="222"/>
    <d v="2024-01-11T00:00:00"/>
    <s v="Second Class"/>
    <s v="CUST-1003"/>
    <s v="ADIL KHAN"/>
    <x v="0"/>
    <s v="India"/>
    <s v="Ahmedabad"/>
    <s v="Gujarat"/>
    <x v="0"/>
    <n v="400001"/>
    <s v="P-851"/>
    <x v="2"/>
    <s v="Bookcases"/>
    <s v="Wooden Bookshelf"/>
    <n v="15378.7"/>
    <n v="3"/>
    <n v="0.2"/>
    <n v="401.94"/>
    <s v="OK"/>
    <s v="OK"/>
  </r>
  <r>
    <n v="1348"/>
    <x v="347"/>
    <x v="186"/>
    <d v="2024-02-26T00:00:00"/>
    <s v="First Class"/>
    <s v="CUST-1022"/>
    <s v="ANANYA MENON"/>
    <x v="1"/>
    <s v="India"/>
    <s v="Bengaluru"/>
    <s v="Karnataka"/>
    <x v="0"/>
    <n v="695001"/>
    <s v="P-397"/>
    <x v="0"/>
    <s v="Accessories"/>
    <s v="HP Wireless Keyboard"/>
    <n v="3209.24"/>
    <n v="2"/>
    <n v="0.05"/>
    <n v="262.47000000000003"/>
    <s v="OK"/>
    <s v="OK"/>
  </r>
  <r>
    <n v="1349"/>
    <x v="348"/>
    <x v="150"/>
    <d v="2024-12-19T00:00:00"/>
    <s v="First Class"/>
    <s v="CUST-1116"/>
    <s v="SNEHA NAIR"/>
    <x v="0"/>
    <s v="India"/>
    <s v="Ahmedabad"/>
    <s v="Gujarat"/>
    <x v="1"/>
    <n v="110001"/>
    <s v="P-292"/>
    <x v="1"/>
    <s v="Shirts"/>
    <s v="Cotton Casual Shirt"/>
    <n v="3043.47"/>
    <n v="3"/>
    <n v="0.25"/>
    <n v="277.12"/>
    <s v="OK"/>
    <s v="OK"/>
  </r>
  <r>
    <n v="1350"/>
    <x v="349"/>
    <x v="154"/>
    <d v="2024-04-30T00:00:00"/>
    <s v="Second Class"/>
    <s v="CUST-1028"/>
    <s v="NIKHIL VARMA"/>
    <x v="2"/>
    <s v="India"/>
    <s v="Thiruvananthapuram"/>
    <s v="Kerala"/>
    <x v="0"/>
    <n v="600001"/>
    <s v="P-616"/>
    <x v="4"/>
    <s v="Kitchen"/>
    <s v="Mixer Grinder"/>
    <n v="9862.65"/>
    <n v="2"/>
    <n v="0.1"/>
    <n v="635.03"/>
    <s v="OK"/>
    <s v="OK"/>
  </r>
  <r>
    <n v="1351"/>
    <x v="350"/>
    <x v="223"/>
    <d v="2024-07-17T00:00:00"/>
    <s v="First Class"/>
    <s v="CUST-1099"/>
    <s v="VISHNU RAJ"/>
    <x v="0"/>
    <s v="India"/>
    <s v="Thiruvananthapuram"/>
    <s v="Kerala"/>
    <x v="0"/>
    <n v="600001"/>
    <s v="P-149"/>
    <x v="0"/>
    <s v="Mobiles"/>
    <s v="Samsung Galaxy A55"/>
    <n v="144750.85999999999"/>
    <n v="4"/>
    <n v="0"/>
    <n v="12354.53"/>
    <s v="OK"/>
    <s v="OK"/>
  </r>
  <r>
    <n v="1352"/>
    <x v="351"/>
    <x v="141"/>
    <d v="2024-08-05T00:00:00"/>
    <s v="Same Day"/>
    <s v="CUST-1016"/>
    <s v="VISHNU RAJ"/>
    <x v="1"/>
    <s v="India"/>
    <s v="Lucknow"/>
    <s v="Uttar Pradesh"/>
    <x v="1"/>
    <n v="560001"/>
    <s v="P-818"/>
    <x v="0"/>
    <s v="Mobiles"/>
    <s v="Samsung Galaxy A55"/>
    <n v="35058.839999999997"/>
    <n v="1"/>
    <n v="0"/>
    <n v="3151.54"/>
    <s v="OK"/>
    <s v="OK"/>
  </r>
  <r>
    <n v="1353"/>
    <x v="352"/>
    <x v="224"/>
    <d v="2024-08-09T00:00:00"/>
    <s v="Standard Class"/>
    <s v="CUST-1085"/>
    <s v="VISHNU RAJ"/>
    <x v="1"/>
    <s v="India"/>
    <s v="Thiruvananthapuram"/>
    <s v="Kerala"/>
    <x v="1"/>
    <n v="600001"/>
    <s v="P-720"/>
    <x v="0"/>
    <s v="Accessories"/>
    <s v="HP Wireless Keyboard"/>
    <n v="4269.34"/>
    <n v="3"/>
    <n v="0.15"/>
    <n v="66.44"/>
    <s v="OK"/>
    <s v="OK"/>
  </r>
  <r>
    <n v="1354"/>
    <x v="353"/>
    <x v="225"/>
    <d v="2024-05-25T00:00:00"/>
    <s v="Standard Class"/>
    <s v="CUST-1064"/>
    <s v="FATHIMA ALI"/>
    <x v="0"/>
    <s v="India"/>
    <s v="Kolkata"/>
    <s v="West Bengal"/>
    <x v="2"/>
    <n v="110001"/>
    <s v="P-369"/>
    <x v="0"/>
    <s v="Accessories"/>
    <s v="Logitech Wireless Mouse"/>
    <n v="6995.35"/>
    <n v="6"/>
    <n v="0"/>
    <n v="888.71"/>
    <s v="OK"/>
    <s v="OK"/>
  </r>
  <r>
    <n v="1355"/>
    <x v="354"/>
    <x v="86"/>
    <d v="2024-06-02T00:00:00"/>
    <s v="Standard Class"/>
    <s v="CUST-1071"/>
    <s v="SNEHA NAIR"/>
    <x v="2"/>
    <s v="India"/>
    <s v="Hyderabad"/>
    <s v="Telangana"/>
    <x v="2"/>
    <n v="400001"/>
    <s v="P-592"/>
    <x v="3"/>
    <s v="Binders"/>
    <s v="Office Binder Pack"/>
    <n v="936.72"/>
    <n v="2"/>
    <n v="0.25"/>
    <n v="38.31"/>
    <s v="OK"/>
    <s v="OK"/>
  </r>
  <r>
    <n v="1356"/>
    <x v="355"/>
    <x v="129"/>
    <d v="2024-10-26T00:00:00"/>
    <s v="Same Day"/>
    <s v="CUST-1020"/>
    <s v="ANANYA MENON"/>
    <x v="0"/>
    <s v="India"/>
    <s v="Mumbai"/>
    <s v="Maharashtra"/>
    <x v="0"/>
    <n v="400001"/>
    <s v="P-840"/>
    <x v="0"/>
    <s v="Accessories"/>
    <s v="HP Wireless Keyboard"/>
    <n v="7499.78"/>
    <n v="4"/>
    <n v="0"/>
    <n v="864.43"/>
    <s v="OK"/>
    <s v="OK"/>
  </r>
  <r>
    <n v="1357"/>
    <x v="356"/>
    <x v="7"/>
    <d v="2024-05-19T00:00:00"/>
    <s v="Standard Class"/>
    <s v="CUST-1111"/>
    <s v="RIYA PAUL"/>
    <x v="0"/>
    <s v="India"/>
    <s v="Kochi"/>
    <s v="Kerala"/>
    <x v="2"/>
    <n v="110001"/>
    <s v="P-140"/>
    <x v="4"/>
    <s v="Kitchen"/>
    <s v="Mixer Grinder"/>
    <n v="4907.58"/>
    <n v="1"/>
    <n v="0.15"/>
    <n v="152.47"/>
    <s v="OK"/>
    <s v="OK"/>
  </r>
  <r>
    <n v="1358"/>
    <x v="357"/>
    <x v="91"/>
    <d v="2024-03-01T00:00:00"/>
    <s v="Standard Class"/>
    <s v="CUST-1002"/>
    <s v="RIYA PAUL"/>
    <x v="0"/>
    <s v="India"/>
    <s v="Hyderabad"/>
    <s v="Telangana"/>
    <x v="2"/>
    <n v="400001"/>
    <s v="P-762"/>
    <x v="2"/>
    <s v="Chairs"/>
    <s v="Ergonomic Office Chair"/>
    <n v="24883.38"/>
    <n v="4"/>
    <n v="0.25"/>
    <n v="-75.569999999999993"/>
    <s v="OK"/>
    <s v="OK"/>
  </r>
  <r>
    <n v="1359"/>
    <x v="358"/>
    <x v="27"/>
    <d v="2024-02-20T00:00:00"/>
    <s v="First Class"/>
    <s v="CUST-1024"/>
    <s v="ANANYA MENON"/>
    <x v="0"/>
    <s v="India"/>
    <s v="Thiruvananthapuram"/>
    <s v="Kerala"/>
    <x v="3"/>
    <n v="560001"/>
    <s v="P-567"/>
    <x v="2"/>
    <s v="Tables"/>
    <s v="Study Table"/>
    <n v="12887.49"/>
    <n v="2"/>
    <n v="0.15"/>
    <n v="992.75"/>
    <s v="OK"/>
    <s v="OK"/>
  </r>
  <r>
    <n v="1360"/>
    <x v="359"/>
    <x v="118"/>
    <d v="2024-11-30T00:00:00"/>
    <s v="Standard Class"/>
    <s v="CUST-1017"/>
    <s v="NIKHIL VARMA"/>
    <x v="0"/>
    <s v="India"/>
    <s v="Chennai"/>
    <s v="Tamil Nadu"/>
    <x v="0"/>
    <n v="110001"/>
    <s v="P-263"/>
    <x v="4"/>
    <s v="Kitchen"/>
    <s v="Electric Kettle"/>
    <n v="7754.07"/>
    <n v="5"/>
    <n v="0.25"/>
    <n v="-281.10000000000002"/>
    <s v="OK"/>
    <s v="OK"/>
  </r>
  <r>
    <n v="1361"/>
    <x v="360"/>
    <x v="226"/>
    <d v="2024-04-07T00:00:00"/>
    <s v="Same Day"/>
    <s v="CUST-1100"/>
    <s v="MEERA JOSEPH"/>
    <x v="2"/>
    <s v="India"/>
    <s v="Kochi"/>
    <s v="Kerala"/>
    <x v="0"/>
    <n v="110001"/>
    <s v="P-800"/>
    <x v="2"/>
    <s v="Bookcases"/>
    <s v="Wooden Bookshelf"/>
    <n v="14382.61"/>
    <n v="3"/>
    <n v="0.3"/>
    <n v="-423.16"/>
    <s v="OK"/>
    <s v="OK"/>
  </r>
  <r>
    <n v="1362"/>
    <x v="361"/>
    <x v="10"/>
    <d v="2024-03-02T00:00:00"/>
    <s v="Same Day"/>
    <s v="CUST-1006"/>
    <s v="ANANYA MENON"/>
    <x v="2"/>
    <s v="India"/>
    <s v="Hyderabad"/>
    <s v="Telangana"/>
    <x v="1"/>
    <n v="400001"/>
    <s v="P-421"/>
    <x v="1"/>
    <s v="Shirts"/>
    <s v="Cotton Casual Shirt"/>
    <n v="912.03"/>
    <n v="1"/>
    <n v="0.3"/>
    <n v="56.21"/>
    <s v="OK"/>
    <s v="OK"/>
  </r>
  <r>
    <n v="1363"/>
    <x v="362"/>
    <x v="15"/>
    <d v="2024-12-11T00:00:00"/>
    <s v="Standard Class"/>
    <s v="CUST-1056"/>
    <s v="ADIL KHAN"/>
    <x v="2"/>
    <s v="India"/>
    <s v="Kozhikode"/>
    <s v="Kerala"/>
    <x v="2"/>
    <n v="560001"/>
    <s v="P-454"/>
    <x v="1"/>
    <s v="Shirts"/>
    <s v="Cotton Casual Shirt"/>
    <n v="3825.04"/>
    <n v="3"/>
    <n v="0.1"/>
    <n v="828.58"/>
    <s v="OK"/>
    <s v="OK"/>
  </r>
  <r>
    <n v="1364"/>
    <x v="363"/>
    <x v="227"/>
    <d v="2024-01-12T00:00:00"/>
    <s v="Second Class"/>
    <s v="CUST-1065"/>
    <s v="RIYA PAUL"/>
    <x v="1"/>
    <s v="India"/>
    <s v="Lucknow"/>
    <s v="Uttar Pradesh"/>
    <x v="3"/>
    <n v="110001"/>
    <s v="P-607"/>
    <x v="3"/>
    <s v="Art"/>
    <s v="Marker Set"/>
    <n v="358.1"/>
    <n v="1"/>
    <n v="0"/>
    <n v="82.19"/>
    <s v="OK"/>
    <s v="OK"/>
  </r>
  <r>
    <n v="1365"/>
    <x v="364"/>
    <x v="228"/>
    <d v="2024-06-21T00:00:00"/>
    <s v="Standard Class"/>
    <s v="CUST-1065"/>
    <s v="FATHIMA ALI"/>
    <x v="0"/>
    <s v="India"/>
    <s v="Hyderabad"/>
    <s v="Telangana"/>
    <x v="3"/>
    <n v="560001"/>
    <s v="P-936"/>
    <x v="0"/>
    <s v="Accessories"/>
    <s v="Logitech Wireless Mouse"/>
    <n v="3085.32"/>
    <n v="3"/>
    <n v="0.1"/>
    <n v="115.49"/>
    <s v="OK"/>
    <s v="OK"/>
  </r>
  <r>
    <n v="1366"/>
    <x v="365"/>
    <x v="229"/>
    <d v="2024-02-19T00:00:00"/>
    <s v="Same Day"/>
    <s v="CUST-1041"/>
    <s v="ANANYA MENON"/>
    <x v="0"/>
    <s v="India"/>
    <s v="Bengaluru"/>
    <s v="Karnataka"/>
    <x v="3"/>
    <n v="400001"/>
    <s v="P-769"/>
    <x v="0"/>
    <s v="Mobiles"/>
    <s v="Samsung Galaxy A55"/>
    <n v="119231.6"/>
    <n v="5"/>
    <n v="0.3"/>
    <n v="-11728.74"/>
    <s v="OK"/>
    <s v="OK"/>
  </r>
  <r>
    <n v="1367"/>
    <x v="366"/>
    <x v="100"/>
    <d v="2024-02-21T00:00:00"/>
    <s v="First Class"/>
    <s v="CUST-1114"/>
    <s v="VISHNU RAJ"/>
    <x v="0"/>
    <s v="India"/>
    <s v="Kozhikode"/>
    <s v="Kerala"/>
    <x v="2"/>
    <n v="400001"/>
    <s v="P-787"/>
    <x v="0"/>
    <s v="Mobiles"/>
    <s v="Samsung Galaxy A55"/>
    <n v="36951.54"/>
    <n v="1"/>
    <n v="0"/>
    <n v="4111.55"/>
    <s v="OK"/>
    <s v="OK"/>
  </r>
  <r>
    <n v="1368"/>
    <x v="367"/>
    <x v="105"/>
    <d v="2024-08-23T00:00:00"/>
    <s v="Same Day"/>
    <s v="CUST-1092"/>
    <s v="ADIL KHAN"/>
    <x v="0"/>
    <s v="India"/>
    <s v="Ahmedabad"/>
    <s v="Gujarat"/>
    <x v="1"/>
    <n v="400001"/>
    <s v="P-563"/>
    <x v="2"/>
    <s v="Tables"/>
    <s v="Study Table"/>
    <n v="6333.64"/>
    <n v="1"/>
    <n v="0.1"/>
    <n v="715.18"/>
    <s v="OK"/>
    <s v="OK"/>
  </r>
  <r>
    <n v="1369"/>
    <x v="368"/>
    <x v="16"/>
    <d v="2024-07-06T00:00:00"/>
    <s v="First Class"/>
    <s v="CUST-1071"/>
    <s v="VISHNU RAJ"/>
    <x v="1"/>
    <s v="India"/>
    <s v="Kochi"/>
    <s v="Kerala"/>
    <x v="1"/>
    <n v="400001"/>
    <s v="P-208"/>
    <x v="0"/>
    <s v="Mobiles"/>
    <s v="Samsung Galaxy A55"/>
    <n v="28304.39"/>
    <n v="1"/>
    <n v="0.2"/>
    <n v="-655.7"/>
    <s v="OK"/>
    <s v="OK"/>
  </r>
  <r>
    <n v="1370"/>
    <x v="369"/>
    <x v="54"/>
    <d v="2024-02-27T00:00:00"/>
    <s v="Second Class"/>
    <s v="CUST-1025"/>
    <s v="ANANYA MENON"/>
    <x v="0"/>
    <s v="India"/>
    <s v="Kozhikode"/>
    <s v="Kerala"/>
    <x v="3"/>
    <n v="682001"/>
    <s v="P-568"/>
    <x v="4"/>
    <s v="Kitchen"/>
    <s v="Mixer Grinder"/>
    <n v="4307.6400000000003"/>
    <n v="1"/>
    <n v="0.25"/>
    <n v="-131.38"/>
    <s v="OK"/>
    <s v="OK"/>
  </r>
  <r>
    <n v="1371"/>
    <x v="370"/>
    <x v="103"/>
    <d v="2024-01-30T00:00:00"/>
    <s v="Standard Class"/>
    <s v="CUST-1099"/>
    <s v="MUHAMMED SHAFI"/>
    <x v="0"/>
    <s v="India"/>
    <s v="Hyderabad"/>
    <s v="Telangana"/>
    <x v="3"/>
    <n v="560001"/>
    <s v="P-774"/>
    <x v="1"/>
    <s v="Shoes"/>
    <s v="Running Shoes"/>
    <n v="4771.34"/>
    <n v="2"/>
    <n v="0.25"/>
    <n v="376.03"/>
    <s v="OK"/>
    <s v="OK"/>
  </r>
  <r>
    <n v="1372"/>
    <x v="371"/>
    <x v="230"/>
    <d v="2024-10-14T00:00:00"/>
    <s v="Same Day"/>
    <s v="CUST-1119"/>
    <s v="VISHNU RAJ"/>
    <x v="0"/>
    <s v="India"/>
    <s v="Jaipur"/>
    <s v="Rajasthan"/>
    <x v="2"/>
    <n v="400001"/>
    <s v="P-692"/>
    <x v="3"/>
    <s v="Binders"/>
    <s v="Office Binder Pack"/>
    <n v="2027.25"/>
    <n v="3"/>
    <n v="0"/>
    <n v="406"/>
    <s v="OK"/>
    <s v="OK"/>
  </r>
  <r>
    <n v="1373"/>
    <x v="372"/>
    <x v="147"/>
    <d v="2024-09-19T00:00:00"/>
    <s v="Same Day"/>
    <s v="CUST-1078"/>
    <s v="MUHAMMED SHAFI"/>
    <x v="1"/>
    <s v="India"/>
    <s v="Thiruvananthapuram"/>
    <s v="Kerala"/>
    <x v="2"/>
    <n v="695001"/>
    <s v="P-507"/>
    <x v="1"/>
    <s v="Shirts"/>
    <s v="Cotton Casual Shirt"/>
    <n v="1072.01"/>
    <n v="1"/>
    <n v="0.2"/>
    <n v="154.34"/>
    <s v="OK"/>
    <s v="OK"/>
  </r>
  <r>
    <n v="1374"/>
    <x v="373"/>
    <x v="231"/>
    <d v="2024-11-10T00:00:00"/>
    <s v="First Class"/>
    <s v="CUST-1108"/>
    <s v="NIKHIL VARMA"/>
    <x v="0"/>
    <s v="India"/>
    <s v="Mumbai"/>
    <s v="Maharashtra"/>
    <x v="1"/>
    <n v="400001"/>
    <s v="P-854"/>
    <x v="2"/>
    <s v="Chairs"/>
    <s v="Ergonomic Office Chair"/>
    <n v="6256.57"/>
    <n v="1"/>
    <n v="0.25"/>
    <n v="-15.98"/>
    <s v="OK"/>
    <s v="OK"/>
  </r>
  <r>
    <n v="1375"/>
    <x v="374"/>
    <x v="150"/>
    <d v="2024-12-20T00:00:00"/>
    <s v="Second Class"/>
    <s v="CUST-1091"/>
    <s v="ADIL KHAN"/>
    <x v="0"/>
    <s v="India"/>
    <s v="Delhi"/>
    <s v="Delhi"/>
    <x v="2"/>
    <n v="600001"/>
    <s v="P-655"/>
    <x v="3"/>
    <s v="Art"/>
    <s v="Marker Set"/>
    <n v="344.01"/>
    <n v="1"/>
    <n v="0.15"/>
    <n v="37.450000000000003"/>
    <s v="OK"/>
    <s v="OK"/>
  </r>
  <r>
    <n v="1376"/>
    <x v="375"/>
    <x v="1"/>
    <d v="2024-10-18T00:00:00"/>
    <s v="Same Day"/>
    <s v="CUST-1087"/>
    <s v="NIKHIL VARMA"/>
    <x v="0"/>
    <s v="India"/>
    <s v="Kolkata"/>
    <s v="West Bengal"/>
    <x v="1"/>
    <n v="110001"/>
    <s v="P-532"/>
    <x v="3"/>
    <s v="Art"/>
    <s v="Marker Set"/>
    <n v="285.37"/>
    <n v="1"/>
    <n v="0.2"/>
    <n v="24.37"/>
    <s v="OK"/>
    <s v="OK"/>
  </r>
  <r>
    <n v="1377"/>
    <x v="376"/>
    <x v="232"/>
    <d v="2024-02-03T00:00:00"/>
    <s v="Standard Class"/>
    <s v="CUST-1026"/>
    <s v="ARJUN DAS"/>
    <x v="0"/>
    <s v="India"/>
    <s v="Bhubaneswar"/>
    <s v="Odisha"/>
    <x v="2"/>
    <n v="695001"/>
    <s v="P-799"/>
    <x v="0"/>
    <s v="Laptops"/>
    <s v="Dell Inspiron 15"/>
    <n v="50409.4"/>
    <n v="1"/>
    <n v="0.05"/>
    <n v="3584.24"/>
    <s v="OK"/>
    <s v="OK"/>
  </r>
  <r>
    <n v="1378"/>
    <x v="377"/>
    <x v="71"/>
    <d v="2024-04-19T00:00:00"/>
    <s v="Standard Class"/>
    <s v="CUST-1046"/>
    <s v="RIYA PAUL"/>
    <x v="1"/>
    <s v="India"/>
    <s v="Chennai"/>
    <s v="Tamil Nadu"/>
    <x v="3"/>
    <n v="673001"/>
    <s v="P-730"/>
    <x v="0"/>
    <s v="Accessories"/>
    <s v="Logitech Wireless Mouse"/>
    <n v="3844.52"/>
    <n v="4"/>
    <n v="0.15"/>
    <n v="55.12"/>
    <s v="OK"/>
    <s v="OK"/>
  </r>
  <r>
    <n v="1379"/>
    <x v="378"/>
    <x v="119"/>
    <d v="2024-05-06T00:00:00"/>
    <s v="First Class"/>
    <s v="CUST-1089"/>
    <s v="ADIL KHAN"/>
    <x v="1"/>
    <s v="India"/>
    <s v="Hyderabad"/>
    <s v="Telangana"/>
    <x v="0"/>
    <n v="560001"/>
    <s v="P-496"/>
    <x v="3"/>
    <s v="Art"/>
    <s v="Marker Set"/>
    <n v="1452.38"/>
    <n v="5"/>
    <n v="0.25"/>
    <n v="55.38"/>
    <s v="OK"/>
    <s v="OK"/>
  </r>
  <r>
    <n v="1380"/>
    <x v="379"/>
    <x v="169"/>
    <d v="2024-01-13T00:00:00"/>
    <s v="First Class"/>
    <s v="CUST-1026"/>
    <s v="DIYA MATHEW"/>
    <x v="2"/>
    <s v="India"/>
    <s v="Pune"/>
    <s v="Maharashtra"/>
    <x v="3"/>
    <n v="110001"/>
    <s v="P-330"/>
    <x v="1"/>
    <s v="Shoes"/>
    <s v="Running Shoes"/>
    <n v="6803.35"/>
    <n v="2"/>
    <n v="0"/>
    <n v="1946.27"/>
    <s v="OK"/>
    <s v="OK"/>
  </r>
  <r>
    <n v="1381"/>
    <x v="380"/>
    <x v="60"/>
    <d v="2024-04-12T00:00:00"/>
    <s v="Same Day"/>
    <s v="CUST-1023"/>
    <s v="ADIL KHAN"/>
    <x v="1"/>
    <s v="India"/>
    <s v="Lucknow"/>
    <s v="Uttar Pradesh"/>
    <x v="0"/>
    <n v="682001"/>
    <s v="P-277"/>
    <x v="1"/>
    <s v="Shirts"/>
    <s v="Cotton Casual Shirt"/>
    <n v="2379.56"/>
    <n v="2"/>
    <n v="0.1"/>
    <n v="398.78"/>
    <s v="OK"/>
    <s v="OK"/>
  </r>
  <r>
    <n v="1382"/>
    <x v="381"/>
    <x v="158"/>
    <d v="2024-10-14T00:00:00"/>
    <s v="Second Class"/>
    <s v="CUST-1021"/>
    <s v="DIYA MATHEW"/>
    <x v="0"/>
    <s v="India"/>
    <s v="Kolkata"/>
    <s v="West Bengal"/>
    <x v="1"/>
    <n v="673001"/>
    <s v="P-438"/>
    <x v="3"/>
    <s v="Binders"/>
    <s v="Office Binder Pack"/>
    <n v="530.27"/>
    <n v="1"/>
    <n v="0.15"/>
    <n v="60.98"/>
    <s v="OK"/>
    <s v="OK"/>
  </r>
  <r>
    <n v="1383"/>
    <x v="382"/>
    <x v="96"/>
    <d v="2024-11-02T00:00:00"/>
    <s v="First Class"/>
    <s v="CUST-1063"/>
    <s v="ASHA KRISHNAN"/>
    <x v="2"/>
    <s v="India"/>
    <s v="Ahmedabad"/>
    <s v="Gujarat"/>
    <x v="1"/>
    <n v="673001"/>
    <s v="P-902"/>
    <x v="1"/>
    <s v="Shirts"/>
    <s v="Cotton Casual Shirt"/>
    <n v="1036.4100000000001"/>
    <n v="1"/>
    <n v="0.2"/>
    <n v="128.72"/>
    <s v="OK"/>
    <s v="OK"/>
  </r>
  <r>
    <n v="1384"/>
    <x v="383"/>
    <x v="147"/>
    <d v="2024-09-17T00:00:00"/>
    <s v="Same Day"/>
    <s v="CUST-1070"/>
    <s v="VISHNU RAJ"/>
    <x v="0"/>
    <s v="India"/>
    <s v="Kolkata"/>
    <s v="West Bengal"/>
    <x v="3"/>
    <n v="673001"/>
    <s v="P-457"/>
    <x v="2"/>
    <s v="Tables"/>
    <s v="Study Table"/>
    <n v="52516.47"/>
    <n v="7"/>
    <n v="0"/>
    <n v="9985.5499999999993"/>
    <s v="OK"/>
    <s v="OK"/>
  </r>
  <r>
    <n v="1385"/>
    <x v="384"/>
    <x v="219"/>
    <d v="2024-06-01T00:00:00"/>
    <s v="Same Day"/>
    <s v="CUST-1072"/>
    <s v="RIYA PAUL"/>
    <x v="0"/>
    <s v="India"/>
    <s v="Bengaluru"/>
    <s v="Karnataka"/>
    <x v="0"/>
    <n v="673001"/>
    <s v="P-784"/>
    <x v="4"/>
    <s v="Kitchen"/>
    <s v="Mixer Grinder"/>
    <n v="9045.52"/>
    <n v="2"/>
    <n v="0.2"/>
    <n v="0"/>
    <s v="OK"/>
    <s v="OK"/>
  </r>
  <r>
    <n v="1386"/>
    <x v="385"/>
    <x v="233"/>
    <d v="2024-01-27T00:00:00"/>
    <s v="First Class"/>
    <s v="CUST-1049"/>
    <s v="MUHAMMED SHAFI"/>
    <x v="0"/>
    <s v="India"/>
    <s v="Mumbai"/>
    <s v="Maharashtra"/>
    <x v="0"/>
    <n v="560001"/>
    <s v="P-362"/>
    <x v="3"/>
    <s v="Paper"/>
    <s v="A4 Copier Paper"/>
    <n v="1139.31"/>
    <n v="3"/>
    <n v="0.1"/>
    <n v="180.45"/>
    <s v="OK"/>
    <s v="OK"/>
  </r>
  <r>
    <n v="1387"/>
    <x v="386"/>
    <x v="234"/>
    <d v="2024-09-25T00:00:00"/>
    <s v="Same Day"/>
    <s v="CUST-1063"/>
    <s v="AARAV NAIR"/>
    <x v="0"/>
    <s v="India"/>
    <s v="Delhi"/>
    <s v="Delhi"/>
    <x v="1"/>
    <n v="400001"/>
    <s v="P-297"/>
    <x v="1"/>
    <s v="Shirts"/>
    <s v="Cotton Casual Shirt"/>
    <n v="6319.48"/>
    <n v="6"/>
    <n v="0.2"/>
    <n v="719.39"/>
    <s v="OK"/>
    <s v="OK"/>
  </r>
  <r>
    <n v="1388"/>
    <x v="387"/>
    <x v="11"/>
    <d v="2024-11-17T00:00:00"/>
    <s v="Second Class"/>
    <s v="CUST-1086"/>
    <s v="ADIL KHAN"/>
    <x v="0"/>
    <s v="India"/>
    <s v="Mumbai"/>
    <s v="Maharashtra"/>
    <x v="2"/>
    <n v="110001"/>
    <s v="P-801"/>
    <x v="3"/>
    <s v="Binders"/>
    <s v="Office Binder Pack"/>
    <n v="680.92"/>
    <n v="1"/>
    <n v="0"/>
    <n v="112.35"/>
    <s v="OK"/>
    <s v="OK"/>
  </r>
  <r>
    <n v="1389"/>
    <x v="388"/>
    <x v="90"/>
    <d v="2024-11-28T00:00:00"/>
    <s v="Second Class"/>
    <s v="CUST-1004"/>
    <s v="SNEHA NAIR"/>
    <x v="0"/>
    <s v="India"/>
    <s v="Pune"/>
    <s v="Maharashtra"/>
    <x v="1"/>
    <n v="673001"/>
    <s v="P-189"/>
    <x v="4"/>
    <s v="Kitchen"/>
    <s v="Electric Kettle"/>
    <n v="4735.57"/>
    <n v="3"/>
    <n v="0.25"/>
    <n v="-171.01"/>
    <s v="OK"/>
    <s v="OK"/>
  </r>
  <r>
    <n v="1390"/>
    <x v="389"/>
    <x v="203"/>
    <d v="2024-10-23T00:00:00"/>
    <s v="First Class"/>
    <s v="CUST-1053"/>
    <s v="AMAL THOMAS"/>
    <x v="0"/>
    <s v="India"/>
    <s v="Kochi"/>
    <s v="Kerala"/>
    <x v="3"/>
    <n v="400001"/>
    <s v="P-514"/>
    <x v="0"/>
    <s v="Laptops"/>
    <s v="Dell Inspiron 15"/>
    <n v="107661.41"/>
    <n v="2"/>
    <n v="0"/>
    <n v="12678.54"/>
    <s v="OK"/>
    <s v="OK"/>
  </r>
  <r>
    <n v="1391"/>
    <x v="390"/>
    <x v="33"/>
    <d v="2024-11-30T00:00:00"/>
    <s v="Standard Class"/>
    <s v="CUST-1097"/>
    <s v="NIKHIL VARMA"/>
    <x v="0"/>
    <s v="India"/>
    <s v="Pune"/>
    <s v="Maharashtra"/>
    <x v="0"/>
    <n v="400001"/>
    <s v="P-968"/>
    <x v="2"/>
    <s v="Tables"/>
    <s v="Study Table"/>
    <n v="29693.71"/>
    <n v="4"/>
    <n v="0"/>
    <n v="4852.49"/>
    <s v="OK"/>
    <s v="OK"/>
  </r>
  <r>
    <n v="1392"/>
    <x v="391"/>
    <x v="85"/>
    <d v="2024-11-07T00:00:00"/>
    <s v="First Class"/>
    <s v="CUST-1098"/>
    <s v="MUHAMMED SHAFI"/>
    <x v="2"/>
    <s v="India"/>
    <s v="Kochi"/>
    <s v="Kerala"/>
    <x v="3"/>
    <n v="560001"/>
    <s v="P-504"/>
    <x v="2"/>
    <s v="Tables"/>
    <s v="Study Table"/>
    <n v="5876.96"/>
    <n v="1"/>
    <n v="0.15"/>
    <n v="338.97"/>
    <s v="OK"/>
    <s v="OK"/>
  </r>
  <r>
    <n v="1393"/>
    <x v="392"/>
    <x v="181"/>
    <d v="2024-03-16T00:00:00"/>
    <s v="Same Day"/>
    <s v="CUST-1102"/>
    <s v="ASHA KRISHNAN"/>
    <x v="0"/>
    <s v="India"/>
    <s v="Hyderabad"/>
    <s v="Telangana"/>
    <x v="1"/>
    <n v="400001"/>
    <s v="P-247"/>
    <x v="3"/>
    <s v="Art"/>
    <s v="Marker Set"/>
    <n v="324.58"/>
    <n v="1"/>
    <n v="0.1"/>
    <n v="52.77"/>
    <s v="OK"/>
    <s v="OK"/>
  </r>
  <r>
    <n v="1394"/>
    <x v="393"/>
    <x v="227"/>
    <d v="2024-01-11T00:00:00"/>
    <s v="Second Class"/>
    <s v="CUST-1016"/>
    <s v="AARAV NAIR"/>
    <x v="2"/>
    <s v="India"/>
    <s v="Chennai"/>
    <s v="Tamil Nadu"/>
    <x v="0"/>
    <n v="600001"/>
    <s v="P-710"/>
    <x v="3"/>
    <s v="Art"/>
    <s v="Marker Set"/>
    <n v="2156.39"/>
    <n v="7"/>
    <n v="0.2"/>
    <n v="143.46"/>
    <s v="OK"/>
    <s v="OK"/>
  </r>
  <r>
    <n v="1395"/>
    <x v="394"/>
    <x v="172"/>
    <d v="2024-06-27T00:00:00"/>
    <s v="Same Day"/>
    <s v="CUST-1116"/>
    <s v="ADIL KHAN"/>
    <x v="0"/>
    <s v="India"/>
    <s v="Pune"/>
    <s v="Maharashtra"/>
    <x v="2"/>
    <n v="682001"/>
    <s v="P-288"/>
    <x v="3"/>
    <s v="Binders"/>
    <s v="Office Binder Pack"/>
    <n v="581.44000000000005"/>
    <n v="1"/>
    <n v="0.1"/>
    <n v="96.05"/>
    <s v="OK"/>
    <s v="OK"/>
  </r>
  <r>
    <n v="1396"/>
    <x v="395"/>
    <x v="127"/>
    <d v="2024-12-14T00:00:00"/>
    <s v="Standard Class"/>
    <s v="CUST-1109"/>
    <s v="ASHA KRISHNAN"/>
    <x v="1"/>
    <s v="India"/>
    <s v="Bengaluru"/>
    <s v="Karnataka"/>
    <x v="3"/>
    <n v="400001"/>
    <s v="P-662"/>
    <x v="3"/>
    <s v="Storage"/>
    <s v="Document Organizer"/>
    <n v="852.44"/>
    <n v="1"/>
    <n v="0.05"/>
    <n v="148.94"/>
    <s v="OK"/>
    <s v="OK"/>
  </r>
  <r>
    <n v="1397"/>
    <x v="396"/>
    <x v="121"/>
    <d v="2024-10-28T00:00:00"/>
    <s v="First Class"/>
    <s v="CUST-1046"/>
    <s v="RAHUL KUMAR"/>
    <x v="1"/>
    <s v="India"/>
    <s v="Kochi"/>
    <s v="Kerala"/>
    <x v="2"/>
    <n v="673001"/>
    <s v="P-391"/>
    <x v="2"/>
    <s v="Chairs"/>
    <s v="Ergonomic Office Chair"/>
    <n v="15314.42"/>
    <n v="2"/>
    <n v="0.1"/>
    <n v="1535.95"/>
    <s v="OK"/>
    <s v="OK"/>
  </r>
  <r>
    <n v="1398"/>
    <x v="397"/>
    <x v="93"/>
    <d v="2024-06-22T00:00:00"/>
    <s v="First Class"/>
    <s v="CUST-1089"/>
    <s v="DIYA MATHEW"/>
    <x v="2"/>
    <s v="India"/>
    <s v="Jaipur"/>
    <s v="Rajasthan"/>
    <x v="2"/>
    <n v="600001"/>
    <s v="P-680"/>
    <x v="0"/>
    <s v="Mobiles"/>
    <s v="Samsung Galaxy A55"/>
    <n v="46514.04"/>
    <n v="2"/>
    <n v="0.3"/>
    <n v="-4689.33"/>
    <s v="OK"/>
    <s v="OK"/>
  </r>
  <r>
    <n v="1399"/>
    <x v="398"/>
    <x v="137"/>
    <d v="2024-06-11T00:00:00"/>
    <s v="Second Class"/>
    <s v="CUST-1092"/>
    <s v="NIKHIL VARMA"/>
    <x v="0"/>
    <s v="India"/>
    <s v="Mumbai"/>
    <s v="Maharashtra"/>
    <x v="3"/>
    <n v="695001"/>
    <s v="P-960"/>
    <x v="1"/>
    <s v="Shoes"/>
    <s v="Running Shoes"/>
    <n v="6842.49"/>
    <n v="2"/>
    <n v="0"/>
    <n v="1766.33"/>
    <s v="OK"/>
    <s v="OK"/>
  </r>
  <r>
    <n v="1400"/>
    <x v="399"/>
    <x v="48"/>
    <d v="2024-08-28T00:00:00"/>
    <s v="First Class"/>
    <s v="CUST-1100"/>
    <s v="ARJUN DAS"/>
    <x v="1"/>
    <s v="India"/>
    <s v="Mumbai"/>
    <s v="Maharashtra"/>
    <x v="3"/>
    <n v="600001"/>
    <s v="P-211"/>
    <x v="0"/>
    <s v="Accessories"/>
    <s v="Logitech Wireless Mouse"/>
    <n v="1732.86"/>
    <n v="2"/>
    <n v="0.3"/>
    <n v="-178.41"/>
    <s v="OK"/>
    <s v="OK"/>
  </r>
  <r>
    <n v="1401"/>
    <x v="400"/>
    <x v="46"/>
    <d v="2024-10-04T00:00:00"/>
    <s v="First Class"/>
    <s v="CUST-1094"/>
    <s v="MUHAMMED SHAFI"/>
    <x v="1"/>
    <s v="India"/>
    <s v="Thiruvananthapuram"/>
    <s v="Kerala"/>
    <x v="0"/>
    <n v="400001"/>
    <s v="P-177"/>
    <x v="3"/>
    <s v="Art"/>
    <s v="Marker Set"/>
    <n v="1864.85"/>
    <n v="5"/>
    <n v="0.05"/>
    <n v="258.10000000000002"/>
    <s v="OK"/>
    <s v="OK"/>
  </r>
  <r>
    <n v="1402"/>
    <x v="401"/>
    <x v="235"/>
    <d v="2024-10-31T00:00:00"/>
    <s v="Standard Class"/>
    <s v="CUST-1071"/>
    <s v="ARJUN DAS"/>
    <x v="0"/>
    <s v="India"/>
    <s v="Kozhikode"/>
    <s v="Kerala"/>
    <x v="3"/>
    <n v="400001"/>
    <s v="P-893"/>
    <x v="4"/>
    <s v="Kitchen"/>
    <s v="Electric Kettle"/>
    <n v="1670.14"/>
    <n v="1"/>
    <n v="0.25"/>
    <n v="-57.18"/>
    <s v="OK"/>
    <s v="OK"/>
  </r>
  <r>
    <n v="1403"/>
    <x v="402"/>
    <x v="214"/>
    <d v="2024-03-13T00:00:00"/>
    <s v="Standard Class"/>
    <s v="CUST-1051"/>
    <s v="MEERA JOSEPH"/>
    <x v="0"/>
    <s v="India"/>
    <s v="Thiruvananthapuram"/>
    <s v="Kerala"/>
    <x v="0"/>
    <n v="400001"/>
    <s v="P-344"/>
    <x v="2"/>
    <s v="Tables"/>
    <s v="Study Table"/>
    <n v="36274.25"/>
    <n v="6"/>
    <n v="0.15"/>
    <n v="2535.17"/>
    <s v="OK"/>
    <s v="OK"/>
  </r>
  <r>
    <n v="1404"/>
    <x v="403"/>
    <x v="156"/>
    <d v="2024-08-18T00:00:00"/>
    <s v="Second Class"/>
    <s v="CUST-1073"/>
    <s v="DIYA MATHEW"/>
    <x v="2"/>
    <s v="India"/>
    <s v="Hyderabad"/>
    <s v="Telangana"/>
    <x v="2"/>
    <n v="400001"/>
    <s v="P-849"/>
    <x v="1"/>
    <s v="Shoes"/>
    <s v="Running Shoes"/>
    <n v="13005.1"/>
    <n v="4"/>
    <n v="0.05"/>
    <n v="3430.49"/>
    <s v="OK"/>
    <s v="OK"/>
  </r>
  <r>
    <n v="1405"/>
    <x v="404"/>
    <x v="236"/>
    <d v="2024-02-05T00:00:00"/>
    <s v="First Class"/>
    <s v="CUST-1030"/>
    <s v="AARAV NAIR"/>
    <x v="0"/>
    <s v="India"/>
    <s v="Ahmedabad"/>
    <s v="Gujarat"/>
    <x v="2"/>
    <n v="600001"/>
    <s v="P-910"/>
    <x v="2"/>
    <s v="Tables"/>
    <s v="Study Table"/>
    <n v="25716.12"/>
    <n v="4"/>
    <n v="0.1"/>
    <n v="1970.6"/>
    <s v="OK"/>
    <s v="OK"/>
  </r>
  <r>
    <n v="1406"/>
    <x v="405"/>
    <x v="233"/>
    <d v="2024-01-27T00:00:00"/>
    <s v="First Class"/>
    <s v="CUST-1014"/>
    <s v="NIKHIL VARMA"/>
    <x v="0"/>
    <s v="India"/>
    <s v="Mumbai"/>
    <s v="Maharashtra"/>
    <x v="1"/>
    <n v="110001"/>
    <s v="P-859"/>
    <x v="2"/>
    <s v="Bookcases"/>
    <s v="Wooden Bookshelf"/>
    <n v="13792.95"/>
    <n v="2"/>
    <n v="0"/>
    <n v="2580.8200000000002"/>
    <s v="OK"/>
    <s v="OK"/>
  </r>
  <r>
    <n v="1407"/>
    <x v="406"/>
    <x v="189"/>
    <d v="2024-07-11T00:00:00"/>
    <s v="Standard Class"/>
    <s v="CUST-1067"/>
    <s v="ARJUN DAS"/>
    <x v="0"/>
    <s v="India"/>
    <s v="Chennai"/>
    <s v="Tamil Nadu"/>
    <x v="3"/>
    <n v="682001"/>
    <s v="P-628"/>
    <x v="3"/>
    <s v="Storage"/>
    <s v="Document Organizer"/>
    <n v="669.71"/>
    <n v="1"/>
    <n v="0.25"/>
    <n v="30.4"/>
    <s v="OK"/>
    <s v="OK"/>
  </r>
  <r>
    <n v="1408"/>
    <x v="407"/>
    <x v="237"/>
    <d v="2024-11-06T00:00:00"/>
    <s v="Second Class"/>
    <s v="CUST-1057"/>
    <s v="RAHUL KUMAR"/>
    <x v="1"/>
    <s v="India"/>
    <s v="Pune"/>
    <s v="Maharashtra"/>
    <x v="2"/>
    <n v="673001"/>
    <s v="P-626"/>
    <x v="2"/>
    <s v="Tables"/>
    <s v="Study Table"/>
    <n v="10676.57"/>
    <n v="2"/>
    <n v="0.3"/>
    <n v="-377.2"/>
    <s v="OK"/>
    <s v="OK"/>
  </r>
  <r>
    <n v="1409"/>
    <x v="408"/>
    <x v="231"/>
    <d v="2024-11-10T00:00:00"/>
    <s v="Standard Class"/>
    <s v="CUST-1085"/>
    <s v="FATHIMA ALI"/>
    <x v="0"/>
    <s v="India"/>
    <s v="Lucknow"/>
    <s v="Uttar Pradesh"/>
    <x v="3"/>
    <n v="110001"/>
    <s v="P-438"/>
    <x v="2"/>
    <s v="Chairs"/>
    <s v="Ergonomic Office Chair"/>
    <n v="6899.31"/>
    <n v="1"/>
    <n v="0.2"/>
    <n v="196.53"/>
    <s v="OK"/>
    <s v="OK"/>
  </r>
  <r>
    <n v="1410"/>
    <x v="409"/>
    <x v="235"/>
    <d v="2024-10-31T00:00:00"/>
    <s v="Same Day"/>
    <s v="CUST-1003"/>
    <s v="FATHIMA ALI"/>
    <x v="0"/>
    <s v="India"/>
    <s v="Kolkata"/>
    <s v="West Bengal"/>
    <x v="0"/>
    <n v="682001"/>
    <s v="P-687"/>
    <x v="0"/>
    <s v="Mobiles"/>
    <s v="Samsung Galaxy A55"/>
    <n v="90275.65"/>
    <n v="3"/>
    <n v="0.1"/>
    <n v="3727.66"/>
    <s v="OK"/>
    <s v="OK"/>
  </r>
  <r>
    <n v="1411"/>
    <x v="410"/>
    <x v="238"/>
    <d v="2024-01-31T00:00:00"/>
    <s v="First Class"/>
    <s v="CUST-1119"/>
    <s v="RAHUL KUMAR"/>
    <x v="0"/>
    <s v="India"/>
    <s v="Jaipur"/>
    <s v="Rajasthan"/>
    <x v="3"/>
    <n v="600001"/>
    <s v="P-677"/>
    <x v="0"/>
    <s v="Accessories"/>
    <s v="Logitech Wireless Mouse"/>
    <n v="3585.72"/>
    <n v="3"/>
    <n v="0.05"/>
    <n v="209.06"/>
    <s v="OK"/>
    <s v="OK"/>
  </r>
  <r>
    <n v="1412"/>
    <x v="411"/>
    <x v="62"/>
    <d v="2024-02-15T00:00:00"/>
    <s v="Same Day"/>
    <s v="CUST-1078"/>
    <s v="SNEHA NAIR"/>
    <x v="2"/>
    <s v="India"/>
    <s v="Lucknow"/>
    <s v="Uttar Pradesh"/>
    <x v="3"/>
    <n v="682001"/>
    <s v="P-324"/>
    <x v="0"/>
    <s v="Laptops"/>
    <s v="Dell Inspiron 15"/>
    <n v="172090.02"/>
    <n v="4"/>
    <n v="0.15"/>
    <n v="2041.6"/>
    <s v="OK"/>
    <s v="OK"/>
  </r>
  <r>
    <n v="1413"/>
    <x v="412"/>
    <x v="78"/>
    <d v="2024-11-21T00:00:00"/>
    <s v="First Class"/>
    <s v="CUST-1022"/>
    <s v="NIKHIL VARMA"/>
    <x v="1"/>
    <s v="India"/>
    <s v="Hyderabad"/>
    <s v="Telangana"/>
    <x v="1"/>
    <n v="560001"/>
    <s v="P-710"/>
    <x v="2"/>
    <s v="Bookcases"/>
    <s v="Wooden Bookshelf"/>
    <n v="30581.89"/>
    <n v="5"/>
    <n v="0.05"/>
    <n v="4717.74"/>
    <s v="OK"/>
    <s v="OK"/>
  </r>
  <r>
    <n v="1414"/>
    <x v="413"/>
    <x v="184"/>
    <d v="2024-01-11T00:00:00"/>
    <s v="Same Day"/>
    <s v="CUST-1106"/>
    <s v="RAHUL KUMAR"/>
    <x v="0"/>
    <s v="India"/>
    <s v="Jaipur"/>
    <s v="Rajasthan"/>
    <x v="0"/>
    <n v="682001"/>
    <s v="P-587"/>
    <x v="0"/>
    <s v="Mobiles"/>
    <s v="Samsung Galaxy A55"/>
    <n v="70229.91"/>
    <n v="2"/>
    <n v="0"/>
    <n v="7134.12"/>
    <s v="OK"/>
    <s v="OK"/>
  </r>
  <r>
    <n v="1415"/>
    <x v="414"/>
    <x v="27"/>
    <d v="2024-02-21T00:00:00"/>
    <s v="Second Class"/>
    <s v="CUST-1116"/>
    <s v="MUHAMMAD RABEEH"/>
    <x v="0"/>
    <s v="India"/>
    <s v="Jaipur"/>
    <s v="Rajasthan"/>
    <x v="0"/>
    <n v="110001"/>
    <s v="P-794"/>
    <x v="3"/>
    <s v="Storage"/>
    <s v="Document Organizer"/>
    <n v="4930.5"/>
    <n v="5"/>
    <n v="0"/>
    <n v="962.54"/>
    <s v="OK"/>
    <s v="OK"/>
  </r>
  <r>
    <n v="1416"/>
    <x v="415"/>
    <x v="61"/>
    <d v="2024-12-28T00:00:00"/>
    <s v="Same Day"/>
    <s v="CUST-1030"/>
    <s v="ASHA KRISHNAN"/>
    <x v="0"/>
    <s v="India"/>
    <s v="Lucknow"/>
    <s v="Uttar Pradesh"/>
    <x v="3"/>
    <n v="110001"/>
    <s v="P-887"/>
    <x v="2"/>
    <s v="Bookcases"/>
    <s v="Wooden Bookshelf"/>
    <n v="12235.99"/>
    <n v="2"/>
    <n v="0.15"/>
    <n v="1911.2"/>
    <s v="OK"/>
    <s v="OK"/>
  </r>
  <r>
    <n v="1417"/>
    <x v="416"/>
    <x v="40"/>
    <d v="2024-08-07T00:00:00"/>
    <s v="First Class"/>
    <s v="CUST-1062"/>
    <s v="ASHA KRISHNAN"/>
    <x v="1"/>
    <s v="India"/>
    <s v="Pune"/>
    <s v="Maharashtra"/>
    <x v="2"/>
    <n v="110001"/>
    <s v="P-185"/>
    <x v="2"/>
    <s v="Tables"/>
    <s v="Study Table"/>
    <n v="27145.07"/>
    <n v="4"/>
    <n v="0"/>
    <n v="3640.45"/>
    <s v="OK"/>
    <s v="OK"/>
  </r>
  <r>
    <n v="1418"/>
    <x v="417"/>
    <x v="239"/>
    <d v="2024-01-09T00:00:00"/>
    <s v="Standard Class"/>
    <s v="CUST-1074"/>
    <s v="VISHNU RAJ"/>
    <x v="2"/>
    <s v="India"/>
    <s v="Chennai"/>
    <s v="Tamil Nadu"/>
    <x v="0"/>
    <n v="600001"/>
    <s v="P-107"/>
    <x v="3"/>
    <s v="Storage"/>
    <s v="Document Organizer"/>
    <n v="1709.55"/>
    <n v="2"/>
    <n v="0.1"/>
    <n v="221.43"/>
    <s v="OK"/>
    <s v="OK"/>
  </r>
  <r>
    <n v="1419"/>
    <x v="418"/>
    <x v="131"/>
    <d v="2024-07-05T00:00:00"/>
    <s v="Second Class"/>
    <s v="CUST-1055"/>
    <s v="ADIL KHAN"/>
    <x v="0"/>
    <s v="India"/>
    <s v="Pune"/>
    <s v="Maharashtra"/>
    <x v="1"/>
    <n v="695001"/>
    <s v="P-975"/>
    <x v="3"/>
    <s v="Art"/>
    <s v="Marker Set"/>
    <n v="1519.58"/>
    <n v="5"/>
    <n v="0.25"/>
    <n v="53.06"/>
    <s v="OK"/>
    <s v="OK"/>
  </r>
  <r>
    <n v="1420"/>
    <x v="419"/>
    <x v="71"/>
    <d v="2024-04-18T00:00:00"/>
    <s v="Same Day"/>
    <s v="CUST-1023"/>
    <s v="MEERA JOSEPH"/>
    <x v="1"/>
    <s v="India"/>
    <s v="Delhi"/>
    <s v="Delhi"/>
    <x v="3"/>
    <n v="695001"/>
    <s v="P-414"/>
    <x v="2"/>
    <s v="Bookcases"/>
    <s v="Wooden Bookshelf"/>
    <n v="14585.68"/>
    <n v="3"/>
    <n v="0.25"/>
    <n v="-38.880000000000003"/>
    <s v="OK"/>
    <s v="OK"/>
  </r>
  <r>
    <n v="1421"/>
    <x v="420"/>
    <x v="95"/>
    <d v="2024-12-04T00:00:00"/>
    <s v="Second Class"/>
    <s v="CUST-1058"/>
    <s v="ASHA KRISHNAN"/>
    <x v="1"/>
    <s v="India"/>
    <s v="Jaipur"/>
    <s v="Rajasthan"/>
    <x v="2"/>
    <n v="673001"/>
    <s v="P-319"/>
    <x v="2"/>
    <s v="Tables"/>
    <s v="Study Table"/>
    <n v="12614.26"/>
    <n v="2"/>
    <n v="0.05"/>
    <n v="1739.83"/>
    <s v="OK"/>
    <s v="OK"/>
  </r>
  <r>
    <n v="1422"/>
    <x v="421"/>
    <x v="240"/>
    <d v="2024-03-27T00:00:00"/>
    <s v="Standard Class"/>
    <s v="CUST-1103"/>
    <s v="ANANYA MENON"/>
    <x v="1"/>
    <s v="India"/>
    <s v="Delhi"/>
    <s v="Delhi"/>
    <x v="2"/>
    <n v="560001"/>
    <s v="P-714"/>
    <x v="2"/>
    <s v="Bookcases"/>
    <s v="Wooden Bookshelf"/>
    <n v="30351.54"/>
    <n v="5"/>
    <n v="0"/>
    <n v="5975.78"/>
    <s v="OK"/>
    <s v="OK"/>
  </r>
  <r>
    <n v="1423"/>
    <x v="422"/>
    <x v="241"/>
    <d v="2024-11-08T00:00:00"/>
    <s v="Same Day"/>
    <s v="CUST-1120"/>
    <s v="AMAL THOMAS"/>
    <x v="0"/>
    <s v="India"/>
    <s v="Pune"/>
    <s v="Maharashtra"/>
    <x v="1"/>
    <n v="400001"/>
    <s v="P-711"/>
    <x v="0"/>
    <s v="Mobiles"/>
    <s v="Samsung Galaxy A55"/>
    <n v="33976.300000000003"/>
    <n v="1"/>
    <n v="0"/>
    <n v="3577.85"/>
    <s v="OK"/>
    <s v="OK"/>
  </r>
  <r>
    <n v="1424"/>
    <x v="423"/>
    <x v="227"/>
    <d v="2024-01-08T00:00:00"/>
    <s v="First Class"/>
    <s v="CUST-1025"/>
    <s v="AARAV NAIR"/>
    <x v="1"/>
    <s v="India"/>
    <s v="Kozhikode"/>
    <s v="Kerala"/>
    <x v="2"/>
    <n v="600001"/>
    <s v="P-273"/>
    <x v="1"/>
    <s v="Shoes"/>
    <s v="Running Shoes"/>
    <n v="6274.17"/>
    <n v="3"/>
    <n v="0.3"/>
    <n v="430.81"/>
    <s v="OK"/>
    <s v="OK"/>
  </r>
  <r>
    <n v="1425"/>
    <x v="424"/>
    <x v="242"/>
    <d v="2024-02-17T00:00:00"/>
    <s v="Same Day"/>
    <s v="CUST-1046"/>
    <s v="ADIL KHAN"/>
    <x v="0"/>
    <s v="India"/>
    <s v="Lucknow"/>
    <s v="Uttar Pradesh"/>
    <x v="3"/>
    <n v="560001"/>
    <s v="P-700"/>
    <x v="0"/>
    <s v="Laptops"/>
    <s v="Dell Inspiron 15"/>
    <n v="197669.4"/>
    <n v="4"/>
    <n v="0.05"/>
    <n v="16050"/>
    <s v="OK"/>
    <s v="OK"/>
  </r>
  <r>
    <n v="1426"/>
    <x v="425"/>
    <x v="18"/>
    <d v="2024-10-11T00:00:00"/>
    <s v="First Class"/>
    <s v="CUST-1045"/>
    <s v="RIYA PAUL"/>
    <x v="0"/>
    <s v="India"/>
    <s v="Bengaluru"/>
    <s v="Karnataka"/>
    <x v="1"/>
    <n v="682001"/>
    <s v="P-720"/>
    <x v="3"/>
    <s v="Binders"/>
    <s v="Office Binder Pack"/>
    <n v="2419.9"/>
    <n v="4"/>
    <n v="0"/>
    <n v="544.47"/>
    <s v="OK"/>
    <s v="OK"/>
  </r>
  <r>
    <n v="1427"/>
    <x v="426"/>
    <x v="145"/>
    <d v="2024-04-03T00:00:00"/>
    <s v="Standard Class"/>
    <s v="CUST-1072"/>
    <s v="ANANYA MENON"/>
    <x v="2"/>
    <s v="India"/>
    <s v="Bengaluru"/>
    <s v="Karnataka"/>
    <x v="1"/>
    <n v="695001"/>
    <s v="P-219"/>
    <x v="3"/>
    <s v="Paper"/>
    <s v="A4 Copier Paper"/>
    <n v="1094.24"/>
    <n v="3"/>
    <n v="0.15"/>
    <n v="134.47999999999999"/>
    <s v="OK"/>
    <s v="OK"/>
  </r>
  <r>
    <n v="1428"/>
    <x v="427"/>
    <x v="243"/>
    <d v="2024-12-25T00:00:00"/>
    <s v="Same Day"/>
    <s v="CUST-1073"/>
    <s v="SNEHA NAIR"/>
    <x v="2"/>
    <s v="India"/>
    <s v="Bhubaneswar"/>
    <s v="Odisha"/>
    <x v="2"/>
    <n v="110001"/>
    <s v="P-447"/>
    <x v="3"/>
    <s v="Binders"/>
    <s v="Office Binder Pack"/>
    <n v="3158.61"/>
    <n v="6"/>
    <n v="0.15"/>
    <n v="273.69"/>
    <s v="OK"/>
    <s v="OK"/>
  </r>
  <r>
    <n v="1429"/>
    <x v="428"/>
    <x v="244"/>
    <d v="2024-09-04T00:00:00"/>
    <s v="First Class"/>
    <s v="CUST-1009"/>
    <s v="AMAL THOMAS"/>
    <x v="1"/>
    <s v="India"/>
    <s v="Bhubaneswar"/>
    <s v="Odisha"/>
    <x v="2"/>
    <n v="400001"/>
    <s v="P-818"/>
    <x v="3"/>
    <s v="Paper"/>
    <s v="A4 Copier Paper"/>
    <n v="2499.79"/>
    <n v="6"/>
    <n v="0"/>
    <n v="492.98"/>
    <s v="OK"/>
    <s v="OK"/>
  </r>
  <r>
    <n v="1430"/>
    <x v="429"/>
    <x v="245"/>
    <d v="2024-12-27T00:00:00"/>
    <s v="Second Class"/>
    <s v="CUST-1037"/>
    <s v="ANANYA MENON"/>
    <x v="0"/>
    <s v="India"/>
    <s v="Bengaluru"/>
    <s v="Karnataka"/>
    <x v="3"/>
    <n v="400001"/>
    <s v="P-866"/>
    <x v="1"/>
    <s v="Shoes"/>
    <s v="Running Shoes"/>
    <n v="22632.39"/>
    <n v="7"/>
    <n v="0"/>
    <n v="4429.47"/>
    <s v="OK"/>
    <s v="OK"/>
  </r>
  <r>
    <n v="1431"/>
    <x v="430"/>
    <x v="137"/>
    <d v="2024-06-12T00:00:00"/>
    <s v="Second Class"/>
    <s v="CUST-1115"/>
    <s v="DIYA MATHEW"/>
    <x v="0"/>
    <s v="India"/>
    <s v="Hyderabad"/>
    <s v="Telangana"/>
    <x v="1"/>
    <n v="682001"/>
    <s v="P-864"/>
    <x v="2"/>
    <s v="Tables"/>
    <s v="Study Table"/>
    <n v="36835.300000000003"/>
    <n v="7"/>
    <n v="0.3"/>
    <n v="-1259.1199999999999"/>
    <s v="OK"/>
    <s v="OK"/>
  </r>
  <r>
    <n v="1432"/>
    <x v="431"/>
    <x v="108"/>
    <d v="2024-05-06T00:00:00"/>
    <s v="Second Class"/>
    <s v="CUST-1112"/>
    <s v="ARJUN DAS"/>
    <x v="2"/>
    <s v="India"/>
    <s v="Lucknow"/>
    <s v="Uttar Pradesh"/>
    <x v="2"/>
    <n v="682001"/>
    <s v="P-307"/>
    <x v="4"/>
    <s v="Kitchen"/>
    <s v="Mixer Grinder"/>
    <n v="15721.11"/>
    <n v="3"/>
    <n v="0.1"/>
    <n v="991.61"/>
    <s v="OK"/>
    <s v="OK"/>
  </r>
  <r>
    <n v="1433"/>
    <x v="432"/>
    <x v="104"/>
    <d v="2024-03-03T00:00:00"/>
    <s v="Same Day"/>
    <s v="CUST-1079"/>
    <s v="AARAV NAIR"/>
    <x v="1"/>
    <s v="India"/>
    <s v="Hyderabad"/>
    <s v="Telangana"/>
    <x v="0"/>
    <n v="110001"/>
    <s v="P-593"/>
    <x v="0"/>
    <s v="Accessories"/>
    <s v="HP Wireless Keyboard"/>
    <n v="3542.84"/>
    <n v="2"/>
    <n v="0"/>
    <n v="401.33"/>
    <s v="OK"/>
    <s v="OK"/>
  </r>
  <r>
    <n v="1434"/>
    <x v="433"/>
    <x v="246"/>
    <d v="2024-09-10T00:00:00"/>
    <s v="First Class"/>
    <s v="CUST-1051"/>
    <s v="FATHIMA ALI"/>
    <x v="0"/>
    <s v="India"/>
    <s v="Mumbai"/>
    <s v="Maharashtra"/>
    <x v="2"/>
    <n v="673001"/>
    <s v="P-638"/>
    <x v="3"/>
    <s v="Storage"/>
    <s v="Document Organizer"/>
    <n v="4577.74"/>
    <n v="6"/>
    <n v="0.15"/>
    <n v="394.6"/>
    <s v="OK"/>
    <s v="OK"/>
  </r>
  <r>
    <n v="1435"/>
    <x v="434"/>
    <x v="139"/>
    <d v="2024-07-26T00:00:00"/>
    <s v="Second Class"/>
    <s v="CUST-1059"/>
    <s v="ANANYA MENON"/>
    <x v="0"/>
    <s v="India"/>
    <s v="Bhubaneswar"/>
    <s v="Odisha"/>
    <x v="3"/>
    <n v="695001"/>
    <s v="P-805"/>
    <x v="2"/>
    <s v="Bookcases"/>
    <s v="Wooden Bookshelf"/>
    <n v="16249.12"/>
    <n v="3"/>
    <n v="0.2"/>
    <n v="596.21"/>
    <s v="OK"/>
    <s v="OK"/>
  </r>
  <r>
    <n v="1436"/>
    <x v="435"/>
    <x v="171"/>
    <d v="2024-06-18T00:00:00"/>
    <s v="First Class"/>
    <s v="CUST-1024"/>
    <s v="VISHNU RAJ"/>
    <x v="1"/>
    <s v="India"/>
    <s v="Kozhikode"/>
    <s v="Kerala"/>
    <x v="1"/>
    <n v="682001"/>
    <s v="P-375"/>
    <x v="0"/>
    <s v="Laptops"/>
    <s v="Dell Inspiron 15"/>
    <n v="101891.87"/>
    <n v="2"/>
    <n v="0"/>
    <n v="9923.35"/>
    <s v="OK"/>
    <s v="OK"/>
  </r>
  <r>
    <n v="1437"/>
    <x v="436"/>
    <x v="247"/>
    <d v="2024-04-21T00:00:00"/>
    <s v="First Class"/>
    <s v="CUST-1047"/>
    <s v="RIYA PAUL"/>
    <x v="0"/>
    <s v="India"/>
    <s v="Ahmedabad"/>
    <s v="Gujarat"/>
    <x v="3"/>
    <n v="695001"/>
    <s v="P-561"/>
    <x v="3"/>
    <s v="Storage"/>
    <s v="Document Organizer"/>
    <n v="728.92"/>
    <n v="1"/>
    <n v="0.25"/>
    <n v="26.09"/>
    <s v="OK"/>
    <s v="OK"/>
  </r>
  <r>
    <n v="1438"/>
    <x v="437"/>
    <x v="248"/>
    <d v="2024-02-27T00:00:00"/>
    <s v="First Class"/>
    <s v="CUST-1103"/>
    <s v="FATHIMA ALI"/>
    <x v="0"/>
    <s v="India"/>
    <s v="Thiruvananthapuram"/>
    <s v="Kerala"/>
    <x v="3"/>
    <n v="110001"/>
    <s v="P-490"/>
    <x v="3"/>
    <s v="Storage"/>
    <s v="Document Organizer"/>
    <n v="2370.2199999999998"/>
    <n v="3"/>
    <n v="0.1"/>
    <n v="264.97000000000003"/>
    <s v="OK"/>
    <s v="OK"/>
  </r>
  <r>
    <n v="1439"/>
    <x v="438"/>
    <x v="165"/>
    <d v="2024-01-07T00:00:00"/>
    <s v="Same Day"/>
    <s v="CUST-1064"/>
    <s v="RAHUL KUMAR"/>
    <x v="1"/>
    <s v="India"/>
    <s v="Bengaluru"/>
    <s v="Karnataka"/>
    <x v="1"/>
    <n v="110001"/>
    <s v="P-598"/>
    <x v="0"/>
    <s v="Accessories"/>
    <s v="Logitech Wireless Mouse"/>
    <n v="3476.11"/>
    <n v="4"/>
    <n v="0.3"/>
    <n v="-318.95"/>
    <s v="OK"/>
    <s v="OK"/>
  </r>
  <r>
    <n v="1440"/>
    <x v="439"/>
    <x v="249"/>
    <d v="2024-02-26T00:00:00"/>
    <s v="Second Class"/>
    <s v="CUST-1008"/>
    <s v="FATHIMA ALI"/>
    <x v="1"/>
    <s v="India"/>
    <s v="Chennai"/>
    <s v="Tamil Nadu"/>
    <x v="1"/>
    <n v="560001"/>
    <s v="P-959"/>
    <x v="2"/>
    <s v="Chairs"/>
    <s v="Ergonomic Office Chair"/>
    <n v="17677.91"/>
    <n v="3"/>
    <n v="0.25"/>
    <n v="-38.049999999999997"/>
    <s v="OK"/>
    <s v="OK"/>
  </r>
  <r>
    <n v="1441"/>
    <x v="440"/>
    <x v="170"/>
    <d v="2024-07-08T00:00:00"/>
    <s v="First Class"/>
    <s v="CUST-1045"/>
    <s v="AARAV NAIR"/>
    <x v="0"/>
    <s v="India"/>
    <s v="Lucknow"/>
    <s v="Uttar Pradesh"/>
    <x v="3"/>
    <n v="673001"/>
    <s v="P-459"/>
    <x v="0"/>
    <s v="Mobiles"/>
    <s v="Samsung Galaxy A55"/>
    <n v="55121.59"/>
    <n v="2"/>
    <n v="0.2"/>
    <n v="-1197.18"/>
    <s v="OK"/>
    <s v="OK"/>
  </r>
  <r>
    <n v="1442"/>
    <x v="441"/>
    <x v="116"/>
    <d v="2024-05-28T00:00:00"/>
    <s v="First Class"/>
    <s v="CUST-1087"/>
    <s v="VISHNU RAJ"/>
    <x v="2"/>
    <s v="India"/>
    <s v="Hyderabad"/>
    <s v="Telangana"/>
    <x v="3"/>
    <n v="110001"/>
    <s v="P-854"/>
    <x v="3"/>
    <s v="Art"/>
    <s v="Marker Set"/>
    <n v="333.26"/>
    <n v="1"/>
    <n v="0.05"/>
    <n v="44.77"/>
    <s v="OK"/>
    <s v="OK"/>
  </r>
  <r>
    <n v="1443"/>
    <x v="442"/>
    <x v="221"/>
    <d v="2024-11-21T00:00:00"/>
    <s v="Second Class"/>
    <s v="CUST-1082"/>
    <s v="ASHA KRISHNAN"/>
    <x v="0"/>
    <s v="India"/>
    <s v="Ahmedabad"/>
    <s v="Gujarat"/>
    <x v="1"/>
    <n v="560001"/>
    <s v="P-746"/>
    <x v="4"/>
    <s v="Kitchen"/>
    <s v="Mixer Grinder"/>
    <n v="12764.48"/>
    <n v="3"/>
    <n v="0.3"/>
    <n v="-696.34"/>
    <s v="OK"/>
    <s v="OK"/>
  </r>
  <r>
    <n v="1444"/>
    <x v="443"/>
    <x v="240"/>
    <d v="2024-03-26T00:00:00"/>
    <s v="Second Class"/>
    <s v="CUST-1041"/>
    <s v="MEERA JOSEPH"/>
    <x v="0"/>
    <s v="India"/>
    <s v="Jaipur"/>
    <s v="Rajasthan"/>
    <x v="1"/>
    <n v="400001"/>
    <s v="P-373"/>
    <x v="3"/>
    <s v="Storage"/>
    <s v="Document Organizer"/>
    <n v="5839.3"/>
    <n v="6"/>
    <n v="0"/>
    <n v="1014.98"/>
    <s v="OK"/>
    <s v="OK"/>
  </r>
  <r>
    <n v="1445"/>
    <x v="444"/>
    <x v="83"/>
    <d v="2024-11-01T00:00:00"/>
    <s v="Same Day"/>
    <s v="CUST-1053"/>
    <s v="RAHUL KUMAR"/>
    <x v="0"/>
    <s v="India"/>
    <s v="Jaipur"/>
    <s v="Rajasthan"/>
    <x v="2"/>
    <n v="110001"/>
    <s v="P-123"/>
    <x v="3"/>
    <s v="Art"/>
    <s v="Marker Set"/>
    <n v="1707.1"/>
    <n v="-1"/>
    <n v="0"/>
    <n v="104.15"/>
    <s v="OK"/>
    <s v="Check Quantity"/>
  </r>
  <r>
    <n v="1446"/>
    <x v="445"/>
    <x v="247"/>
    <d v="2024-04-19T00:00:00"/>
    <s v="Same Day"/>
    <s v="CUST-1014"/>
    <s v="ANANYA MENON"/>
    <x v="0"/>
    <s v="India"/>
    <s v="Thiruvananthapuram"/>
    <s v="Kerala"/>
    <x v="0"/>
    <n v="560001"/>
    <s v="P-661"/>
    <x v="1"/>
    <s v="Shirts"/>
    <s v="Cotton Casual Shirt"/>
    <n v="2899.58"/>
    <n v="2"/>
    <n v="0"/>
    <n v="853.82"/>
    <s v="OK"/>
    <s v="OK"/>
  </r>
  <r>
    <n v="1447"/>
    <x v="446"/>
    <x v="250"/>
    <d v="2024-02-26T00:00:00"/>
    <s v="Second Class"/>
    <s v="CUST-1011"/>
    <s v="ADIL KHAN"/>
    <x v="1"/>
    <s v="India"/>
    <s v="Kozhikode"/>
    <s v="Kerala"/>
    <x v="3"/>
    <n v="695001"/>
    <s v="P-334"/>
    <x v="0"/>
    <s v="Laptops"/>
    <s v="Dell Inspiron 15"/>
    <n v="164242.29"/>
    <n v="3"/>
    <n v="0"/>
    <n v="17137.88"/>
    <s v="OK"/>
    <s v="OK"/>
  </r>
  <r>
    <n v="1448"/>
    <x v="447"/>
    <x v="77"/>
    <d v="2024-09-28T00:00:00"/>
    <s v="Standard Class"/>
    <s v="CUST-1005"/>
    <s v="ADIL KHAN"/>
    <x v="0"/>
    <s v="India"/>
    <s v="Bengaluru"/>
    <s v="Karnataka"/>
    <x v="1"/>
    <n v="110001"/>
    <s v="P-433"/>
    <x v="1"/>
    <s v="Shirts"/>
    <s v="Cotton Casual Shirt"/>
    <n v="4097.3100000000004"/>
    <n v="3"/>
    <n v="0.05"/>
    <n v="759.71"/>
    <s v="OK"/>
    <s v="OK"/>
  </r>
  <r>
    <n v="1449"/>
    <x v="448"/>
    <x v="251"/>
    <d v="2024-10-11T00:00:00"/>
    <s v="Second Class"/>
    <s v="CUST-1090"/>
    <s v="VISHNU RAJ"/>
    <x v="0"/>
    <s v="India"/>
    <s v="Hyderabad"/>
    <s v="Telangana"/>
    <x v="2"/>
    <n v="600001"/>
    <s v="P-711"/>
    <x v="3"/>
    <s v="Paper"/>
    <s v="A4 Copier Paper"/>
    <n v="2219.04"/>
    <n v="6"/>
    <n v="0.15"/>
    <n v="272.52999999999997"/>
    <s v="OK"/>
    <s v="OK"/>
  </r>
  <r>
    <n v="1450"/>
    <x v="449"/>
    <x v="164"/>
    <d v="2024-10-01T00:00:00"/>
    <s v="First Class"/>
    <s v="CUST-1117"/>
    <s v="MEERA JOSEPH"/>
    <x v="1"/>
    <s v="India"/>
    <s v="Ahmedabad"/>
    <s v="Gujarat"/>
    <x v="3"/>
    <n v="600001"/>
    <s v="P-332"/>
    <x v="3"/>
    <s v="Art"/>
    <s v="Marker Set"/>
    <n v="1576.76"/>
    <n v="6"/>
    <n v="0.25"/>
    <n v="46.87"/>
    <s v="OK"/>
    <s v="OK"/>
  </r>
  <r>
    <n v="1451"/>
    <x v="450"/>
    <x v="20"/>
    <d v="2024-03-23T00:00:00"/>
    <s v="Standard Class"/>
    <s v="CUST-1001"/>
    <s v="VISHNU RAJ"/>
    <x v="0"/>
    <s v="India"/>
    <s v="Bhubaneswar"/>
    <s v="Odisha"/>
    <x v="2"/>
    <n v="695001"/>
    <s v="P-393"/>
    <x v="0"/>
    <s v="Mobiles"/>
    <s v="Samsung Galaxy A55"/>
    <n v="58339.62"/>
    <n v="2"/>
    <n v="0.15"/>
    <n v="556.61"/>
    <s v="OK"/>
    <s v="OK"/>
  </r>
  <r>
    <n v="1452"/>
    <x v="451"/>
    <x v="36"/>
    <d v="2024-06-03T00:00:00"/>
    <s v="Same Day"/>
    <s v="CUST-1103"/>
    <s v="ARJUN DAS"/>
    <x v="0"/>
    <s v="India"/>
    <s v="Ahmedabad"/>
    <s v="Gujarat"/>
    <x v="2"/>
    <n v="110001"/>
    <s v="P-107"/>
    <x v="3"/>
    <s v="Binders"/>
    <s v="Office Binder Pack"/>
    <n v="2590.85"/>
    <n v="6"/>
    <n v="0.3"/>
    <n v="13.49"/>
    <s v="OK"/>
    <s v="OK"/>
  </r>
  <r>
    <n v="1453"/>
    <x v="452"/>
    <x v="252"/>
    <d v="2024-07-23T00:00:00"/>
    <s v="Second Class"/>
    <s v="CUST-1092"/>
    <s v="NIKHIL VARMA"/>
    <x v="0"/>
    <s v="India"/>
    <s v="Delhi"/>
    <s v="Delhi"/>
    <x v="3"/>
    <n v="110001"/>
    <s v="P-487"/>
    <x v="2"/>
    <s v="Tables"/>
    <s v="Study Table"/>
    <n v="31992.66"/>
    <n v="6"/>
    <n v="0.25"/>
    <n v="-95.68"/>
    <s v="OK"/>
    <s v="OK"/>
  </r>
  <r>
    <n v="1454"/>
    <x v="453"/>
    <x v="116"/>
    <d v="2024-05-31T00:00:00"/>
    <s v="First Class"/>
    <s v="CUST-1053"/>
    <s v="FATHIMA ALI"/>
    <x v="0"/>
    <s v="India"/>
    <s v="Bengaluru"/>
    <s v="Karnataka"/>
    <x v="0"/>
    <n v="682001"/>
    <s v="P-239"/>
    <x v="2"/>
    <s v="Chairs"/>
    <s v="Ergonomic Office Chair"/>
    <n v="22775.89"/>
    <n v="3"/>
    <n v="0.15"/>
    <n v="1310.91"/>
    <s v="OK"/>
    <s v="OK"/>
  </r>
  <r>
    <n v="1455"/>
    <x v="454"/>
    <x v="245"/>
    <d v="2024-12-29T00:00:00"/>
    <s v="Same Day"/>
    <s v="CUST-1025"/>
    <s v="MEERA JOSEPH"/>
    <x v="1"/>
    <s v="India"/>
    <s v="Chennai"/>
    <s v="Tamil Nadu"/>
    <x v="0"/>
    <n v="682001"/>
    <s v="P-150"/>
    <x v="0"/>
    <s v="Mobiles"/>
    <s v="Samsung Galaxy A55"/>
    <n v="88266.41"/>
    <n v="3"/>
    <n v="0.15"/>
    <n v="1036.96"/>
    <s v="OK"/>
    <s v="OK"/>
  </r>
  <r>
    <n v="1456"/>
    <x v="455"/>
    <x v="132"/>
    <d v="2024-03-11T00:00:00"/>
    <s v="Same Day"/>
    <s v="CUST-1094"/>
    <s v="AARAV NAIR"/>
    <x v="0"/>
    <s v="India"/>
    <s v="Delhi"/>
    <s v="Delhi"/>
    <x v="2"/>
    <n v="673001"/>
    <s v="P-254"/>
    <x v="0"/>
    <s v="Laptops"/>
    <s v="Dell Inspiron 15"/>
    <n v="44838.57"/>
    <n v="1"/>
    <n v="0"/>
    <n v="495.48"/>
    <s v="OK"/>
    <s v="OK"/>
  </r>
  <r>
    <n v="1457"/>
    <x v="456"/>
    <x v="213"/>
    <d v="2024-07-13T00:00:00"/>
    <s v="Standard Class"/>
    <s v="CUST-1043"/>
    <s v="ANANYA MENON"/>
    <x v="0"/>
    <s v="India"/>
    <s v="Kozhikode"/>
    <s v="Kerala"/>
    <x v="2"/>
    <n v="673001"/>
    <s v="P-372"/>
    <x v="3"/>
    <s v="Paper"/>
    <s v="A4 Copier Paper"/>
    <n v="642.51"/>
    <n v="2"/>
    <n v="0.3"/>
    <n v="3.07"/>
    <s v="OK"/>
    <s v="OK"/>
  </r>
  <r>
    <n v="1458"/>
    <x v="457"/>
    <x v="253"/>
    <d v="2024-05-12T00:00:00"/>
    <s v="Standard Class"/>
    <s v="CUST-1016"/>
    <s v="ASHA KRISHNAN"/>
    <x v="0"/>
    <s v="India"/>
    <s v="Bhubaneswar"/>
    <s v="Odisha"/>
    <x v="2"/>
    <n v="560001"/>
    <s v="P-889"/>
    <x v="2"/>
    <s v="Bookcases"/>
    <s v="Wooden Bookshelf"/>
    <n v="17423.900000000001"/>
    <n v="3"/>
    <n v="0.1"/>
    <n v="1602.41"/>
    <s v="OK"/>
    <s v="OK"/>
  </r>
  <r>
    <n v="1459"/>
    <x v="458"/>
    <x v="254"/>
    <d v="2024-02-23T00:00:00"/>
    <s v="Second Class"/>
    <s v="CUST-1061"/>
    <s v="AMAL THOMAS"/>
    <x v="1"/>
    <s v="India"/>
    <s v="Ahmedabad"/>
    <s v="Gujarat"/>
    <x v="1"/>
    <n v="695001"/>
    <s v="P-262"/>
    <x v="0"/>
    <s v="Accessories"/>
    <s v="HP Wireless Keyboard"/>
    <n v="1218.56"/>
    <n v="1"/>
    <n v="0.3"/>
    <n v="-126.8"/>
    <s v="OK"/>
    <s v="OK"/>
  </r>
  <r>
    <n v="1460"/>
    <x v="459"/>
    <x v="49"/>
    <d v="2024-05-13T00:00:00"/>
    <s v="First Class"/>
    <s v="CUST-1026"/>
    <s v="MEERA JOSEPH"/>
    <x v="0"/>
    <s v="India"/>
    <s v="Lucknow"/>
    <s v="Uttar Pradesh"/>
    <x v="0"/>
    <n v="110001"/>
    <s v="P-782"/>
    <x v="1"/>
    <s v="Shirts"/>
    <s v="Cotton Casual Shirt"/>
    <n v="10213.33"/>
    <n v="7"/>
    <n v="0"/>
    <n v="2043"/>
    <s v="OK"/>
    <s v="OK"/>
  </r>
  <r>
    <n v="1461"/>
    <x v="460"/>
    <x v="190"/>
    <d v="2024-03-29T00:00:00"/>
    <s v="Standard Class"/>
    <s v="CUST-1051"/>
    <s v="ASHA KRISHNAN"/>
    <x v="0"/>
    <s v="India"/>
    <s v="Bengaluru"/>
    <s v="Karnataka"/>
    <x v="2"/>
    <n v="673001"/>
    <s v="P-143"/>
    <x v="0"/>
    <s v="Mobiles"/>
    <s v="Samsung Galaxy A55"/>
    <n v="76244.75"/>
    <n v="2"/>
    <n v="0"/>
    <n v="8334.2199999999993"/>
    <s v="OK"/>
    <s v="OK"/>
  </r>
  <r>
    <n v="1462"/>
    <x v="461"/>
    <x v="213"/>
    <d v="2024-07-10T00:00:00"/>
    <s v="Second Class"/>
    <s v="CUST-1021"/>
    <s v="SNEHA NAIR"/>
    <x v="1"/>
    <s v="India"/>
    <s v="Jaipur"/>
    <s v="Rajasthan"/>
    <x v="0"/>
    <n v="400001"/>
    <s v="P-733"/>
    <x v="1"/>
    <s v="Shoes"/>
    <s v="Running Shoes"/>
    <n v="12927.64"/>
    <n v="4"/>
    <n v="0.05"/>
    <n v="3233.32"/>
    <s v="OK"/>
    <s v="OK"/>
  </r>
  <r>
    <n v="1463"/>
    <x v="462"/>
    <x v="255"/>
    <d v="2024-02-03T00:00:00"/>
    <s v="Second Class"/>
    <s v="CUST-1090"/>
    <s v="VISHNU RAJ"/>
    <x v="2"/>
    <s v="India"/>
    <s v="Mumbai"/>
    <s v="Maharashtra"/>
    <x v="0"/>
    <n v="682001"/>
    <s v="P-599"/>
    <x v="4"/>
    <s v="Kitchen"/>
    <s v="Mixer Grinder"/>
    <n v="22922.39"/>
    <n v="4"/>
    <n v="0"/>
    <n v="2268.41"/>
    <s v="OK"/>
    <s v="OK"/>
  </r>
  <r>
    <n v="1464"/>
    <x v="463"/>
    <x v="66"/>
    <d v="2024-08-18T00:00:00"/>
    <s v="Second Class"/>
    <s v="CUST-1003"/>
    <s v="NIKHIL VARMA"/>
    <x v="2"/>
    <s v="India"/>
    <s v="Bengaluru"/>
    <s v="Karnataka"/>
    <x v="3"/>
    <n v="695001"/>
    <s v="P-841"/>
    <x v="2"/>
    <s v="Tables"/>
    <s v="Study Table"/>
    <n v="27734.07"/>
    <n v="5"/>
    <n v="0.2"/>
    <n v="849.34"/>
    <s v="OK"/>
    <s v="OK"/>
  </r>
  <r>
    <n v="1465"/>
    <x v="464"/>
    <x v="256"/>
    <d v="2024-10-16T00:00:00"/>
    <s v="Same Day"/>
    <s v="CUST-1025"/>
    <s v="DIYA MATHEW"/>
    <x v="2"/>
    <s v="India"/>
    <s v="Thiruvananthapuram"/>
    <s v="Kerala"/>
    <x v="2"/>
    <n v="600001"/>
    <s v="P-456"/>
    <x v="2"/>
    <s v="Chairs"/>
    <s v="Ergonomic Office Chair"/>
    <n v="18231.21"/>
    <n v="3"/>
    <n v="0.3"/>
    <n v="-560.85"/>
    <s v="OK"/>
    <s v="OK"/>
  </r>
  <r>
    <n v="1466"/>
    <x v="465"/>
    <x v="187"/>
    <d v="2024-02-10T00:00:00"/>
    <s v="Second Class"/>
    <s v="CUST-1058"/>
    <s v="ARJUN DAS"/>
    <x v="0"/>
    <s v="India"/>
    <s v="Mumbai"/>
    <s v="Maharashtra"/>
    <x v="1"/>
    <n v="600001"/>
    <s v="P-475"/>
    <x v="1"/>
    <s v="Shirts"/>
    <s v="Cotton Casual Shirt"/>
    <n v="6266.27"/>
    <n v="5"/>
    <n v="0.05"/>
    <n v="1591.15"/>
    <s v="OK"/>
    <s v="OK"/>
  </r>
  <r>
    <n v="1467"/>
    <x v="466"/>
    <x v="257"/>
    <d v="2024-01-15T00:00:00"/>
    <s v="First Class"/>
    <s v="CUST-1100"/>
    <s v="DIYA MATHEW"/>
    <x v="1"/>
    <s v="India"/>
    <s v="Ahmedabad"/>
    <s v="Gujarat"/>
    <x v="2"/>
    <n v="695001"/>
    <s v="P-838"/>
    <x v="0"/>
    <s v="Laptops"/>
    <s v="Dell Inspiron 15"/>
    <n v="159686.14000000001"/>
    <n v="3"/>
    <n v="0.05"/>
    <n v="12534.64"/>
    <s v="OK"/>
    <s v="OK"/>
  </r>
  <r>
    <n v="1468"/>
    <x v="467"/>
    <x v="164"/>
    <d v="2024-10-01T00:00:00"/>
    <s v="Same Day"/>
    <s v="CUST-1099"/>
    <s v="VISHNU RAJ"/>
    <x v="2"/>
    <s v="India"/>
    <s v="Kochi"/>
    <s v="Kerala"/>
    <x v="2"/>
    <n v="600001"/>
    <s v="P-389"/>
    <x v="3"/>
    <s v="Art"/>
    <s v="Marker Set"/>
    <n v="1620.17"/>
    <n v="5"/>
    <n v="0.1"/>
    <n v="193.82"/>
    <s v="OK"/>
    <s v="OK"/>
  </r>
  <r>
    <n v="1469"/>
    <x v="468"/>
    <x v="35"/>
    <d v="2024-01-25T00:00:00"/>
    <s v="Second Class"/>
    <s v="CUST-1112"/>
    <s v="AARAV NAIR"/>
    <x v="1"/>
    <s v="India"/>
    <s v="Mumbai"/>
    <s v="Maharashtra"/>
    <x v="2"/>
    <n v="673001"/>
    <s v="P-597"/>
    <x v="2"/>
    <s v="Bookcases"/>
    <s v="Wooden Bookshelf"/>
    <n v="5906.83"/>
    <n v="1"/>
    <n v="0"/>
    <n v="1140.8699999999999"/>
    <s v="OK"/>
    <s v="OK"/>
  </r>
  <r>
    <n v="1470"/>
    <x v="469"/>
    <x v="70"/>
    <d v="2024-12-06T00:00:00"/>
    <s v="First Class"/>
    <s v="CUST-1007"/>
    <s v="MEERA JOSEPH"/>
    <x v="0"/>
    <s v="India"/>
    <s v="Bengaluru"/>
    <s v="Karnataka"/>
    <x v="2"/>
    <n v="600001"/>
    <s v="P-835"/>
    <x v="0"/>
    <s v="Mobiles"/>
    <s v="Samsung Galaxy A55"/>
    <n v="76046.05"/>
    <n v="3"/>
    <n v="0.25"/>
    <n v="-4145.16"/>
    <s v="OK"/>
    <s v="OK"/>
  </r>
  <r>
    <n v="1471"/>
    <x v="470"/>
    <x v="133"/>
    <d v="2024-02-14T00:00:00"/>
    <s v="Standard Class"/>
    <s v="CUST-1047"/>
    <s v="VISHNU RAJ"/>
    <x v="2"/>
    <s v="India"/>
    <s v="Kochi"/>
    <s v="Kerala"/>
    <x v="3"/>
    <n v="110001"/>
    <s v="P-477"/>
    <x v="0"/>
    <s v="Laptops"/>
    <s v="Dell Inspiron 15"/>
    <n v="35084.1"/>
    <n v="1"/>
    <n v="0.3"/>
    <n v="-3062.93"/>
    <s v="OK"/>
    <s v="OK"/>
  </r>
  <r>
    <n v="1472"/>
    <x v="471"/>
    <x v="105"/>
    <d v="2024-02-09T00:00:00"/>
    <s v="Standard Class"/>
    <s v="CUST-1028"/>
    <s v="VISHNU RAJ"/>
    <x v="0"/>
    <s v="India"/>
    <s v="Bhubaneswar"/>
    <s v="Odisha"/>
    <x v="0"/>
    <n v="673001"/>
    <s v="P-842"/>
    <x v="1"/>
    <s v="Shirts"/>
    <s v="Cotton Casual Shirt"/>
    <n v="4301.75"/>
    <n v="3"/>
    <n v="0"/>
    <n v="1252.75"/>
    <s v="OK"/>
    <s v="OK"/>
  </r>
  <r>
    <n v="1473"/>
    <x v="472"/>
    <x v="258"/>
    <d v="2024-10-24T00:00:00"/>
    <s v="Second Class"/>
    <s v="CUST-1072"/>
    <s v="NIKHIL VARMA"/>
    <x v="0"/>
    <s v="India"/>
    <s v="Bengaluru"/>
    <s v="Karnataka"/>
    <x v="3"/>
    <n v="400001"/>
    <s v="P-208"/>
    <x v="3"/>
    <s v="Binders"/>
    <s v="Office Binder Pack"/>
    <n v="557.52"/>
    <n v="1"/>
    <n v="0.1"/>
    <n v="56.86"/>
    <s v="OK"/>
    <s v="OK"/>
  </r>
  <r>
    <n v="1474"/>
    <x v="473"/>
    <x v="250"/>
    <d v="2024-02-25T00:00:00"/>
    <s v="Second Class"/>
    <s v="CUST-1071"/>
    <s v="AMAL THOMAS"/>
    <x v="1"/>
    <s v="India"/>
    <s v="Bhubaneswar"/>
    <s v="Odisha"/>
    <x v="1"/>
    <n v="400001"/>
    <s v="P-261"/>
    <x v="3"/>
    <s v="Art"/>
    <s v="Marker Set"/>
    <n v="1073.77"/>
    <n v="4"/>
    <n v="0.25"/>
    <n v="48.32"/>
    <s v="OK"/>
    <s v="OK"/>
  </r>
  <r>
    <n v="1475"/>
    <x v="474"/>
    <x v="18"/>
    <d v="2024-10-11T00:00:00"/>
    <s v="First Class"/>
    <s v="CUST-1053"/>
    <s v="ASHA KRISHNAN"/>
    <x v="0"/>
    <s v="India"/>
    <s v="Delhi"/>
    <s v="Delhi"/>
    <x v="3"/>
    <n v="110001"/>
    <s v="P-843"/>
    <x v="3"/>
    <s v="Storage"/>
    <s v="Document Organizer"/>
    <n v="1610.93"/>
    <n v="2"/>
    <n v="0.2"/>
    <n v="118.26"/>
    <s v="OK"/>
    <s v="OK"/>
  </r>
  <r>
    <n v="1476"/>
    <x v="475"/>
    <x v="18"/>
    <d v="2024-10-14T00:00:00"/>
    <s v="First Class"/>
    <s v="CUST-1047"/>
    <s v="SNEHA NAIR"/>
    <x v="0"/>
    <s v="India"/>
    <s v="Mumbai"/>
    <s v="Maharashtra"/>
    <x v="3"/>
    <n v="560001"/>
    <s v="P-100"/>
    <x v="3"/>
    <s v="Storage"/>
    <s v="Document Organizer"/>
    <n v="2171.88"/>
    <n v="3"/>
    <n v="0.25"/>
    <n v="88.17"/>
    <s v="OK"/>
    <s v="OK"/>
  </r>
  <r>
    <n v="1477"/>
    <x v="476"/>
    <x v="259"/>
    <d v="2024-06-04T00:00:00"/>
    <s v="First Class"/>
    <s v="CUST-1029"/>
    <s v="FATHIMA ALI"/>
    <x v="2"/>
    <s v="India"/>
    <s v="Kolkata"/>
    <s v="West Bengal"/>
    <x v="1"/>
    <n v="673001"/>
    <s v="P-890"/>
    <x v="0"/>
    <s v="Laptops"/>
    <s v="Dell Inspiron 15"/>
    <n v="140502.39999999999"/>
    <n v="3"/>
    <n v="0.05"/>
    <n v="13145.19"/>
    <s v="OK"/>
    <s v="OK"/>
  </r>
  <r>
    <n v="1478"/>
    <x v="477"/>
    <x v="254"/>
    <d v="2024-02-19T00:00:00"/>
    <s v="Same Day"/>
    <s v="CUST-1046"/>
    <s v="RAHUL KUMAR"/>
    <x v="1"/>
    <s v="India"/>
    <s v="Hyderabad"/>
    <s v="Telangana"/>
    <x v="2"/>
    <n v="695001"/>
    <s v="P-475"/>
    <x v="1"/>
    <s v="Shirts"/>
    <s v="Cotton Casual Shirt"/>
    <n v="7876.29"/>
    <n v="6"/>
    <n v="0.05"/>
    <n v="1613"/>
    <s v="OK"/>
    <s v="OK"/>
  </r>
  <r>
    <n v="1479"/>
    <x v="478"/>
    <x v="84"/>
    <d v="2024-10-23T00:00:00"/>
    <s v="Second Class"/>
    <s v="CUST-1094"/>
    <s v="ANANYA MENON"/>
    <x v="0"/>
    <s v="India"/>
    <s v="Jaipur"/>
    <s v="Rajasthan"/>
    <x v="1"/>
    <n v="110001"/>
    <s v="P-594"/>
    <x v="0"/>
    <s v="Accessories"/>
    <s v="HP Wireless Keyboard"/>
    <n v="9027.24"/>
    <n v="5"/>
    <n v="0"/>
    <n v="768.07"/>
    <s v="OK"/>
    <s v="OK"/>
  </r>
  <r>
    <n v="1480"/>
    <x v="479"/>
    <x v="210"/>
    <d v="2024-11-06T00:00:00"/>
    <s v="First Class"/>
    <s v="CUST-1005"/>
    <s v="NIKHIL VARMA"/>
    <x v="1"/>
    <s v="India"/>
    <s v="Thiruvananthapuram"/>
    <s v="Kerala"/>
    <x v="3"/>
    <n v="673001"/>
    <s v="P-898"/>
    <x v="3"/>
    <s v="Paper"/>
    <s v="A4 Copier Paper"/>
    <n v="1703.89"/>
    <n v="4"/>
    <n v="0"/>
    <n v="381.34"/>
    <s v="OK"/>
    <s v="OK"/>
  </r>
  <r>
    <n v="1481"/>
    <x v="480"/>
    <x v="141"/>
    <d v="2024-08-02T00:00:00"/>
    <s v="Second Class"/>
    <s v="CUST-1096"/>
    <s v="ADIL KHAN"/>
    <x v="1"/>
    <s v="India"/>
    <s v="Kozhikode"/>
    <s v="Kerala"/>
    <x v="0"/>
    <n v="400001"/>
    <s v="P-896"/>
    <x v="4"/>
    <s v="Kitchen"/>
    <s v="Mixer Grinder"/>
    <n v="8119.26"/>
    <n v="2"/>
    <n v="0.25"/>
    <n v="-277.49"/>
    <s v="OK"/>
    <s v="OK"/>
  </r>
  <r>
    <n v="1482"/>
    <x v="481"/>
    <x v="260"/>
    <d v="2024-10-08T00:00:00"/>
    <s v="Second Class"/>
    <s v="CUST-1042"/>
    <s v="VISHNU RAJ"/>
    <x v="0"/>
    <s v="India"/>
    <s v="Lucknow"/>
    <s v="Uttar Pradesh"/>
    <x v="2"/>
    <n v="682001"/>
    <s v="P-151"/>
    <x v="2"/>
    <s v="Bookcases"/>
    <s v="Wooden Bookshelf"/>
    <n v="14734.17"/>
    <n v="3"/>
    <n v="0.2"/>
    <n v="417.56"/>
    <s v="OK"/>
    <s v="OK"/>
  </r>
  <r>
    <n v="1483"/>
    <x v="482"/>
    <x v="199"/>
    <d v="2024-04-27T00:00:00"/>
    <s v="First Class"/>
    <s v="CUST-1101"/>
    <s v="AMAL THOMAS"/>
    <x v="2"/>
    <s v="India"/>
    <s v="Lucknow"/>
    <s v="Uttar Pradesh"/>
    <x v="2"/>
    <n v="682001"/>
    <s v="P-444"/>
    <x v="1"/>
    <s v="Shirts"/>
    <s v="Cotton Casual Shirt"/>
    <n v="10821.34"/>
    <n v="8"/>
    <n v="0"/>
    <n v="2510.11"/>
    <s v="OK"/>
    <s v="OK"/>
  </r>
  <r>
    <n v="1484"/>
    <x v="483"/>
    <x v="130"/>
    <d v="2024-05-15T00:00:00"/>
    <s v="Same Day"/>
    <s v="CUST-1065"/>
    <s v="AMAL THOMAS"/>
    <x v="1"/>
    <s v="India"/>
    <s v="Kochi"/>
    <s v="Kerala"/>
    <x v="2"/>
    <n v="110001"/>
    <s v="P-238"/>
    <x v="3"/>
    <s v="Paper"/>
    <s v="A4 Copier Paper"/>
    <n v="349.33"/>
    <n v="1"/>
    <n v="0.25"/>
    <n v="11.77"/>
    <s v="OK"/>
    <s v="OK"/>
  </r>
  <r>
    <n v="1485"/>
    <x v="484"/>
    <x v="1"/>
    <d v="2024-10-19T00:00:00"/>
    <s v="Second Class"/>
    <s v="CUST-1032"/>
    <s v="ANANYA MENON"/>
    <x v="0"/>
    <s v="India"/>
    <s v="Ahmedabad"/>
    <s v="Gujarat"/>
    <x v="1"/>
    <n v="110001"/>
    <s v="P-540"/>
    <x v="3"/>
    <s v="Binders"/>
    <s v="Office Binder Pack"/>
    <n v="1182.43"/>
    <n v="2"/>
    <n v="0.1"/>
    <n v="157.72"/>
    <s v="OK"/>
    <s v="OK"/>
  </r>
  <r>
    <n v="1486"/>
    <x v="485"/>
    <x v="216"/>
    <d v="2024-08-07T00:00:00"/>
    <s v="First Class"/>
    <s v="CUST-1025"/>
    <s v="MEERA JOSEPH"/>
    <x v="2"/>
    <s v="India"/>
    <s v="Mumbai"/>
    <s v="Maharashtra"/>
    <x v="1"/>
    <n v="600001"/>
    <s v="P-771"/>
    <x v="3"/>
    <s v="Art"/>
    <s v="Marker Set"/>
    <n v="292.45999999999998"/>
    <n v="1"/>
    <n v="0.25"/>
    <n v="13.36"/>
    <s v="OK"/>
    <s v="OK"/>
  </r>
  <r>
    <n v="1487"/>
    <x v="486"/>
    <x v="78"/>
    <d v="2024-11-17T00:00:00"/>
    <s v="Same Day"/>
    <s v="CUST-1006"/>
    <s v="MUHAMMED SHAFI"/>
    <x v="0"/>
    <s v="India"/>
    <s v="Kozhikode"/>
    <s v="Kerala"/>
    <x v="2"/>
    <n v="682001"/>
    <s v="P-801"/>
    <x v="1"/>
    <s v="Shoes"/>
    <s v="Running Shoes"/>
    <n v="18586.830000000002"/>
    <n v="8"/>
    <n v="0.3"/>
    <n v="876.57"/>
    <s v="OK"/>
    <s v="OK"/>
  </r>
  <r>
    <n v="1488"/>
    <x v="487"/>
    <x v="232"/>
    <d v="2024-01-30T00:00:00"/>
    <s v="Second Class"/>
    <s v="CUST-1112"/>
    <s v="RIYA PAUL"/>
    <x v="1"/>
    <s v="India"/>
    <s v="Mumbai"/>
    <s v="Maharashtra"/>
    <x v="1"/>
    <n v="673001"/>
    <s v="P-451"/>
    <x v="0"/>
    <s v="Accessories"/>
    <s v="Logitech Wireless Mouse"/>
    <n v="5549.94"/>
    <n v="5"/>
    <n v="0"/>
    <n v="537.92999999999995"/>
    <s v="OK"/>
    <s v="OK"/>
  </r>
  <r>
    <n v="1489"/>
    <x v="488"/>
    <x v="228"/>
    <d v="2024-06-20T00:00:00"/>
    <s v="Second Class"/>
    <s v="CUST-1027"/>
    <s v="VISHNU RAJ"/>
    <x v="0"/>
    <s v="India"/>
    <s v="Kolkata"/>
    <s v="West Bengal"/>
    <x v="1"/>
    <n v="600001"/>
    <s v="P-594"/>
    <x v="1"/>
    <s v="Shoes"/>
    <s v="Running Shoes"/>
    <n v="6497.36"/>
    <n v="2"/>
    <n v="0"/>
    <n v="1260.02"/>
    <s v="OK"/>
    <s v="OK"/>
  </r>
  <r>
    <n v="1490"/>
    <x v="489"/>
    <x v="241"/>
    <d v="2024-07-16T00:00:00"/>
    <s v="Standard Class"/>
    <s v="CUST-1033"/>
    <s v="RAHUL KUMAR"/>
    <x v="2"/>
    <s v="India"/>
    <s v="Jaipur"/>
    <s v="Rajasthan"/>
    <x v="0"/>
    <n v="695001"/>
    <s v="P-305"/>
    <x v="1"/>
    <s v="Shirts"/>
    <s v="Cotton Casual Shirt"/>
    <n v="5596.74"/>
    <n v="4"/>
    <n v="0"/>
    <n v="1466.94"/>
    <s v="OK"/>
    <s v="OK"/>
  </r>
  <r>
    <n v="1491"/>
    <x v="490"/>
    <x v="128"/>
    <d v="2024-02-08T00:00:00"/>
    <s v="First Class"/>
    <s v="CUST-1085"/>
    <s v="RIYA PAUL"/>
    <x v="1"/>
    <s v="India"/>
    <s v="Bhubaneswar"/>
    <s v="Odisha"/>
    <x v="1"/>
    <n v="110001"/>
    <s v="P-210"/>
    <x v="1"/>
    <s v="Shirts"/>
    <s v="Cotton Casual Shirt"/>
    <n v="1362.87"/>
    <n v="1"/>
    <n v="0"/>
    <n v="386.87"/>
    <s v="OK"/>
    <s v="OK"/>
  </r>
  <r>
    <n v="1492"/>
    <x v="491"/>
    <x v="261"/>
    <d v="2024-07-18T00:00:00"/>
    <s v="Standard Class"/>
    <s v="CUST-1116"/>
    <s v="MEERA JOSEPH"/>
    <x v="2"/>
    <s v="India"/>
    <s v="Kozhikode"/>
    <s v="Kerala"/>
    <x v="3"/>
    <n v="110001"/>
    <s v="P-711"/>
    <x v="2"/>
    <s v="Chairs"/>
    <s v="Ergonomic Office Chair"/>
    <n v="21505.43"/>
    <n v="3"/>
    <n v="0.1"/>
    <n v="1609.02"/>
    <s v="OK"/>
    <s v="OK"/>
  </r>
  <r>
    <n v="1493"/>
    <x v="492"/>
    <x v="1"/>
    <d v="2024-10-20T00:00:00"/>
    <s v="Standard Class"/>
    <s v="CUST-1006"/>
    <s v="FATHIMA ALI"/>
    <x v="0"/>
    <s v="India"/>
    <s v="Delhi"/>
    <s v="Delhi"/>
    <x v="1"/>
    <n v="695001"/>
    <s v="P-601"/>
    <x v="0"/>
    <s v="Mobiles"/>
    <s v="Samsung Galaxy A55"/>
    <n v="78360.17"/>
    <n v="3"/>
    <n v="0.3"/>
    <n v="-6645.6"/>
    <s v="OK"/>
    <s v="OK"/>
  </r>
  <r>
    <n v="1494"/>
    <x v="493"/>
    <x v="16"/>
    <d v="2024-07-06T00:00:00"/>
    <s v="First Class"/>
    <s v="CUST-1031"/>
    <s v="VISHNU RAJ"/>
    <x v="0"/>
    <s v="India"/>
    <s v="Pune"/>
    <s v="Maharashtra"/>
    <x v="1"/>
    <n v="110001"/>
    <s v="P-163"/>
    <x v="1"/>
    <s v="Shirts"/>
    <s v="Cotton Casual Shirt"/>
    <n v="2307.52"/>
    <n v="2"/>
    <n v="0.2"/>
    <n v="267.88"/>
    <s v="OK"/>
    <s v="OK"/>
  </r>
  <r>
    <n v="1495"/>
    <x v="494"/>
    <x v="158"/>
    <d v="2024-10-14T00:00:00"/>
    <s v="Second Class"/>
    <s v="CUST-1020"/>
    <s v="MEERA JOSEPH"/>
    <x v="2"/>
    <s v="India"/>
    <s v="Lucknow"/>
    <s v="Uttar Pradesh"/>
    <x v="3"/>
    <n v="400001"/>
    <s v="P-240"/>
    <x v="2"/>
    <s v="Chairs"/>
    <s v="Ergonomic Office Chair"/>
    <n v="48930.64"/>
    <n v="6"/>
    <n v="0"/>
    <n v="9078.01"/>
    <s v="OK"/>
    <s v="OK"/>
  </r>
  <r>
    <n v="1496"/>
    <x v="495"/>
    <x v="141"/>
    <d v="2024-08-03T00:00:00"/>
    <s v="Second Class"/>
    <s v="CUST-1055"/>
    <s v="ARJUN DAS"/>
    <x v="0"/>
    <s v="India"/>
    <s v="Kochi"/>
    <s v="Kerala"/>
    <x v="1"/>
    <n v="560001"/>
    <s v="P-655"/>
    <x v="1"/>
    <s v="Shirts"/>
    <s v="Cotton Casual Shirt"/>
    <n v="9242.5400000000009"/>
    <n v="7"/>
    <n v="0.1"/>
    <n v="1876.32"/>
    <s v="OK"/>
    <s v="OK"/>
  </r>
  <r>
    <n v="1497"/>
    <x v="496"/>
    <x v="262"/>
    <d v="2024-03-14T00:00:00"/>
    <s v="Second Class"/>
    <s v="CUST-1056"/>
    <s v="MUHAMMAD RABEEH"/>
    <x v="1"/>
    <s v="India"/>
    <s v="Thiruvananthapuram"/>
    <s v="Kerala"/>
    <x v="2"/>
    <n v="400001"/>
    <s v="P-678"/>
    <x v="0"/>
    <s v="Accessories"/>
    <s v="HP Wireless Keyboard"/>
    <n v="4682.82"/>
    <n v="3"/>
    <n v="0.1"/>
    <n v="220.23"/>
    <s v="OK"/>
    <s v="OK"/>
  </r>
  <r>
    <n v="1498"/>
    <x v="497"/>
    <x v="159"/>
    <d v="2024-04-07T00:00:00"/>
    <s v="Second Class"/>
    <s v="CUST-1094"/>
    <s v="AARAV NAIR"/>
    <x v="0"/>
    <s v="India"/>
    <s v="Thiruvananthapuram"/>
    <s v="Kerala"/>
    <x v="1"/>
    <n v="560001"/>
    <s v="P-521"/>
    <x v="2"/>
    <s v="Tables"/>
    <s v="Study Table"/>
    <n v="21119.53"/>
    <n v="3"/>
    <n v="0"/>
    <n v="2689.08"/>
    <s v="OK"/>
    <s v="OK"/>
  </r>
  <r>
    <n v="1499"/>
    <x v="498"/>
    <x v="220"/>
    <d v="2024-03-20T00:00:00"/>
    <s v="Standard Class"/>
    <s v="CUST-1017"/>
    <s v="RAHUL KUMAR"/>
    <x v="1"/>
    <s v="India"/>
    <s v="Chennai"/>
    <s v="Tamil Nadu"/>
    <x v="0"/>
    <n v="110001"/>
    <s v="P-726"/>
    <x v="3"/>
    <s v="Paper"/>
    <s v="A4 Copier Paper"/>
    <n v="2040.2"/>
    <n v="5"/>
    <n v="0.15"/>
    <n v="171.15"/>
    <s v="OK"/>
    <s v="OK"/>
  </r>
  <r>
    <n v="1500"/>
    <x v="499"/>
    <x v="82"/>
    <d v="2024-05-04T00:00:00"/>
    <s v="Standard Class"/>
    <s v="CUST-1046"/>
    <s v="ANANYA MENON"/>
    <x v="1"/>
    <s v="India"/>
    <s v="Jaipur"/>
    <s v="Rajasthan"/>
    <x v="3"/>
    <n v="682001"/>
    <s v="P-614"/>
    <x v="2"/>
    <s v="Chairs"/>
    <s v="Ergonomic Office Chair"/>
    <n v="24603.27"/>
    <n v="3"/>
    <n v="0.1"/>
    <n v="2274.21"/>
    <s v="OK"/>
    <s v="OK"/>
  </r>
  <r>
    <n v="1501"/>
    <x v="500"/>
    <x v="202"/>
    <d v="2024-07-21T00:00:00"/>
    <s v="Same Day"/>
    <s v="CUST-1018"/>
    <s v="RAHUL KUMAR"/>
    <x v="0"/>
    <s v="India"/>
    <s v="Hyderabad"/>
    <s v="Telangana"/>
    <x v="2"/>
    <n v="682001"/>
    <s v="P-133"/>
    <x v="3"/>
    <s v="Storage"/>
    <s v="Document Organizer"/>
    <n v="999999.99"/>
    <n v="3"/>
    <n v="0.05"/>
    <n v="439.68"/>
    <s v="OK"/>
    <s v="OK"/>
  </r>
  <r>
    <n v="1502"/>
    <x v="501"/>
    <x v="199"/>
    <d v="2024-04-29T00:00:00"/>
    <s v="Second Class"/>
    <s v="CUST-1097"/>
    <s v="FATHIMA ALI"/>
    <x v="2"/>
    <s v="India"/>
    <s v="Pune"/>
    <s v="Maharashtra"/>
    <x v="0"/>
    <n v="682001"/>
    <s v="P-549"/>
    <x v="1"/>
    <s v="Shoes"/>
    <s v="Running Shoes"/>
    <n v="15259.27"/>
    <n v="6"/>
    <n v="0.25"/>
    <n v="1490.22"/>
    <s v="OK"/>
    <s v="OK"/>
  </r>
  <r>
    <n v="1503"/>
    <x v="502"/>
    <x v="263"/>
    <d v="2024-05-10T00:00:00"/>
    <s v="Same Day"/>
    <s v="CUST-1100"/>
    <s v="AARAV NAIR"/>
    <x v="0"/>
    <s v="India"/>
    <s v="Hyderabad"/>
    <s v="Telangana"/>
    <x v="3"/>
    <n v="400001"/>
    <s v="P-420"/>
    <x v="3"/>
    <s v="Storage"/>
    <s v="Document Organizer"/>
    <n v="1395.24"/>
    <n v="2"/>
    <n v="0.3"/>
    <n v="7.53"/>
    <s v="OK"/>
    <s v="OK"/>
  </r>
  <r>
    <n v="1504"/>
    <x v="503"/>
    <x v="264"/>
    <d v="2024-09-24T00:00:00"/>
    <s v="Same Day"/>
    <s v="CUST-1059"/>
    <s v="RIYA PAUL"/>
    <x v="2"/>
    <s v="India"/>
    <s v="Pune"/>
    <s v="Maharashtra"/>
    <x v="0"/>
    <n v="682001"/>
    <s v="P-631"/>
    <x v="3"/>
    <s v="Storage"/>
    <s v="Document Organizer"/>
    <n v="2937.68"/>
    <n v="3"/>
    <n v="0"/>
    <n v="690.12"/>
    <s v="OK"/>
    <s v="OK"/>
  </r>
  <r>
    <n v="1505"/>
    <x v="504"/>
    <x v="265"/>
    <d v="2024-09-27T00:00:00"/>
    <s v="Standard Class"/>
    <s v="CUST-1025"/>
    <s v="ARJUN DAS"/>
    <x v="2"/>
    <s v="India"/>
    <s v="Delhi"/>
    <s v="Delhi"/>
    <x v="3"/>
    <n v="560001"/>
    <s v="P-411"/>
    <x v="2"/>
    <s v="Bookcases"/>
    <s v="Wooden Bookshelf"/>
    <n v="4607.75"/>
    <n v="1"/>
    <n v="0.25"/>
    <n v="-11.46"/>
    <s v="OK"/>
    <s v="OK"/>
  </r>
  <r>
    <n v="1506"/>
    <x v="505"/>
    <x v="105"/>
    <d v="2024-11-10T00:00:00"/>
    <s v="Second Class"/>
    <s v="CUST-1060"/>
    <s v="RIYA PAUL"/>
    <x v="0"/>
    <s v="India"/>
    <s v="Bhubaneswar"/>
    <s v="Odisha"/>
    <x v="3"/>
    <n v="673001"/>
    <s v="P-839"/>
    <x v="4"/>
    <s v="Kitchen"/>
    <s v="Electric Kettle"/>
    <n v="1786.59"/>
    <n v="1"/>
    <n v="0.15"/>
    <n v="72.22"/>
    <s v="OK"/>
    <s v="OK"/>
  </r>
  <r>
    <n v="1507"/>
    <x v="506"/>
    <x v="139"/>
    <d v="2024-07-24T00:00:00"/>
    <s v="First Class"/>
    <s v="CUST-1058"/>
    <s v="AARAV NAIR"/>
    <x v="0"/>
    <s v="India"/>
    <s v="Delhi"/>
    <s v="Delhi"/>
    <x v="2"/>
    <n v="560001"/>
    <s v="P-704"/>
    <x v="0"/>
    <s v="Mobiles"/>
    <s v="Samsung Galaxy A55"/>
    <n v="109889.68"/>
    <n v="3"/>
    <n v="0.05"/>
    <n v="6555.23"/>
    <s v="OK"/>
    <s v="OK"/>
  </r>
  <r>
    <n v="1508"/>
    <x v="507"/>
    <x v="67"/>
    <d v="2024-06-20T00:00:00"/>
    <s v="Second Class"/>
    <s v="CUST-1092"/>
    <s v="NIKHIL VARMA"/>
    <x v="0"/>
    <s v="India"/>
    <s v="Kolkata"/>
    <s v="West Bengal"/>
    <x v="0"/>
    <n v="673001"/>
    <s v="P-216"/>
    <x v="4"/>
    <s v="Kitchen"/>
    <s v="Mixer Grinder"/>
    <n v="10184.32"/>
    <n v="2"/>
    <n v="0.15"/>
    <n v="401.37"/>
    <s v="OK"/>
    <s v="OK"/>
  </r>
  <r>
    <n v="1509"/>
    <x v="508"/>
    <x v="266"/>
    <d v="2024-09-23T00:00:00"/>
    <s v="Second Class"/>
    <s v="CUST-1049"/>
    <s v="VISHNU RAJ"/>
    <x v="1"/>
    <s v="India"/>
    <s v="Kolkata"/>
    <s v="West Bengal"/>
    <x v="3"/>
    <n v="673001"/>
    <s v="P-886"/>
    <x v="3"/>
    <s v="Paper"/>
    <s v="A4 Copier Paper"/>
    <n v="320.25"/>
    <n v="1"/>
    <n v="0.25"/>
    <n v="12.42"/>
    <s v="OK"/>
    <s v="OK"/>
  </r>
  <r>
    <n v="1510"/>
    <x v="509"/>
    <x v="5"/>
    <d v="2024-03-26T00:00:00"/>
    <s v="Second Class"/>
    <s v="CUST-1111"/>
    <s v="NIKHIL VARMA"/>
    <x v="0"/>
    <s v="India"/>
    <s v="Thiruvananthapuram"/>
    <s v="Kerala"/>
    <x v="0"/>
    <n v="560001"/>
    <s v="P-415"/>
    <x v="4"/>
    <s v="Kitchen"/>
    <s v="Mixer Grinder"/>
    <n v="35257.769999999997"/>
    <n v="6"/>
    <n v="0.05"/>
    <n v="2636.57"/>
    <s v="OK"/>
    <s v="OK"/>
  </r>
  <r>
    <n v="1511"/>
    <x v="510"/>
    <x v="267"/>
    <d v="2024-03-03T00:00:00"/>
    <s v="Second Class"/>
    <s v="CUST-1001"/>
    <s v="DIYA MATHEW"/>
    <x v="1"/>
    <s v="India"/>
    <s v="Chennai"/>
    <s v="Tamil Nadu"/>
    <x v="1"/>
    <n v="673001"/>
    <s v="P-569"/>
    <x v="1"/>
    <s v="Shirts"/>
    <s v="Cotton Casual Shirt"/>
    <n v="2744.02"/>
    <n v="2"/>
    <n v="0.05"/>
    <n v="536.35"/>
    <s v="OK"/>
    <s v="OK"/>
  </r>
  <r>
    <n v="1512"/>
    <x v="511"/>
    <x v="119"/>
    <d v="2024-05-03T00:00:00"/>
    <s v="Same Day"/>
    <s v="CUST-1059"/>
    <s v="AMAL THOMAS"/>
    <x v="0"/>
    <s v="India"/>
    <s v="Ahmedabad"/>
    <s v="Gujarat"/>
    <x v="3"/>
    <n v="673001"/>
    <s v="P-715"/>
    <x v="4"/>
    <s v="Kitchen"/>
    <s v="Electric Kettle"/>
    <n v="8222.86"/>
    <n v="5"/>
    <n v="0.3"/>
    <n v="-660.37"/>
    <s v="OK"/>
    <s v="OK"/>
  </r>
  <r>
    <n v="1513"/>
    <x v="512"/>
    <x v="268"/>
    <d v="2024-01-28T00:00:00"/>
    <s v="Second Class"/>
    <s v="CUST-1008"/>
    <s v="ADIL KHAN"/>
    <x v="0"/>
    <s v="India"/>
    <s v="Jaipur"/>
    <s v="Rajasthan"/>
    <x v="1"/>
    <n v="673001"/>
    <s v="P-248"/>
    <x v="0"/>
    <s v="Laptops"/>
    <s v="Dell Inspiron 15"/>
    <n v="150380"/>
    <n v="3"/>
    <n v="0.1"/>
    <n v="6679.85"/>
    <s v="OK"/>
    <s v="OK"/>
  </r>
  <r>
    <n v="1514"/>
    <x v="513"/>
    <x v="228"/>
    <d v="2024-06-19T00:00:00"/>
    <s v="Standard Class"/>
    <s v="CUST-1014"/>
    <s v="AMAL THOMAS"/>
    <x v="1"/>
    <s v="India"/>
    <s v="Hyderabad"/>
    <s v="Telangana"/>
    <x v="2"/>
    <n v="682001"/>
    <s v="P-788"/>
    <x v="0"/>
    <s v="Laptops"/>
    <s v="Dell Inspiron 15"/>
    <n v="233801.83"/>
    <n v="5"/>
    <n v="0.15"/>
    <n v="3426"/>
    <s v="OK"/>
    <s v="OK"/>
  </r>
  <r>
    <n v="1515"/>
    <x v="514"/>
    <x v="39"/>
    <d v="2024-08-27T00:00:00"/>
    <s v="First Class"/>
    <s v="CUST-1120"/>
    <s v="AARAV NAIR"/>
    <x v="1"/>
    <s v="India"/>
    <s v="Chennai"/>
    <s v="Tamil Nadu"/>
    <x v="0"/>
    <n v="110001"/>
    <s v="P-406"/>
    <x v="3"/>
    <s v="Storage"/>
    <s v="Document Organizer"/>
    <n v="3505.51"/>
    <n v="4"/>
    <n v="0.05"/>
    <n v="683.74"/>
    <s v="OK"/>
    <s v="OK"/>
  </r>
  <r>
    <n v="1516"/>
    <x v="515"/>
    <x v="18"/>
    <d v="2024-10-09T00:00:00"/>
    <s v="First Class"/>
    <s v="CUST-1061"/>
    <s v="RAHUL KUMAR"/>
    <x v="2"/>
    <s v="India"/>
    <s v="Mumbai"/>
    <s v="Maharashtra"/>
    <x v="0"/>
    <n v="400001"/>
    <s v="P-980"/>
    <x v="2"/>
    <s v="Tables"/>
    <s v="Study Table"/>
    <n v="24999.87"/>
    <n v="5"/>
    <n v="0.25"/>
    <n v="-65.510000000000005"/>
    <s v="OK"/>
    <s v="OK"/>
  </r>
  <r>
    <n v="1517"/>
    <x v="516"/>
    <x v="25"/>
    <d v="2024-11-10T00:00:00"/>
    <s v="Standard Class"/>
    <s v="CUST-1074"/>
    <s v="NIKHIL VARMA"/>
    <x v="0"/>
    <s v="India"/>
    <s v="Chennai"/>
    <s v="Tamil Nadu"/>
    <x v="0"/>
    <n v="560001"/>
    <s v="P-841"/>
    <x v="2"/>
    <s v="Tables"/>
    <s v="Study Table"/>
    <n v="18600.22"/>
    <n v="3"/>
    <n v="0.1"/>
    <n v="1431.79"/>
    <s v="OK"/>
    <s v="OK"/>
  </r>
  <r>
    <n v="1518"/>
    <x v="517"/>
    <x v="208"/>
    <d v="2024-08-11T00:00:00"/>
    <s v="First Class"/>
    <s v="CUST-1034"/>
    <s v="VISHNU RAJ"/>
    <x v="2"/>
    <s v="India"/>
    <s v="Kolkata"/>
    <s v="West Bengal"/>
    <x v="1"/>
    <n v="682001"/>
    <s v="P-729"/>
    <x v="3"/>
    <s v="Storage"/>
    <s v="Document Organizer"/>
    <n v="6022.74"/>
    <n v="8"/>
    <n v="0.15"/>
    <n v="677.92"/>
    <s v="OK"/>
    <s v="OK"/>
  </r>
  <r>
    <n v="1519"/>
    <x v="518"/>
    <x v="226"/>
    <d v="2024-04-07T00:00:00"/>
    <s v="Second Class"/>
    <s v="CUST-1091"/>
    <s v="ARJUN DAS"/>
    <x v="0"/>
    <s v="India"/>
    <s v="Jaipur"/>
    <s v="Rajasthan"/>
    <x v="2"/>
    <n v="673001"/>
    <s v="P-221"/>
    <x v="3"/>
    <s v="Paper"/>
    <s v="A4 Copier Paper"/>
    <n v="920.79"/>
    <n v="3"/>
    <n v="0.3"/>
    <n v="5.12"/>
    <s v="OK"/>
    <s v="OK"/>
  </r>
  <r>
    <n v="1520"/>
    <x v="519"/>
    <x v="55"/>
    <d v="2024-11-15T00:00:00"/>
    <s v="Same Day"/>
    <s v="CUST-1006"/>
    <s v="MEERA JOSEPH"/>
    <x v="1"/>
    <s v="India"/>
    <s v="Kozhikode"/>
    <s v="Kerala"/>
    <x v="1"/>
    <n v="600001"/>
    <s v="P-925"/>
    <x v="3"/>
    <s v="Paper"/>
    <s v="A4 Copier Paper"/>
    <n v="376.84"/>
    <n v="1"/>
    <n v="0.1"/>
    <n v="46.17"/>
    <s v="OK"/>
    <s v="OK"/>
  </r>
  <r>
    <n v="1521"/>
    <x v="520"/>
    <x v="269"/>
    <d v="2024-05-11T00:00:00"/>
    <s v="First Class"/>
    <s v="CUST-1039"/>
    <s v="VISHNU RAJ"/>
    <x v="0"/>
    <s v="India"/>
    <s v="Lucknow"/>
    <s v="Uttar Pradesh"/>
    <x v="1"/>
    <n v="110001"/>
    <s v="P-106"/>
    <x v="0"/>
    <s v="Accessories"/>
    <s v="HP Wireless Keyboard"/>
    <n v="1539.67"/>
    <n v="1"/>
    <n v="0.15"/>
    <n v="22.04"/>
    <s v="OK"/>
    <s v="OK"/>
  </r>
  <r>
    <n v="1522"/>
    <x v="521"/>
    <x v="105"/>
    <d v="2024-04-01T00:00:00"/>
    <s v="First Class"/>
    <s v="CUST-1107"/>
    <s v="MEERA JOSEPH"/>
    <x v="0"/>
    <s v="India"/>
    <s v="Kochi"/>
    <s v="Kerala"/>
    <x v="3"/>
    <n v="560001"/>
    <s v="P-916"/>
    <x v="3"/>
    <s v="Art"/>
    <s v="Marker Set"/>
    <n v="737.96"/>
    <n v="2"/>
    <n v="0"/>
    <n v="156.88"/>
    <s v="OK"/>
    <s v="OK"/>
  </r>
  <r>
    <n v="1523"/>
    <x v="522"/>
    <x v="160"/>
    <d v="2024-10-04T00:00:00"/>
    <s v="Same Day"/>
    <s v="CUST-1101"/>
    <s v="RIYA PAUL"/>
    <x v="0"/>
    <s v="India"/>
    <s v="Kozhikode"/>
    <s v="Kerala"/>
    <x v="3"/>
    <n v="400001"/>
    <s v="P-157"/>
    <x v="3"/>
    <s v="Art"/>
    <s v="Marker Set"/>
    <n v="282.43"/>
    <n v="1"/>
    <n v="0.3"/>
    <n v="1.49"/>
    <s v="OK"/>
    <s v="OK"/>
  </r>
  <r>
    <n v="1524"/>
    <x v="523"/>
    <x v="158"/>
    <d v="2024-10-16T00:00:00"/>
    <s v="Standard Class"/>
    <s v="CUST-1027"/>
    <s v="DIYA MATHEW"/>
    <x v="0"/>
    <s v="India"/>
    <s v="Hyderabad"/>
    <s v="Telangana"/>
    <x v="1"/>
    <n v="110001"/>
    <s v="P-914"/>
    <x v="3"/>
    <s v="Binders"/>
    <s v="Office Binder Pack"/>
    <n v="1991.13"/>
    <n v="4"/>
    <n v="0.2"/>
    <n v="106.23"/>
    <s v="OK"/>
    <s v="OK"/>
  </r>
  <r>
    <n v="1525"/>
    <x v="524"/>
    <x v="99"/>
    <d v="2024-06-26T00:00:00"/>
    <s v="Second Class"/>
    <s v="CUST-1074"/>
    <s v="DIYA MATHEW"/>
    <x v="2"/>
    <s v="India"/>
    <s v="Mumbai"/>
    <s v="Maharashtra"/>
    <x v="3"/>
    <n v="682001"/>
    <s v="P-709"/>
    <x v="0"/>
    <s v="Mobiles"/>
    <s v="Samsung Galaxy A55"/>
    <n v="76263.539999999994"/>
    <n v="2"/>
    <n v="0"/>
    <n v="6380.96"/>
    <s v="OK"/>
    <s v="OK"/>
  </r>
  <r>
    <n v="1526"/>
    <x v="525"/>
    <x v="72"/>
    <d v="2024-12-30T00:00:00"/>
    <s v="First Class"/>
    <s v="CUST-1053"/>
    <s v="ANANYA MENON"/>
    <x v="1"/>
    <s v="India"/>
    <s v="Kochi"/>
    <s v="Kerala"/>
    <x v="3"/>
    <n v="682001"/>
    <s v="P-480"/>
    <x v="4"/>
    <s v="Kitchen"/>
    <s v="Electric Kettle"/>
    <n v="3731.03"/>
    <n v="2"/>
    <n v="0.2"/>
    <n v="-149.24"/>
    <s v="OK"/>
    <s v="OK"/>
  </r>
  <r>
    <n v="1527"/>
    <x v="526"/>
    <x v="145"/>
    <d v="2024-03-31T00:00:00"/>
    <s v="First Class"/>
    <s v="CUST-1101"/>
    <s v="AARAV NAIR"/>
    <x v="2"/>
    <s v="India"/>
    <s v="Ahmedabad"/>
    <s v="Gujarat"/>
    <x v="2"/>
    <n v="673001"/>
    <s v="P-554"/>
    <x v="4"/>
    <s v="Kitchen"/>
    <s v="Electric Kettle"/>
    <n v="2001.37"/>
    <n v="1"/>
    <n v="0.15"/>
    <n v="74.760000000000005"/>
    <s v="OK"/>
    <s v="OK"/>
  </r>
  <r>
    <n v="1528"/>
    <x v="527"/>
    <x v="74"/>
    <d v="2024-04-10T00:00:00"/>
    <s v="Same Day"/>
    <s v="CUST-1094"/>
    <s v="RIYA PAUL"/>
    <x v="1"/>
    <s v="India"/>
    <s v="Delhi"/>
    <s v="Delhi"/>
    <x v="1"/>
    <n v="110001"/>
    <s v="P-435"/>
    <x v="0"/>
    <s v="Laptops"/>
    <s v="Dell Inspiron 15"/>
    <n v="320014.03000000003"/>
    <n v="6"/>
    <n v="0.05"/>
    <n v="22949.83"/>
    <s v="OK"/>
    <s v="OK"/>
  </r>
  <r>
    <n v="1529"/>
    <x v="528"/>
    <x v="173"/>
    <d v="2024-04-21T00:00:00"/>
    <s v="Standard Class"/>
    <s v="CUST-1059"/>
    <s v="AMAL THOMAS"/>
    <x v="2"/>
    <s v="India"/>
    <s v="Thiruvananthapuram"/>
    <s v="Kerala"/>
    <x v="0"/>
    <n v="673001"/>
    <s v="P-418"/>
    <x v="1"/>
    <s v="Shoes"/>
    <s v="Running Shoes"/>
    <n v="15849.8"/>
    <n v="5"/>
    <n v="0.05"/>
    <n v="3278.29"/>
    <s v="OK"/>
    <s v="OK"/>
  </r>
  <r>
    <n v="1530"/>
    <x v="529"/>
    <x v="105"/>
    <d v="2024-08-28T00:00:00"/>
    <s v="Standard Class"/>
    <s v="CUST-1067"/>
    <s v="ASHA KRISHNAN"/>
    <x v="1"/>
    <s v="India"/>
    <s v="Kozhikode"/>
    <s v="Kerala"/>
    <x v="1"/>
    <n v="673001"/>
    <s v="P-691"/>
    <x v="3"/>
    <s v="Art"/>
    <s v="Marker Set"/>
    <n v="1818.13"/>
    <n v="6"/>
    <n v="0"/>
    <n v="135.38"/>
    <s v="OK"/>
    <s v="OK"/>
  </r>
  <r>
    <n v="1531"/>
    <x v="530"/>
    <x v="270"/>
    <d v="2024-04-11T00:00:00"/>
    <s v="First Class"/>
    <s v="CUST-1069"/>
    <s v="MEERA JOSEPH"/>
    <x v="1"/>
    <s v="India"/>
    <s v="Bhubaneswar"/>
    <s v="Odisha"/>
    <x v="3"/>
    <n v="400001"/>
    <s v="P-220"/>
    <x v="2"/>
    <s v="Chairs"/>
    <s v="Ergonomic Office Chair"/>
    <n v="8107.38"/>
    <n v="1"/>
    <n v="0.1"/>
    <n v="956.62"/>
    <s v="OK"/>
    <s v="OK"/>
  </r>
  <r>
    <n v="1532"/>
    <x v="531"/>
    <x v="173"/>
    <d v="2024-04-20T00:00:00"/>
    <s v="First Class"/>
    <s v="CUST-1071"/>
    <s v="MEERA JOSEPH"/>
    <x v="0"/>
    <s v="India"/>
    <s v="Chennai"/>
    <s v="Tamil Nadu"/>
    <x v="1"/>
    <n v="682001"/>
    <s v="P-821"/>
    <x v="0"/>
    <s v="Accessories"/>
    <s v="Logitech Wireless Mouse"/>
    <n v="999999.99"/>
    <n v="1"/>
    <n v="0"/>
    <n v="132.01"/>
    <s v="OK"/>
    <s v="OK"/>
  </r>
  <r>
    <n v="1533"/>
    <x v="532"/>
    <x v="25"/>
    <d v="2024-11-12T00:00:00"/>
    <s v="Same Day"/>
    <s v="CUST-1007"/>
    <s v="RAHUL KUMAR"/>
    <x v="1"/>
    <s v="India"/>
    <s v="Bhubaneswar"/>
    <s v="Odisha"/>
    <x v="0"/>
    <n v="560001"/>
    <s v="P-791"/>
    <x v="2"/>
    <s v="Chairs"/>
    <s v="Ergonomic Office Chair"/>
    <n v="7134.09"/>
    <n v="1"/>
    <n v="0.15"/>
    <n v="498.85"/>
    <s v="OK"/>
    <s v="OK"/>
  </r>
  <r>
    <n v="1534"/>
    <x v="533"/>
    <x v="191"/>
    <d v="2024-04-07T00:00:00"/>
    <s v="Same Day"/>
    <s v="CUST-1079"/>
    <s v="MEERA JOSEPH"/>
    <x v="0"/>
    <s v="India"/>
    <s v="Kozhikode"/>
    <s v="Kerala"/>
    <x v="1"/>
    <n v="695001"/>
    <s v="P-937"/>
    <x v="0"/>
    <s v="Mobiles"/>
    <s v="Samsung Galaxy A55"/>
    <n v="25871.52"/>
    <n v="1"/>
    <n v="0.25"/>
    <n v="-1093.72"/>
    <s v="OK"/>
    <s v="OK"/>
  </r>
  <r>
    <n v="1535"/>
    <x v="534"/>
    <x v="38"/>
    <d v="2024-08-31T00:00:00"/>
    <s v="Second Class"/>
    <s v="CUST-1012"/>
    <s v="RIYA PAUL"/>
    <x v="1"/>
    <s v="India"/>
    <s v="Bengaluru"/>
    <s v="Karnataka"/>
    <x v="3"/>
    <n v="673001"/>
    <s v="P-566"/>
    <x v="1"/>
    <s v="Shirts"/>
    <s v="Cotton Casual Shirt"/>
    <n v="6837.18"/>
    <n v="5"/>
    <n v="0"/>
    <n v="1527.46"/>
    <s v="OK"/>
    <s v="OK"/>
  </r>
  <r>
    <n v="1536"/>
    <x v="535"/>
    <x v="82"/>
    <d v="2024-04-30T00:00:00"/>
    <s v="Second Class"/>
    <s v="CUST-1111"/>
    <s v="MUHAMMED SHAFI"/>
    <x v="1"/>
    <s v="India"/>
    <s v="Chennai"/>
    <s v="Tamil Nadu"/>
    <x v="1"/>
    <n v="695001"/>
    <s v="P-501"/>
    <x v="3"/>
    <s v="Art"/>
    <s v="Marker Set"/>
    <n v="1029.32"/>
    <n v="4"/>
    <n v="0.3"/>
    <n v="4.46"/>
    <s v="OK"/>
    <s v="OK"/>
  </r>
  <r>
    <n v="1537"/>
    <x v="536"/>
    <x v="151"/>
    <d v="2024-08-24T00:00:00"/>
    <s v="Standard Class"/>
    <s v="CUST-1009"/>
    <s v="SNEHA NAIR"/>
    <x v="2"/>
    <s v="India"/>
    <s v="Thiruvananthapuram"/>
    <s v="Kerala"/>
    <x v="0"/>
    <n v="695001"/>
    <s v="P-590"/>
    <x v="1"/>
    <s v="Shirts"/>
    <s v="Cotton Casual Shirt"/>
    <n v="2075.89"/>
    <n v="2"/>
    <n v="0.2"/>
    <n v="189.06"/>
    <s v="OK"/>
    <s v="OK"/>
  </r>
  <r>
    <n v="1538"/>
    <x v="537"/>
    <x v="8"/>
    <d v="2024-09-18T00:00:00"/>
    <s v="Same Day"/>
    <s v="CUST-1105"/>
    <s v="NIKHIL VARMA"/>
    <x v="0"/>
    <s v="India"/>
    <s v="Ahmedabad"/>
    <s v="Gujarat"/>
    <x v="0"/>
    <n v="695001"/>
    <s v="P-669"/>
    <x v="4"/>
    <s v="Kitchen"/>
    <s v="Electric Kettle"/>
    <n v="9012.3799999999992"/>
    <n v="4"/>
    <n v="0.05"/>
    <n v="846.97"/>
    <s v="OK"/>
    <s v="OK"/>
  </r>
  <r>
    <n v="1539"/>
    <x v="538"/>
    <x v="235"/>
    <d v="2024-11-02T00:00:00"/>
    <s v="Second Class"/>
    <s v="CUST-1080"/>
    <s v="FATHIMA ALI"/>
    <x v="1"/>
    <s v="India"/>
    <s v="Lucknow"/>
    <s v="Uttar Pradesh"/>
    <x v="2"/>
    <n v="560001"/>
    <s v="P-493"/>
    <x v="0"/>
    <s v="Mobiles"/>
    <s v="Samsung Galaxy A55"/>
    <n v="79500.87"/>
    <n v="3"/>
    <n v="0.25"/>
    <n v="-4548.7"/>
    <s v="OK"/>
    <s v="OK"/>
  </r>
  <r>
    <n v="1540"/>
    <x v="539"/>
    <x v="271"/>
    <d v="2024-08-15T00:00:00"/>
    <s v="First Class"/>
    <s v="CUST-1070"/>
    <s v="NIKHIL VARMA"/>
    <x v="0"/>
    <s v="India"/>
    <s v="Kochi"/>
    <s v="Kerala"/>
    <x v="2"/>
    <n v="682001"/>
    <s v="P-778"/>
    <x v="2"/>
    <s v="Tables"/>
    <s v="Study Table"/>
    <n v="20626.29"/>
    <n v="4"/>
    <n v="0.25"/>
    <n v="-63.17"/>
    <s v="OK"/>
    <s v="OK"/>
  </r>
  <r>
    <n v="1541"/>
    <x v="540"/>
    <x v="98"/>
    <d v="2024-03-04T00:00:00"/>
    <s v="Same Day"/>
    <s v="CUST-1042"/>
    <s v="VISHNU RAJ"/>
    <x v="1"/>
    <s v="India"/>
    <s v="Lucknow"/>
    <s v="Uttar Pradesh"/>
    <x v="0"/>
    <n v="110001"/>
    <s v="P-555"/>
    <x v="0"/>
    <s v="Mobiles"/>
    <s v="Samsung Galaxy A55"/>
    <n v="105418.17"/>
    <n v="4"/>
    <n v="0.3"/>
    <n v="-7120.99"/>
    <s v="OK"/>
    <s v="OK"/>
  </r>
  <r>
    <n v="1542"/>
    <x v="541"/>
    <x v="136"/>
    <d v="2024-12-21T00:00:00"/>
    <s v="Same Day"/>
    <s v="CUST-1042"/>
    <s v="SNEHA NAIR"/>
    <x v="2"/>
    <s v="India"/>
    <s v="Thiruvananthapuram"/>
    <s v="Kerala"/>
    <x v="0"/>
    <n v="673001"/>
    <s v="P-322"/>
    <x v="2"/>
    <s v="Chairs"/>
    <s v="Ergonomic Office Chair"/>
    <n v="8387.91"/>
    <n v="1"/>
    <n v="0"/>
    <n v="1596.47"/>
    <s v="OK"/>
    <s v="OK"/>
  </r>
  <r>
    <n v="1543"/>
    <x v="542"/>
    <x v="272"/>
    <d v="2024-03-22T00:00:00"/>
    <s v="Second Class"/>
    <s v="CUST-1058"/>
    <s v="VISHNU RAJ"/>
    <x v="2"/>
    <s v="India"/>
    <s v="Hyderabad"/>
    <s v="Telangana"/>
    <x v="1"/>
    <n v="560001"/>
    <s v="P-730"/>
    <x v="0"/>
    <s v="Accessories"/>
    <s v="Logitech Wireless Mouse"/>
    <n v="7712.33"/>
    <n v="6"/>
    <n v="0"/>
    <n v="834.53"/>
    <s v="OK"/>
    <s v="OK"/>
  </r>
  <r>
    <n v="1544"/>
    <x v="543"/>
    <x v="36"/>
    <d v="2024-06-07T00:00:00"/>
    <s v="First Class"/>
    <s v="CUST-1118"/>
    <s v="MUHAMMED SHAFI"/>
    <x v="0"/>
    <s v="India"/>
    <s v="Jaipur"/>
    <s v="Rajasthan"/>
    <x v="3"/>
    <n v="400001"/>
    <s v="P-452"/>
    <x v="3"/>
    <s v="Paper"/>
    <s v="A4 Copier Paper"/>
    <n v="1466.13"/>
    <n v="4"/>
    <n v="0.2"/>
    <n v="85.54"/>
    <s v="OK"/>
    <s v="OK"/>
  </r>
  <r>
    <n v="1545"/>
    <x v="544"/>
    <x v="12"/>
    <d v="2024-03-09T00:00:00"/>
    <s v="Standard Class"/>
    <s v="CUST-1048"/>
    <s v="MUHAMMED SHAFI"/>
    <x v="0"/>
    <s v="India"/>
    <s v="Kochi"/>
    <s v="Kerala"/>
    <x v="0"/>
    <n v="673001"/>
    <s v="P-820"/>
    <x v="3"/>
    <s v="Storage"/>
    <s v="Document Organizer"/>
    <n v="6147.95"/>
    <n v="10"/>
    <n v="0.25"/>
    <n v="199.62"/>
    <s v="OK"/>
    <s v="OK"/>
  </r>
  <r>
    <n v="1546"/>
    <x v="545"/>
    <x v="198"/>
    <d v="2024-01-18T00:00:00"/>
    <s v="Same Day"/>
    <s v="CUST-1090"/>
    <s v="DIYA MATHEW"/>
    <x v="2"/>
    <s v="India"/>
    <s v="Delhi"/>
    <s v="Delhi"/>
    <x v="3"/>
    <n v="400001"/>
    <s v="P-425"/>
    <x v="4"/>
    <s v="Kitchen"/>
    <s v="Electric Kettle"/>
    <n v="2002.47"/>
    <n v="1"/>
    <n v="0.15"/>
    <n v="69.95"/>
    <s v="OK"/>
    <s v="OK"/>
  </r>
  <r>
    <n v="1547"/>
    <x v="546"/>
    <x v="273"/>
    <d v="2024-12-07T00:00:00"/>
    <s v="Same Day"/>
    <s v="CUST-1018"/>
    <s v="FATHIMA ALI"/>
    <x v="0"/>
    <s v="India"/>
    <s v="Kolkata"/>
    <s v="West Bengal"/>
    <x v="3"/>
    <n v="110001"/>
    <s v="P-468"/>
    <x v="2"/>
    <s v="Bookcases"/>
    <s v="Wooden Bookshelf"/>
    <n v="11718.58"/>
    <n v="2"/>
    <n v="0.1"/>
    <n v="1120.33"/>
    <s v="OK"/>
    <s v="OK"/>
  </r>
  <r>
    <n v="1548"/>
    <x v="547"/>
    <x v="214"/>
    <d v="2024-03-10T00:00:00"/>
    <s v="Standard Class"/>
    <s v="CUST-1083"/>
    <s v="AARAV NAIR"/>
    <x v="0"/>
    <s v="India"/>
    <s v="Hyderabad"/>
    <s v="Telangana"/>
    <x v="2"/>
    <n v="400001"/>
    <s v="P-598"/>
    <x v="2"/>
    <s v="Bookcases"/>
    <s v="Wooden Bookshelf"/>
    <n v="46543.96"/>
    <n v="8"/>
    <n v="0.05"/>
    <n v="4974.5600000000004"/>
    <s v="OK"/>
    <s v="OK"/>
  </r>
  <r>
    <n v="1549"/>
    <x v="548"/>
    <x v="33"/>
    <d v="2024-11-28T00:00:00"/>
    <s v="Same Day"/>
    <s v="CUST-1115"/>
    <s v="ASHA KRISHNAN"/>
    <x v="2"/>
    <s v="India"/>
    <s v="Lucknow"/>
    <s v="Uttar Pradesh"/>
    <x v="3"/>
    <n v="600001"/>
    <s v="P-284"/>
    <x v="2"/>
    <s v="Bookcases"/>
    <s v="Wooden Bookshelf"/>
    <n v="5808.09"/>
    <n v="1"/>
    <n v="0.05"/>
    <n v="624.42999999999995"/>
    <s v="OK"/>
    <s v="OK"/>
  </r>
  <r>
    <n v="1550"/>
    <x v="549"/>
    <x v="16"/>
    <d v="2024-07-02T00:00:00"/>
    <s v="Second Class"/>
    <s v="CUST-1055"/>
    <s v="DIYA MATHEW"/>
    <x v="0"/>
    <s v="India"/>
    <s v="Ahmedabad"/>
    <s v="Gujarat"/>
    <x v="0"/>
    <n v="600001"/>
    <s v="P-610"/>
    <x v="3"/>
    <s v="Binders"/>
    <s v="Office Binder Pack"/>
    <n v="2546.54"/>
    <n v="5"/>
    <n v="0.25"/>
    <n v="88.34"/>
    <s v="OK"/>
    <s v="OK"/>
  </r>
  <r>
    <n v="1551"/>
    <x v="550"/>
    <x v="126"/>
    <d v="2024-10-11T00:00:00"/>
    <s v="First Class"/>
    <s v="CUST-1005"/>
    <s v="AARAV NAIR"/>
    <x v="0"/>
    <s v="India"/>
    <s v="Hyderabad"/>
    <s v="Telangana"/>
    <x v="3"/>
    <n v="400001"/>
    <s v="P-477"/>
    <x v="1"/>
    <s v="Shirts"/>
    <s v="Cotton Casual Shirt"/>
    <n v="2927.15"/>
    <n v="3"/>
    <n v="0.25"/>
    <n v="316.2"/>
    <s v="OK"/>
    <s v="OK"/>
  </r>
  <r>
    <n v="1552"/>
    <x v="551"/>
    <x v="77"/>
    <d v="2024-09-29T00:00:00"/>
    <s v="Same Day"/>
    <s v="CUST-1111"/>
    <s v="ANANYA MENON"/>
    <x v="0"/>
    <s v="India"/>
    <s v="Kochi"/>
    <s v="Kerala"/>
    <x v="0"/>
    <n v="682001"/>
    <s v="P-583"/>
    <x v="3"/>
    <s v="Storage"/>
    <s v="Document Organizer"/>
    <n v="3831.67"/>
    <n v="4"/>
    <n v="0.05"/>
    <n v="779.07"/>
    <s v="OK"/>
    <s v="OK"/>
  </r>
  <r>
    <n v="1553"/>
    <x v="552"/>
    <x v="25"/>
    <d v="2024-11-10T00:00:00"/>
    <s v="First Class"/>
    <s v="CUST-1069"/>
    <s v="ASHA KRISHNAN"/>
    <x v="1"/>
    <s v="India"/>
    <s v="Lucknow"/>
    <s v="Uttar Pradesh"/>
    <x v="0"/>
    <n v="560001"/>
    <s v="P-564"/>
    <x v="1"/>
    <s v="Shirts"/>
    <s v="Cotton Casual Shirt"/>
    <n v="5136.92"/>
    <n v="4"/>
    <n v="0.15"/>
    <n v="655.65"/>
    <s v="OK"/>
    <s v="OK"/>
  </r>
  <r>
    <n v="1554"/>
    <x v="553"/>
    <x v="274"/>
    <d v="2024-07-02T00:00:00"/>
    <s v="First Class"/>
    <s v="CUST-1022"/>
    <s v="AARAV NAIR"/>
    <x v="0"/>
    <s v="India"/>
    <s v="Delhi"/>
    <s v="Delhi"/>
    <x v="1"/>
    <n v="400001"/>
    <s v="P-903"/>
    <x v="4"/>
    <s v="Kitchen"/>
    <s v="Mixer Grinder"/>
    <n v="17111.14"/>
    <n v="4"/>
    <n v="0.25"/>
    <n v="-627.91999999999996"/>
    <s v="OK"/>
    <s v="OK"/>
  </r>
  <r>
    <n v="1555"/>
    <x v="554"/>
    <x v="129"/>
    <d v="2024-10-21T00:00:00"/>
    <s v="First Class"/>
    <s v="CUST-1104"/>
    <s v="NIKHIL VARMA"/>
    <x v="0"/>
    <s v="India"/>
    <s v="Jaipur"/>
    <s v="Rajasthan"/>
    <x v="0"/>
    <n v="695001"/>
    <s v="P-596"/>
    <x v="2"/>
    <s v="Chairs"/>
    <s v="Ergonomic Office Chair"/>
    <n v="24984.78"/>
    <n v="3"/>
    <n v="0.05"/>
    <n v="2634.29"/>
    <s v="OK"/>
    <s v="OK"/>
  </r>
  <r>
    <n v="1556"/>
    <x v="555"/>
    <x v="49"/>
    <d v="2024-05-11T00:00:00"/>
    <s v="First Class"/>
    <s v="CUST-1036"/>
    <s v="RIYA PAUL"/>
    <x v="0"/>
    <s v="India"/>
    <s v="Kochi"/>
    <s v="Kerala"/>
    <x v="1"/>
    <n v="673001"/>
    <s v="P-859"/>
    <x v="0"/>
    <s v="Accessories"/>
    <s v="Logitech Wireless Mouse"/>
    <n v="5357.72"/>
    <n v="5"/>
    <n v="0.15"/>
    <n v="57.74"/>
    <s v="OK"/>
    <s v="OK"/>
  </r>
  <r>
    <n v="1557"/>
    <x v="556"/>
    <x v="95"/>
    <d v="2024-12-07T00:00:00"/>
    <s v="First Class"/>
    <s v="CUST-1104"/>
    <s v="RAHUL KUMAR"/>
    <x v="0"/>
    <s v="India"/>
    <s v="Kochi"/>
    <s v="Kerala"/>
    <x v="1"/>
    <n v="110001"/>
    <s v="P-817"/>
    <x v="3"/>
    <s v="Storage"/>
    <s v="Document Organizer"/>
    <n v="2587.86"/>
    <n v="3"/>
    <n v="0.05"/>
    <n v="441.48"/>
    <s v="OK"/>
    <s v="OK"/>
  </r>
  <r>
    <n v="1558"/>
    <x v="557"/>
    <x v="275"/>
    <d v="2024-06-25T00:00:00"/>
    <s v="Second Class"/>
    <s v="CUST-1077"/>
    <s v="MUHAMMED SHAFI"/>
    <x v="0"/>
    <s v="India"/>
    <s v="Bengaluru"/>
    <s v="Karnataka"/>
    <x v="2"/>
    <n v="110001"/>
    <s v="P-607"/>
    <x v="3"/>
    <s v="Paper"/>
    <s v="A4 Copier Paper"/>
    <n v="1370.08"/>
    <n v="3"/>
    <n v="0"/>
    <n v="284.99"/>
    <s v="OK"/>
    <s v="OK"/>
  </r>
  <r>
    <n v="1559"/>
    <x v="558"/>
    <x v="276"/>
    <d v="2024-11-24T00:00:00"/>
    <s v="Second Class"/>
    <s v="CUST-1074"/>
    <s v="NIKHIL VARMA"/>
    <x v="1"/>
    <s v="India"/>
    <s v="Bhubaneswar"/>
    <s v="Odisha"/>
    <x v="1"/>
    <n v="673001"/>
    <s v="P-757"/>
    <x v="2"/>
    <s v="Bookcases"/>
    <s v="Wooden Bookshelf"/>
    <n v="4187.18"/>
    <n v="1"/>
    <n v="0.3"/>
    <n v="-174.21"/>
    <s v="OK"/>
    <s v="OK"/>
  </r>
  <r>
    <n v="1560"/>
    <x v="559"/>
    <x v="277"/>
    <d v="2024-07-27T00:00:00"/>
    <s v="First Class"/>
    <s v="CUST-1061"/>
    <s v="NIKHIL VARMA"/>
    <x v="1"/>
    <s v="India"/>
    <s v="Chennai"/>
    <s v="Tamil Nadu"/>
    <x v="2"/>
    <n v="560001"/>
    <s v="P-799"/>
    <x v="1"/>
    <s v="Shoes"/>
    <s v="Running Shoes"/>
    <n v="2155.9899999999998"/>
    <n v="1"/>
    <n v="0.3"/>
    <n v="96.61"/>
    <s v="OK"/>
    <s v="OK"/>
  </r>
  <r>
    <n v="1561"/>
    <x v="560"/>
    <x v="169"/>
    <d v="2024-01-10T00:00:00"/>
    <s v="Same Day"/>
    <s v="CUST-1049"/>
    <s v="ADIL KHAN"/>
    <x v="0"/>
    <s v="India"/>
    <s v="Kolkata"/>
    <s v="West Bengal"/>
    <x v="1"/>
    <n v="600001"/>
    <s v="P-799"/>
    <x v="2"/>
    <s v="Bookcases"/>
    <s v="Wooden Bookshelf"/>
    <n v="5098.5600000000004"/>
    <n v="1"/>
    <n v="0.25"/>
    <n v="-15.65"/>
    <s v="OK"/>
    <s v="OK"/>
  </r>
  <r>
    <n v="1562"/>
    <x v="561"/>
    <x v="278"/>
    <d v="2024-11-14T00:00:00"/>
    <s v="First Class"/>
    <s v="CUST-1043"/>
    <s v="ARJUN DAS"/>
    <x v="2"/>
    <s v="India"/>
    <s v="Kozhikode"/>
    <s v="Kerala"/>
    <x v="1"/>
    <n v="110001"/>
    <s v="P-200"/>
    <x v="0"/>
    <s v="Mobiles"/>
    <s v="Samsung Galaxy A55"/>
    <n v="85693.17"/>
    <n v="3"/>
    <n v="0.25"/>
    <n v="-5195.13"/>
    <s v="OK"/>
    <s v="OK"/>
  </r>
  <r>
    <n v="1563"/>
    <x v="562"/>
    <x v="279"/>
    <d v="2024-12-15T00:00:00"/>
    <s v="Second Class"/>
    <s v="CUST-1067"/>
    <s v="MEERA JOSEPH"/>
    <x v="1"/>
    <s v="India"/>
    <s v="Chennai"/>
    <s v="Tamil Nadu"/>
    <x v="2"/>
    <n v="695001"/>
    <s v="P-660"/>
    <x v="3"/>
    <s v="Art"/>
    <s v="Marker Set"/>
    <n v="700.99"/>
    <n v="2"/>
    <n v="0.1"/>
    <n v="97.04"/>
    <s v="OK"/>
    <s v="OK"/>
  </r>
  <r>
    <n v="1564"/>
    <x v="563"/>
    <x v="249"/>
    <d v="2024-02-25T00:00:00"/>
    <s v="Standard Class"/>
    <s v="CUST-1088"/>
    <s v="SNEHA NAIR"/>
    <x v="0"/>
    <s v="India"/>
    <s v="Kozhikode"/>
    <s v="Kerala"/>
    <x v="1"/>
    <n v="682001"/>
    <s v="P-842"/>
    <x v="3"/>
    <s v="Art"/>
    <s v="Marker Set"/>
    <n v="266.17"/>
    <n v="1"/>
    <n v="0.25"/>
    <n v="9.52"/>
    <s v="OK"/>
    <s v="OK"/>
  </r>
  <r>
    <n v="1565"/>
    <x v="564"/>
    <x v="21"/>
    <d v="2024-02-04T00:00:00"/>
    <s v="Second Class"/>
    <s v="CUST-1077"/>
    <s v="ADIL KHAN"/>
    <x v="0"/>
    <s v="India"/>
    <s v="Chennai"/>
    <s v="Tamil Nadu"/>
    <x v="0"/>
    <n v="400001"/>
    <s v="P-222"/>
    <x v="2"/>
    <s v="Chairs"/>
    <s v="Ergonomic Office Chair"/>
    <n v="8326.86"/>
    <n v="1"/>
    <n v="0"/>
    <n v="1172.26"/>
    <s v="OK"/>
    <s v="OK"/>
  </r>
  <r>
    <n v="1566"/>
    <x v="565"/>
    <x v="280"/>
    <d v="2024-03-03T00:00:00"/>
    <s v="Second Class"/>
    <s v="CUST-1033"/>
    <s v="ARJUN DAS"/>
    <x v="1"/>
    <s v="India"/>
    <s v="Kochi"/>
    <s v="Kerala"/>
    <x v="3"/>
    <n v="400001"/>
    <s v="P-177"/>
    <x v="4"/>
    <s v="Kitchen"/>
    <s v="Electric Kettle"/>
    <n v="4329.42"/>
    <n v="2"/>
    <n v="0.05"/>
    <n v="421.25"/>
    <s v="OK"/>
    <s v="OK"/>
  </r>
  <r>
    <n v="1567"/>
    <x v="566"/>
    <x v="281"/>
    <d v="2024-12-26T00:00:00"/>
    <s v="First Class"/>
    <s v="CUST-1033"/>
    <s v="RAHUL KUMAR"/>
    <x v="2"/>
    <s v="India"/>
    <s v="Lucknow"/>
    <s v="Uttar Pradesh"/>
    <x v="0"/>
    <n v="695001"/>
    <s v="P-895"/>
    <x v="3"/>
    <s v="Paper"/>
    <s v="A4 Copier Paper"/>
    <n v="629.75"/>
    <n v="2"/>
    <n v="0.25"/>
    <n v="20.309999999999999"/>
    <s v="OK"/>
    <s v="OK"/>
  </r>
  <r>
    <n v="1568"/>
    <x v="567"/>
    <x v="7"/>
    <d v="2024-05-17T00:00:00"/>
    <s v="Same Day"/>
    <s v="CUST-1009"/>
    <s v="SNEHA NAIR"/>
    <x v="0"/>
    <s v="India"/>
    <s v="Kozhikode"/>
    <s v="Kerala"/>
    <x v="2"/>
    <n v="600001"/>
    <s v="P-502"/>
    <x v="2"/>
    <s v="Bookcases"/>
    <s v="Wooden Bookshelf"/>
    <n v="44796.07"/>
    <n v="8"/>
    <n v="0.15"/>
    <n v="2206.39"/>
    <s v="OK"/>
    <s v="OK"/>
  </r>
  <r>
    <n v="1569"/>
    <x v="568"/>
    <x v="92"/>
    <d v="2024-04-26T00:00:00"/>
    <s v="Standard Class"/>
    <s v="CUST-1117"/>
    <s v="SNEHA NAIR"/>
    <x v="0"/>
    <s v="India"/>
    <s v="Thiruvananthapuram"/>
    <s v="Kerala"/>
    <x v="1"/>
    <n v="673001"/>
    <s v="P-135"/>
    <x v="3"/>
    <s v="Art"/>
    <s v="Marker Set"/>
    <n v="301.02"/>
    <n v="1"/>
    <n v="0.25"/>
    <n v="11.26"/>
    <s v="OK"/>
    <s v="OK"/>
  </r>
  <r>
    <n v="1570"/>
    <x v="569"/>
    <x v="257"/>
    <d v="2024-01-14T00:00:00"/>
    <s v="Second Class"/>
    <s v="CUST-1084"/>
    <s v="ADIL KHAN"/>
    <x v="1"/>
    <s v="India"/>
    <s v="Kochi"/>
    <s v="Kerala"/>
    <x v="0"/>
    <n v="673001"/>
    <s v="P-780"/>
    <x v="0"/>
    <s v="Mobiles"/>
    <s v="Samsung Galaxy A55"/>
    <n v="50243.45"/>
    <n v="2"/>
    <n v="0.3"/>
    <n v="-4468.0200000000004"/>
    <s v="OK"/>
    <s v="OK"/>
  </r>
  <r>
    <n v="1571"/>
    <x v="570"/>
    <x v="203"/>
    <d v="2024-10-22T00:00:00"/>
    <s v="Same Day"/>
    <s v="CUST-1062"/>
    <s v="AMAL THOMAS"/>
    <x v="0"/>
    <s v="India"/>
    <s v="Pune"/>
    <s v="Maharashtra"/>
    <x v="3"/>
    <n v="110001"/>
    <s v="P-845"/>
    <x v="2"/>
    <s v="Chairs"/>
    <s v="Ergonomic Office Chair"/>
    <n v="13412.35"/>
    <n v="2"/>
    <n v="0.25"/>
    <n v="-30.98"/>
    <s v="OK"/>
    <s v="OK"/>
  </r>
  <r>
    <n v="1572"/>
    <x v="571"/>
    <x v="44"/>
    <d v="2024-07-21T00:00:00"/>
    <s v="Same Day"/>
    <s v="CUST-1016"/>
    <s v="DIYA MATHEW"/>
    <x v="1"/>
    <s v="India"/>
    <s v="Bhubaneswar"/>
    <s v="Odisha"/>
    <x v="1"/>
    <n v="695001"/>
    <s v="P-798"/>
    <x v="1"/>
    <s v="Shoes"/>
    <s v="Running Shoes"/>
    <n v="9873.43"/>
    <n v="3"/>
    <n v="0"/>
    <n v="1481"/>
    <s v="OK"/>
    <s v="OK"/>
  </r>
  <r>
    <n v="1573"/>
    <x v="572"/>
    <x v="189"/>
    <d v="2024-07-11T00:00:00"/>
    <s v="First Class"/>
    <s v="CUST-1011"/>
    <s v="RIYA PAUL"/>
    <x v="0"/>
    <s v="India"/>
    <s v="Chennai"/>
    <s v="Tamil Nadu"/>
    <x v="3"/>
    <n v="110001"/>
    <s v="P-884"/>
    <x v="2"/>
    <s v="Bookcases"/>
    <s v="Wooden Bookshelf"/>
    <n v="49291.5"/>
    <n v="8"/>
    <n v="0"/>
    <n v="9379.7000000000007"/>
    <s v="OK"/>
    <s v="OK"/>
  </r>
  <r>
    <n v="1574"/>
    <x v="573"/>
    <x v="157"/>
    <d v="2024-12-06T00:00:00"/>
    <s v="First Class"/>
    <s v="CUST-1090"/>
    <s v="AMAL THOMAS"/>
    <x v="0"/>
    <s v="India"/>
    <s v="Chennai"/>
    <s v="Tamil Nadu"/>
    <x v="0"/>
    <n v="400001"/>
    <s v="P-805"/>
    <x v="3"/>
    <s v="Art"/>
    <s v="Marker Set"/>
    <n v="895.69"/>
    <n v="3"/>
    <n v="0.25"/>
    <n v="36.25"/>
    <s v="OK"/>
    <s v="OK"/>
  </r>
  <r>
    <n v="1575"/>
    <x v="574"/>
    <x v="0"/>
    <d v="2024-03-13T00:00:00"/>
    <s v="Second Class"/>
    <s v="CUST-1004"/>
    <s v="NIKHIL VARMA"/>
    <x v="0"/>
    <s v="India"/>
    <s v="Mumbai"/>
    <s v="Maharashtra"/>
    <x v="2"/>
    <n v="560001"/>
    <s v="P-498"/>
    <x v="3"/>
    <s v="Paper"/>
    <s v="A4 Copier Paper"/>
    <n v="1283.1500000000001"/>
    <n v="3"/>
    <n v="0.1"/>
    <n v="205.04"/>
    <s v="OK"/>
    <s v="OK"/>
  </r>
  <r>
    <n v="1576"/>
    <x v="575"/>
    <x v="184"/>
    <d v="2024-01-10T00:00:00"/>
    <s v="First Class"/>
    <s v="CUST-1008"/>
    <s v="MEERA JOSEPH"/>
    <x v="0"/>
    <s v="India"/>
    <s v="Kochi"/>
    <s v="Kerala"/>
    <x v="0"/>
    <n v="560001"/>
    <s v="P-221"/>
    <x v="1"/>
    <s v="Shoes"/>
    <s v="Running Shoes"/>
    <n v="4629.3500000000004"/>
    <n v="2"/>
    <n v="0.3"/>
    <n v="297.52"/>
    <s v="OK"/>
    <s v="OK"/>
  </r>
  <r>
    <n v="1577"/>
    <x v="576"/>
    <x v="22"/>
    <d v="2024-10-25T00:00:00"/>
    <s v="Standard Class"/>
    <s v="CUST-1005"/>
    <s v="NIKHIL VARMA"/>
    <x v="1"/>
    <s v="India"/>
    <s v="Bengaluru"/>
    <s v="Karnataka"/>
    <x v="2"/>
    <n v="560001"/>
    <s v="P-769"/>
    <x v="1"/>
    <s v="Shoes"/>
    <s v="Running Shoes"/>
    <n v="9408.15"/>
    <n v="3"/>
    <n v="0.05"/>
    <n v="2230.58"/>
    <s v="OK"/>
    <s v="OK"/>
  </r>
  <r>
    <n v="1578"/>
    <x v="577"/>
    <x v="282"/>
    <d v="2024-12-31T00:00:00"/>
    <s v="Second Class"/>
    <s v="CUST-1002"/>
    <s v="RAHUL KUMAR"/>
    <x v="2"/>
    <s v="India"/>
    <s v="Kozhikode"/>
    <s v="Kerala"/>
    <x v="0"/>
    <n v="695001"/>
    <s v="P-940"/>
    <x v="3"/>
    <s v="Paper"/>
    <s v="A4 Copier Paper"/>
    <n v="1238.06"/>
    <n v="3"/>
    <n v="0.1"/>
    <n v="188.26"/>
    <s v="OK"/>
    <s v="OK"/>
  </r>
  <r>
    <n v="1579"/>
    <x v="578"/>
    <x v="54"/>
    <d v="2024-02-25T00:00:00"/>
    <s v="Same Day"/>
    <s v="CUST-1077"/>
    <s v="ASHA KRISHNAN"/>
    <x v="0"/>
    <s v="India"/>
    <s v="Bhubaneswar"/>
    <s v="Odisha"/>
    <x v="2"/>
    <n v="673001"/>
    <s v="P-923"/>
    <x v="0"/>
    <s v="Mobiles"/>
    <s v="Samsung Galaxy A55"/>
    <n v="34033.57"/>
    <n v="1"/>
    <n v="0"/>
    <n v="4456.62"/>
    <s v="OK"/>
    <s v="OK"/>
  </r>
  <r>
    <n v="1580"/>
    <x v="579"/>
    <x v="171"/>
    <d v="2024-06-16T00:00:00"/>
    <s v="Second Class"/>
    <s v="CUST-1042"/>
    <s v="RIYA PAUL"/>
    <x v="0"/>
    <s v="India"/>
    <s v="Bengaluru"/>
    <s v="Karnataka"/>
    <x v="2"/>
    <n v="110001"/>
    <s v="P-146"/>
    <x v="2"/>
    <s v="Bookcases"/>
    <s v="Wooden Bookshelf"/>
    <n v="25427.88"/>
    <n v="5"/>
    <n v="0.25"/>
    <n v="-48.61"/>
    <s v="OK"/>
    <s v="OK"/>
  </r>
  <r>
    <n v="1581"/>
    <x v="580"/>
    <x v="102"/>
    <d v="2024-08-02T00:00:00"/>
    <s v="First Class"/>
    <s v="CUST-1071"/>
    <s v="RAHUL KUMAR"/>
    <x v="0"/>
    <s v="India"/>
    <s v="Jaipur"/>
    <s v="Rajasthan"/>
    <x v="3"/>
    <n v="682001"/>
    <s v="P-695"/>
    <x v="0"/>
    <s v="Accessories"/>
    <s v="Logitech Wireless Mouse"/>
    <n v="1199.43"/>
    <n v="1"/>
    <n v="0.05"/>
    <n v="75.709999999999994"/>
    <s v="OK"/>
    <s v="OK"/>
  </r>
  <r>
    <n v="1582"/>
    <x v="581"/>
    <x v="64"/>
    <d v="2024-03-22T00:00:00"/>
    <s v="Same Day"/>
    <s v="CUST-1011"/>
    <s v="AARAV NAIR"/>
    <x v="0"/>
    <s v="India"/>
    <s v="Kozhikode"/>
    <s v="Kerala"/>
    <x v="0"/>
    <n v="682001"/>
    <s v="P-191"/>
    <x v="0"/>
    <s v="Accessories"/>
    <s v="Logitech Wireless Mouse"/>
    <n v="4381.29"/>
    <n v="5"/>
    <n v="0.25"/>
    <n v="-258.02"/>
    <s v="OK"/>
    <s v="OK"/>
  </r>
  <r>
    <n v="1583"/>
    <x v="582"/>
    <x v="281"/>
    <d v="2024-12-22T00:00:00"/>
    <s v="Second Class"/>
    <s v="CUST-1019"/>
    <s v="ADIL KHAN"/>
    <x v="1"/>
    <s v="India"/>
    <s v="Kolkata"/>
    <s v="West Bengal"/>
    <x v="1"/>
    <n v="600001"/>
    <s v="P-561"/>
    <x v="3"/>
    <s v="Art"/>
    <s v="Marker Set"/>
    <n v="503.12"/>
    <n v="2"/>
    <n v="0.3"/>
    <n v="2.92"/>
    <s v="OK"/>
    <s v="OK"/>
  </r>
  <r>
    <n v="1584"/>
    <x v="583"/>
    <x v="96"/>
    <d v="2024-11-03T00:00:00"/>
    <s v="Same Day"/>
    <s v="CUST-1079"/>
    <s v="ANANYA MENON"/>
    <x v="2"/>
    <s v="India"/>
    <s v="Pune"/>
    <s v="Maharashtra"/>
    <x v="1"/>
    <n v="695001"/>
    <s v="P-528"/>
    <x v="0"/>
    <s v="Accessories"/>
    <s v="HP Wireless Keyboard"/>
    <n v="5686.96"/>
    <n v="3"/>
    <n v="0"/>
    <n v="627.9"/>
    <s v="OK"/>
    <s v="OK"/>
  </r>
  <r>
    <n v="1585"/>
    <x v="584"/>
    <x v="114"/>
    <d v="2024-11-15T00:00:00"/>
    <s v="Second Class"/>
    <s v="CUST-1060"/>
    <s v="ASHA KRISHNAN"/>
    <x v="0"/>
    <s v="India"/>
    <s v="Kozhikode"/>
    <s v="Kerala"/>
    <x v="2"/>
    <n v="695001"/>
    <s v="P-154"/>
    <x v="3"/>
    <s v="Binders"/>
    <s v="Office Binder Pack"/>
    <n v="598.66"/>
    <n v="1"/>
    <n v="0"/>
    <n v="106.98"/>
    <s v="OK"/>
    <s v="OK"/>
  </r>
  <r>
    <n v="1586"/>
    <x v="585"/>
    <x v="125"/>
    <d v="2024-09-13T00:00:00"/>
    <s v="Second Class"/>
    <s v="CUST-1086"/>
    <s v="MUHAMMED SHAFI"/>
    <x v="1"/>
    <s v="India"/>
    <s v="Bengaluru"/>
    <s v="Karnataka"/>
    <x v="0"/>
    <n v="673001"/>
    <s v="P-760"/>
    <x v="0"/>
    <s v="Mobiles"/>
    <s v="Samsung Galaxy A55"/>
    <n v="102685.8"/>
    <n v="25"/>
    <n v="0.3"/>
    <n v="-10828.26"/>
    <s v="OK"/>
    <s v="OK"/>
  </r>
  <r>
    <n v="1587"/>
    <x v="586"/>
    <x v="35"/>
    <d v="2024-01-24T00:00:00"/>
    <s v="Standard Class"/>
    <s v="CUST-1119"/>
    <s v="VISHNU RAJ"/>
    <x v="0"/>
    <s v="India"/>
    <s v="Mumbai"/>
    <s v="Maharashtra"/>
    <x v="2"/>
    <n v="682001"/>
    <s v="P-904"/>
    <x v="2"/>
    <s v="Chairs"/>
    <s v="Ergonomic Office Chair"/>
    <n v="12150.97"/>
    <n v="2"/>
    <n v="0.3"/>
    <n v="-374.21"/>
    <s v="OK"/>
    <s v="OK"/>
  </r>
  <r>
    <n v="1588"/>
    <x v="587"/>
    <x v="80"/>
    <d v="2024-08-20T00:00:00"/>
    <s v="First Class"/>
    <s v="CUST-1054"/>
    <s v="FATHIMA ALI"/>
    <x v="0"/>
    <s v="India"/>
    <s v="Kozhikode"/>
    <s v="Kerala"/>
    <x v="1"/>
    <n v="682001"/>
    <s v="P-897"/>
    <x v="3"/>
    <s v="Paper"/>
    <s v="A4 Copier Paper"/>
    <n v="413.68"/>
    <n v="1"/>
    <n v="0.1"/>
    <n v="56.96"/>
    <s v="OK"/>
    <s v="OK"/>
  </r>
  <r>
    <n v="1589"/>
    <x v="588"/>
    <x v="115"/>
    <d v="2024-04-16T00:00:00"/>
    <s v="Second Class"/>
    <s v="CUST-1111"/>
    <s v="SNEHA NAIR"/>
    <x v="0"/>
    <s v="India"/>
    <s v="Kochi"/>
    <s v="Kerala"/>
    <x v="3"/>
    <n v="673001"/>
    <s v="P-546"/>
    <x v="2"/>
    <s v="Tables"/>
    <s v="Study Table"/>
    <n v="5641.79"/>
    <n v="1"/>
    <n v="0.25"/>
    <n v="-11.33"/>
    <s v="OK"/>
    <s v="OK"/>
  </r>
  <r>
    <n v="1590"/>
    <x v="589"/>
    <x v="97"/>
    <d v="2024-07-12T00:00:00"/>
    <s v="Same Day"/>
    <s v="CUST-1093"/>
    <s v="FATHIMA ALI"/>
    <x v="2"/>
    <s v="India"/>
    <s v="Thiruvananthapuram"/>
    <s v="Kerala"/>
    <x v="1"/>
    <n v="695001"/>
    <s v="P-307"/>
    <x v="0"/>
    <s v="Accessories"/>
    <s v="HP Wireless Keyboard"/>
    <n v="2812.76"/>
    <n v="2"/>
    <n v="0.25"/>
    <n v="-150.72"/>
    <s v="OK"/>
    <s v="OK"/>
  </r>
  <r>
    <n v="1591"/>
    <x v="590"/>
    <x v="181"/>
    <d v="2024-03-11T00:00:00"/>
    <s v="Same Day"/>
    <s v="CUST-1059"/>
    <s v="AMAL THOMAS"/>
    <x v="0"/>
    <s v="India"/>
    <s v="Mumbai"/>
    <s v="Maharashtra"/>
    <x v="2"/>
    <n v="110001"/>
    <s v="P-451"/>
    <x v="0"/>
    <s v="Accessories"/>
    <s v="Logitech Wireless Mouse"/>
    <n v="3286.68"/>
    <n v="3"/>
    <n v="0.15"/>
    <n v="37.840000000000003"/>
    <s v="OK"/>
    <s v="OK"/>
  </r>
  <r>
    <n v="1592"/>
    <x v="591"/>
    <x v="68"/>
    <d v="2024-10-27T00:00:00"/>
    <s v="Second Class"/>
    <s v="CUST-1012"/>
    <s v="AMAL THOMAS"/>
    <x v="0"/>
    <s v="India"/>
    <s v="Bengaluru"/>
    <s v="Karnataka"/>
    <x v="3"/>
    <n v="110001"/>
    <s v="P-321"/>
    <x v="4"/>
    <s v="Kitchen"/>
    <s v="Mixer Grinder"/>
    <n v="5626.92"/>
    <n v="1"/>
    <n v="0.05"/>
    <n v="563"/>
    <s v="OK"/>
    <s v="OK"/>
  </r>
  <r>
    <n v="1593"/>
    <x v="592"/>
    <x v="263"/>
    <d v="2024-05-08T00:00:00"/>
    <s v="First Class"/>
    <s v="CUST-1056"/>
    <s v="DIYA MATHEW"/>
    <x v="1"/>
    <s v="India"/>
    <s v="Jaipur"/>
    <s v="Rajasthan"/>
    <x v="2"/>
    <n v="600001"/>
    <s v="P-252"/>
    <x v="3"/>
    <s v="Paper"/>
    <s v="A4 Copier Paper"/>
    <n v="632.07000000000005"/>
    <n v="2"/>
    <n v="0.25"/>
    <n v="28.88"/>
    <s v="OK"/>
    <s v="OK"/>
  </r>
  <r>
    <n v="1594"/>
    <x v="593"/>
    <x v="69"/>
    <d v="2024-09-03T00:00:00"/>
    <s v="Standard Class"/>
    <s v="CUST-1055"/>
    <s v="VISHNU RAJ"/>
    <x v="0"/>
    <s v="India"/>
    <s v="Jaipur"/>
    <s v="Rajasthan"/>
    <x v="3"/>
    <n v="560001"/>
    <s v="P-929"/>
    <x v="4"/>
    <s v="Kitchen"/>
    <s v="Mixer Grinder"/>
    <n v="47794.86"/>
    <n v="8"/>
    <n v="0"/>
    <n v="4870.75"/>
    <s v="OK"/>
    <s v="OK"/>
  </r>
  <r>
    <n v="1595"/>
    <x v="594"/>
    <x v="179"/>
    <d v="2024-02-17T00:00:00"/>
    <s v="Standard Class"/>
    <s v="CUST-1089"/>
    <s v="NIKHIL VARMA"/>
    <x v="1"/>
    <s v="India"/>
    <s v="Bhubaneswar"/>
    <s v="Odisha"/>
    <x v="3"/>
    <n v="682001"/>
    <s v="P-235"/>
    <x v="1"/>
    <s v="Shirts"/>
    <s v="Cotton Casual Shirt"/>
    <n v="2439.75"/>
    <n v="2"/>
    <n v="0.1"/>
    <n v="498.33"/>
    <s v="OK"/>
    <s v="OK"/>
  </r>
  <r>
    <n v="1596"/>
    <x v="595"/>
    <x v="161"/>
    <d v="2024-09-08T00:00:00"/>
    <s v="First Class"/>
    <s v="CUST-1021"/>
    <s v="NIKHIL VARMA"/>
    <x v="0"/>
    <s v="India"/>
    <s v="Mumbai"/>
    <s v="Maharashtra"/>
    <x v="3"/>
    <n v="110001"/>
    <s v="P-684"/>
    <x v="2"/>
    <s v="Chairs"/>
    <s v="Ergonomic Office Chair"/>
    <n v="63292.77"/>
    <n v="8"/>
    <n v="0"/>
    <n v="10542.91"/>
    <s v="OK"/>
    <s v="OK"/>
  </r>
  <r>
    <n v="1597"/>
    <x v="596"/>
    <x v="4"/>
    <d v="2024-12-30T00:00:00"/>
    <s v="Second Class"/>
    <s v="CUST-1102"/>
    <s v="RIYA PAUL"/>
    <x v="0"/>
    <s v="India"/>
    <s v="Kolkata"/>
    <s v="West Bengal"/>
    <x v="1"/>
    <n v="400001"/>
    <s v="P-575"/>
    <x v="3"/>
    <s v="Storage"/>
    <s v="Document Organizer"/>
    <n v="1760.49"/>
    <n v="2"/>
    <n v="0.05"/>
    <n v="312.70999999999998"/>
    <s v="OK"/>
    <s v="OK"/>
  </r>
  <r>
    <n v="1598"/>
    <x v="597"/>
    <x v="283"/>
    <d v="2024-12-22T00:00:00"/>
    <s v="Standard Class"/>
    <s v="CUST-1038"/>
    <s v="AMAL THOMAS"/>
    <x v="0"/>
    <s v="India"/>
    <s v="Kolkata"/>
    <s v="West Bengal"/>
    <x v="1"/>
    <n v="400001"/>
    <s v="P-727"/>
    <x v="3"/>
    <s v="Art"/>
    <s v="Marker Set"/>
    <n v="792.86"/>
    <n v="3"/>
    <n v="0.25"/>
    <n v="35.26"/>
    <s v="OK"/>
    <s v="OK"/>
  </r>
  <r>
    <n v="1599"/>
    <x v="598"/>
    <x v="30"/>
    <d v="2024-11-16T00:00:00"/>
    <s v="Standard Class"/>
    <s v="CUST-1066"/>
    <s v="MUHAMMED SHAFI"/>
    <x v="1"/>
    <s v="India"/>
    <s v="Delhi"/>
    <s v="Delhi"/>
    <x v="1"/>
    <n v="673001"/>
    <s v="P-213"/>
    <x v="3"/>
    <s v="Storage"/>
    <s v="Document Organizer"/>
    <n v="0"/>
    <n v="5"/>
    <n v="0"/>
    <n v="1261.56"/>
    <s v="Check Sales"/>
    <s v="OK"/>
  </r>
  <r>
    <n v="1600"/>
    <x v="599"/>
    <x v="145"/>
    <d v="2024-04-05T00:00:00"/>
    <s v="Standard Class"/>
    <s v="CUST-1072"/>
    <s v="NIKHIL VARMA"/>
    <x v="0"/>
    <s v="India"/>
    <s v="Pune"/>
    <s v="Maharashtra"/>
    <x v="2"/>
    <n v="682001"/>
    <s v="P-442"/>
    <x v="2"/>
    <s v="Tables"/>
    <s v="Study Table"/>
    <n v="5990.08"/>
    <n v="1"/>
    <n v="0.2"/>
    <n v="146.47"/>
    <s v="OK"/>
    <s v="OK"/>
  </r>
  <r>
    <n v="1601"/>
    <x v="600"/>
    <x v="113"/>
    <d v="2024-04-28T00:00:00"/>
    <s v="First Class"/>
    <s v="CUST-1115"/>
    <s v="ARJUN DAS"/>
    <x v="0"/>
    <s v="India"/>
    <s v="Bengaluru"/>
    <s v="Karnataka"/>
    <x v="3"/>
    <n v="695001"/>
    <s v="P-155"/>
    <x v="3"/>
    <s v="Binders"/>
    <s v="Office Binder Pack"/>
    <n v="1827.52"/>
    <n v="3"/>
    <n v="0.1"/>
    <n v="188.07"/>
    <s v="OK"/>
    <s v="OK"/>
  </r>
  <r>
    <n v="1602"/>
    <x v="601"/>
    <x v="69"/>
    <d v="2024-09-03T00:00:00"/>
    <s v="First Class"/>
    <s v="CUST-1058"/>
    <s v="DIYA MATHEW"/>
    <x v="0"/>
    <s v="India"/>
    <s v="Kochi"/>
    <s v="Kerala"/>
    <x v="1"/>
    <n v="110001"/>
    <s v="P-789"/>
    <x v="2"/>
    <s v="Tables"/>
    <s v="Study Table"/>
    <n v="19948.46"/>
    <n v="3"/>
    <n v="0"/>
    <n v="2910.26"/>
    <s v="OK"/>
    <s v="OK"/>
  </r>
  <r>
    <n v="1603"/>
    <x v="602"/>
    <x v="183"/>
    <d v="2024-08-23T00:00:00"/>
    <s v="Standard Class"/>
    <s v="CUST-1051"/>
    <s v="MUHAMMED SHAFI"/>
    <x v="2"/>
    <s v="India"/>
    <s v="Kolkata"/>
    <s v="West Bengal"/>
    <x v="2"/>
    <n v="695001"/>
    <s v="P-178"/>
    <x v="1"/>
    <s v="Shoes"/>
    <s v="Running Shoes"/>
    <n v="17248.599999999999"/>
    <n v="6"/>
    <n v="0.1"/>
    <n v="3622.42"/>
    <s v="OK"/>
    <s v="OK"/>
  </r>
  <r>
    <n v="1604"/>
    <x v="603"/>
    <x v="220"/>
    <d v="2024-03-20T00:00:00"/>
    <s v="Standard Class"/>
    <s v="CUST-1038"/>
    <s v="AMAL THOMAS"/>
    <x v="0"/>
    <s v="India"/>
    <s v="Kochi"/>
    <s v="Kerala"/>
    <x v="2"/>
    <n v="560001"/>
    <s v="P-455"/>
    <x v="0"/>
    <s v="Accessories"/>
    <s v="Logitech Wireless Mouse"/>
    <n v="3458.54"/>
    <n v="4"/>
    <n v="0.3"/>
    <n v="-286.02"/>
    <s v="OK"/>
    <s v="OK"/>
  </r>
  <r>
    <n v="1605"/>
    <x v="604"/>
    <x v="236"/>
    <d v="2024-02-03T00:00:00"/>
    <s v="Second Class"/>
    <s v="CUST-1107"/>
    <s v="VISHNU RAJ"/>
    <x v="1"/>
    <s v="India"/>
    <s v="Pune"/>
    <s v="Maharashtra"/>
    <x v="1"/>
    <n v="560001"/>
    <s v="P-692"/>
    <x v="3"/>
    <s v="Paper"/>
    <s v="A4 Copier Paper"/>
    <n v="390.33"/>
    <n v="1"/>
    <n v="0.1"/>
    <n v="65.790000000000006"/>
    <s v="OK"/>
    <s v="OK"/>
  </r>
  <r>
    <n v="1606"/>
    <x v="605"/>
    <x v="183"/>
    <d v="2024-08-25T00:00:00"/>
    <s v="Second Class"/>
    <s v="CUST-1115"/>
    <s v="ASHA KRISHNAN"/>
    <x v="1"/>
    <s v="India"/>
    <s v="Mumbai"/>
    <s v="Maharashtra"/>
    <x v="1"/>
    <n v="682001"/>
    <s v="P-908"/>
    <x v="3"/>
    <s v="Art"/>
    <s v="Marker Set"/>
    <n v="525.72"/>
    <n v="2"/>
    <n v="0.3"/>
    <n v="2.56"/>
    <s v="OK"/>
    <s v="OK"/>
  </r>
  <r>
    <n v="1607"/>
    <x v="606"/>
    <x v="272"/>
    <d v="2024-03-19T00:00:00"/>
    <s v="First Class"/>
    <s v="CUST-1059"/>
    <s v="RAHUL KUMAR"/>
    <x v="0"/>
    <s v="India"/>
    <s v="Chennai"/>
    <s v="Tamil Nadu"/>
    <x v="2"/>
    <n v="400001"/>
    <s v="P-648"/>
    <x v="0"/>
    <s v="Accessories"/>
    <s v="HP Wireless Keyboard"/>
    <n v="13624.99"/>
    <n v="8"/>
    <n v="0"/>
    <n v="1719.67"/>
    <s v="OK"/>
    <s v="OK"/>
  </r>
  <r>
    <n v="1608"/>
    <x v="607"/>
    <x v="240"/>
    <d v="2024-03-25T00:00:00"/>
    <s v="Standard Class"/>
    <s v="CUST-1006"/>
    <s v="MEERA JOSEPH"/>
    <x v="2"/>
    <s v="India"/>
    <s v="Chennai"/>
    <s v="Tamil Nadu"/>
    <x v="2"/>
    <n v="560001"/>
    <s v="P-366"/>
    <x v="0"/>
    <s v="Accessories"/>
    <s v="Logitech Wireless Mouse"/>
    <n v="5876.64"/>
    <n v="5"/>
    <n v="0.05"/>
    <n v="391.85"/>
    <s v="OK"/>
    <s v="OK"/>
  </r>
  <r>
    <n v="1609"/>
    <x v="608"/>
    <x v="172"/>
    <d v="2024-06-27T00:00:00"/>
    <s v="First Class"/>
    <s v="CUST-1058"/>
    <s v="VISHNU RAJ"/>
    <x v="0"/>
    <s v="India"/>
    <s v="Mumbai"/>
    <s v="Maharashtra"/>
    <x v="2"/>
    <n v="600001"/>
    <s v="P-408"/>
    <x v="0"/>
    <s v="Accessories"/>
    <s v="Logitech Wireless Mouse"/>
    <n v="3583.41"/>
    <n v="4"/>
    <n v="0.2"/>
    <n v="-78.14"/>
    <s v="OK"/>
    <s v="OK"/>
  </r>
  <r>
    <n v="1610"/>
    <x v="609"/>
    <x v="183"/>
    <d v="2024-08-25T00:00:00"/>
    <s v="Second Class"/>
    <s v="CUST-1001"/>
    <s v="NIKHIL VARMA"/>
    <x v="0"/>
    <s v="India"/>
    <s v="Kochi"/>
    <s v="Kerala"/>
    <x v="1"/>
    <n v="400001"/>
    <s v="P-822"/>
    <x v="4"/>
    <s v="Kitchen"/>
    <s v="Mixer Grinder"/>
    <n v="39523.519999999997"/>
    <n v="7"/>
    <n v="0.05"/>
    <n v="3416.67"/>
    <s v="OK"/>
    <s v="OK"/>
  </r>
  <r>
    <n v="1611"/>
    <x v="610"/>
    <x v="53"/>
    <d v="2024-10-22T00:00:00"/>
    <s v="Same Day"/>
    <s v="CUST-1044"/>
    <s v="NIKHIL VARMA"/>
    <x v="2"/>
    <s v="India"/>
    <s v="Chennai"/>
    <s v="Tamil Nadu"/>
    <x v="0"/>
    <n v="400001"/>
    <s v="P-590"/>
    <x v="3"/>
    <s v="Paper"/>
    <s v="A4 Copier Paper"/>
    <n v="3208.37"/>
    <n v="7"/>
    <n v="0.05"/>
    <n v="443.64"/>
    <s v="OK"/>
    <s v="OK"/>
  </r>
  <r>
    <n v="1612"/>
    <x v="611"/>
    <x v="19"/>
    <d v="2024-07-29T00:00:00"/>
    <s v="Second Class"/>
    <s v="CUST-1058"/>
    <s v="MEERA JOSEPH"/>
    <x v="1"/>
    <s v="India"/>
    <s v="Kozhikode"/>
    <s v="Kerala"/>
    <x v="0"/>
    <n v="695001"/>
    <s v="P-156"/>
    <x v="0"/>
    <s v="Accessories"/>
    <s v="Logitech Wireless Mouse"/>
    <n v="1187.01"/>
    <n v="1"/>
    <n v="0"/>
    <n v="159.53"/>
    <s v="OK"/>
    <s v="OK"/>
  </r>
  <r>
    <n v="1613"/>
    <x v="612"/>
    <x v="284"/>
    <d v="2024-04-11T00:00:00"/>
    <s v="Standard Class"/>
    <s v="CUST-1069"/>
    <s v="RIYA PAUL"/>
    <x v="0"/>
    <s v="India"/>
    <s v="Jaipur"/>
    <s v="Rajasthan"/>
    <x v="3"/>
    <n v="400001"/>
    <s v="P-787"/>
    <x v="3"/>
    <s v="Art"/>
    <s v="Marker Set"/>
    <n v="956.55"/>
    <n v="3"/>
    <n v="0.15"/>
    <n v="104.84"/>
    <s v="OK"/>
    <s v="OK"/>
  </r>
  <r>
    <n v="1614"/>
    <x v="613"/>
    <x v="41"/>
    <d v="2024-12-10T00:00:00"/>
    <s v="Same Day"/>
    <s v="CUST-1019"/>
    <s v="NIKHIL VARMA "/>
    <x v="0"/>
    <s v="India"/>
    <s v="Kochi"/>
    <s v="Kerala"/>
    <x v="3"/>
    <n v="695001"/>
    <s v="P-495"/>
    <x v="3"/>
    <s v="Binders"/>
    <s v="Office Binder Pack"/>
    <n v="1918.05"/>
    <n v="3"/>
    <n v="0"/>
    <n v="340.3"/>
    <s v="OK"/>
    <s v="OK"/>
  </r>
  <r>
    <n v="1615"/>
    <x v="614"/>
    <x v="1"/>
    <d v="2024-10-15T00:00:00"/>
    <s v="Second Class"/>
    <s v="CUST-1094"/>
    <s v="MUHAMMED SHAFI"/>
    <x v="0"/>
    <s v="India"/>
    <s v="Mumbai"/>
    <s v="Maharashtra"/>
    <x v="3"/>
    <n v="400001"/>
    <s v="P-525"/>
    <x v="0"/>
    <s v="Laptops"/>
    <s v="Dell Inspiron 15"/>
    <n v="78437.37"/>
    <n v="2"/>
    <n v="0.3"/>
    <n v="-6364.93"/>
    <s v="OK"/>
    <s v="OK"/>
  </r>
  <r>
    <n v="1616"/>
    <x v="615"/>
    <x v="102"/>
    <d v="2024-08-02T00:00:00"/>
    <s v="Standard Class"/>
    <s v="CUST-1019"/>
    <s v="FATHIMA ALI"/>
    <x v="0"/>
    <s v="India"/>
    <s v="Bhubaneswar"/>
    <s v="Odisha"/>
    <x v="1"/>
    <n v="560001"/>
    <s v="P-988"/>
    <x v="3"/>
    <s v="Paper"/>
    <s v="A4 Copier Paper"/>
    <n v="1793.91"/>
    <n v="5"/>
    <n v="0.25"/>
    <n v="58.19"/>
    <s v="OK"/>
    <s v="OK"/>
  </r>
  <r>
    <n v="1617"/>
    <x v="616"/>
    <x v="229"/>
    <d v="2024-02-16T00:00:00"/>
    <s v="Same Day"/>
    <s v="CUST-1082"/>
    <s v="MUHAMMED SHAFI"/>
    <x v="0"/>
    <s v="India"/>
    <s v="Delhi"/>
    <s v="Delhi"/>
    <x v="1"/>
    <n v="560001"/>
    <s v="P-279"/>
    <x v="2"/>
    <s v="Tables"/>
    <s v="Study Table"/>
    <n v="36064.86"/>
    <n v="7"/>
    <n v="0.25"/>
    <n v="-69.03"/>
    <s v="OK"/>
    <s v="OK"/>
  </r>
  <r>
    <n v="1618"/>
    <x v="617"/>
    <x v="115"/>
    <d v="2024-04-14T00:00:00"/>
    <s v="Same Day"/>
    <s v="CUST-1038"/>
    <s v="VISHNU RAJ"/>
    <x v="1"/>
    <s v="India"/>
    <s v="Delhi"/>
    <s v="Delhi"/>
    <x v="3"/>
    <n v="673001"/>
    <s v="P-942"/>
    <x v="3"/>
    <s v="Paper"/>
    <s v="A4 Copier Paper"/>
    <n v="1751.5"/>
    <n v="4"/>
    <n v="0.05"/>
    <n v="274.08999999999997"/>
    <s v="OK"/>
    <s v="OK"/>
  </r>
  <r>
    <n v="1619"/>
    <x v="618"/>
    <x v="154"/>
    <d v="2024-04-25T00:00:00"/>
    <s v="Standard Class"/>
    <s v="CUST-1020"/>
    <s v="ARJUN DAS"/>
    <x v="1"/>
    <s v="India"/>
    <s v="Hyderabad"/>
    <s v="Telangana"/>
    <x v="1"/>
    <n v="400001"/>
    <s v="P-954"/>
    <x v="2"/>
    <s v="Chairs"/>
    <s v="Ergonomic Office Chair"/>
    <n v="12593.74"/>
    <n v="2"/>
    <n v="0.3"/>
    <n v="-434.88"/>
    <s v="OK"/>
    <s v="OK"/>
  </r>
  <r>
    <n v="1620"/>
    <x v="619"/>
    <x v="141"/>
    <d v="2024-08-03T00:00:00"/>
    <s v="Same Day"/>
    <s v="CUST-1117"/>
    <s v="NIKHIL VARMA"/>
    <x v="0"/>
    <s v="India"/>
    <s v="Lucknow"/>
    <s v="Uttar Pradesh"/>
    <x v="2"/>
    <n v="673001"/>
    <s v="P-222"/>
    <x v="3"/>
    <s v="Paper"/>
    <s v="A4 Copier Paper"/>
    <n v="1644.61"/>
    <n v="4"/>
    <n v="0.15"/>
    <n v="142.07"/>
    <s v="OK"/>
    <s v="OK"/>
  </r>
  <r>
    <n v="1621"/>
    <x v="620"/>
    <x v="121"/>
    <d v="2024-10-28T00:00:00"/>
    <s v="Same Day"/>
    <s v="CUST-1112"/>
    <s v="ARJUN DAS"/>
    <x v="0"/>
    <s v="India"/>
    <s v="Bhubaneswar"/>
    <s v="Odisha"/>
    <x v="3"/>
    <n v="400001"/>
    <s v="P-937"/>
    <x v="2"/>
    <s v="Chairs"/>
    <s v="Ergonomic Office Chair"/>
    <n v="57608.5"/>
    <n v="8"/>
    <n v="0.2"/>
    <n v="1967.27"/>
    <s v="OK"/>
    <s v="OK"/>
  </r>
  <r>
    <n v="1622"/>
    <x v="621"/>
    <x v="5"/>
    <d v="2024-03-29T00:00:00"/>
    <s v="Standard Class"/>
    <s v="CUST-1019"/>
    <s v="MEERA JOSEPH"/>
    <x v="0"/>
    <s v="India"/>
    <s v="Kochi"/>
    <s v="Kerala"/>
    <x v="3"/>
    <n v="400001"/>
    <s v="P-238"/>
    <x v="2"/>
    <s v="Tables"/>
    <s v="Study Table"/>
    <n v="19155.86"/>
    <n v="3"/>
    <n v="0.15"/>
    <n v="1403.64"/>
    <s v="OK"/>
    <s v="OK"/>
  </r>
  <r>
    <n v="1623"/>
    <x v="622"/>
    <x v="207"/>
    <d v="2024-01-28T00:00:00"/>
    <s v="First Class"/>
    <s v="CUST-1068"/>
    <s v="ADIL KHAN"/>
    <x v="0"/>
    <s v="India"/>
    <s v="Mumbai"/>
    <s v="Maharashtra"/>
    <x v="0"/>
    <n v="600001"/>
    <s v="P-298"/>
    <x v="0"/>
    <s v="Accessories"/>
    <s v="Logitech Wireless Mouse"/>
    <n v="2000.19"/>
    <n v="2"/>
    <n v="0.2"/>
    <n v="-42.53"/>
    <s v="OK"/>
    <s v="OK"/>
  </r>
  <r>
    <n v="1624"/>
    <x v="623"/>
    <x v="269"/>
    <d v="2024-10-08T00:00:00"/>
    <s v="First Class"/>
    <s v="CUST-1106"/>
    <s v="RIYA PAUL"/>
    <x v="0"/>
    <s v="India"/>
    <s v="Bhubaneswar"/>
    <s v="Odisha"/>
    <x v="1"/>
    <n v="695001"/>
    <s v="P-801"/>
    <x v="3"/>
    <s v="Art"/>
    <s v="Marker Set"/>
    <n v="339.7"/>
    <n v="1"/>
    <n v="0.05"/>
    <n v="43.6"/>
    <s v="OK"/>
    <s v="OK"/>
  </r>
  <r>
    <n v="1625"/>
    <x v="624"/>
    <x v="285"/>
    <d v="2024-03-15T00:00:00"/>
    <s v="Second Class"/>
    <s v="CUST-1067"/>
    <s v="ARJUN DAS"/>
    <x v="0"/>
    <s v="India"/>
    <s v="Kolkata"/>
    <s v="West Bengal"/>
    <x v="1"/>
    <n v="110001"/>
    <s v="P-596"/>
    <x v="1"/>
    <s v="Shirts"/>
    <s v="Cotton Casual Shirt"/>
    <n v="3586.25"/>
    <n v="3"/>
    <n v="0.2"/>
    <n v="455.45"/>
    <s v="OK"/>
    <s v="OK"/>
  </r>
  <r>
    <n v="1626"/>
    <x v="625"/>
    <x v="20"/>
    <d v="2024-03-25T00:00:00"/>
    <s v="Second Class"/>
    <s v="CUST-1107"/>
    <s v="FATHIMA ALI"/>
    <x v="2"/>
    <s v="India"/>
    <s v="Pune"/>
    <s v="Maharashtra"/>
    <x v="0"/>
    <n v="560001"/>
    <s v="P-571"/>
    <x v="2"/>
    <s v="Tables"/>
    <s v="Study Table"/>
    <n v="6787.45"/>
    <n v="1"/>
    <n v="0.1"/>
    <n v="638.85"/>
    <s v="OK"/>
    <s v="OK"/>
  </r>
  <r>
    <n v="1627"/>
    <x v="626"/>
    <x v="286"/>
    <d v="2024-06-30T00:00:00"/>
    <s v="First Class"/>
    <s v="CUST-1018"/>
    <s v="RIYA PAUL"/>
    <x v="1"/>
    <s v="India"/>
    <s v="Kochi"/>
    <s v="Kerala"/>
    <x v="3"/>
    <n v="600001"/>
    <s v="P-635"/>
    <x v="0"/>
    <s v="Mobiles"/>
    <s v="Samsung Galaxy A55"/>
    <n v="141941.92000000001"/>
    <n v="6"/>
    <n v="0.3"/>
    <n v="-9803.98"/>
    <s v="OK"/>
    <s v="OK"/>
  </r>
  <r>
    <n v="1628"/>
    <x v="627"/>
    <x v="199"/>
    <d v="2024-04-25T00:00:00"/>
    <s v="Second Class"/>
    <s v="CUST-1089"/>
    <s v="FATHIMA ALI"/>
    <x v="0"/>
    <s v="India"/>
    <s v="Bhubaneswar"/>
    <s v="Odisha"/>
    <x v="1"/>
    <n v="682001"/>
    <s v="P-314"/>
    <x v="2"/>
    <s v="Tables"/>
    <s v="Study Table"/>
    <n v="14827.54"/>
    <n v="2"/>
    <n v="0"/>
    <n v="2289.7399999999998"/>
    <s v="OK"/>
    <s v="OK"/>
  </r>
  <r>
    <n v="1629"/>
    <x v="628"/>
    <x v="107"/>
    <d v="2024-02-10T00:00:00"/>
    <s v="Same Day"/>
    <s v="CUST-1097"/>
    <s v="AMAL THOMAS"/>
    <x v="0"/>
    <s v="India"/>
    <s v="Thiruvananthapuram"/>
    <s v="Kerala"/>
    <x v="0"/>
    <n v="682001"/>
    <s v="P-210"/>
    <x v="0"/>
    <s v="Mobiles"/>
    <s v="Samsung Galaxy A55"/>
    <n v="137100.09"/>
    <n v="4"/>
    <n v="0"/>
    <n v="15017.63"/>
    <s v="OK"/>
    <s v="OK"/>
  </r>
  <r>
    <n v="1630"/>
    <x v="629"/>
    <x v="267"/>
    <d v="2024-03-04T00:00:00"/>
    <s v="Standard Class"/>
    <s v="CUST-1009"/>
    <s v="ARJUN DAS"/>
    <x v="1"/>
    <s v="India"/>
    <s v="Kozhikode"/>
    <s v="Kerala"/>
    <x v="0"/>
    <n v="110001"/>
    <s v="P-198"/>
    <x v="1"/>
    <s v="Shoes"/>
    <s v="Running Shoes"/>
    <n v="6251.44"/>
    <n v="3"/>
    <n v="0.3"/>
    <n v="357.92"/>
    <s v="OK"/>
    <s v="OK"/>
  </r>
  <r>
    <n v="1631"/>
    <x v="630"/>
    <x v="159"/>
    <d v="2024-04-10T00:00:00"/>
    <s v="First Class"/>
    <s v="CUST-1004"/>
    <s v="ANANYA MENON"/>
    <x v="2"/>
    <s v="India"/>
    <s v="Bhubaneswar"/>
    <s v="Odisha"/>
    <x v="2"/>
    <n v="110001"/>
    <s v="P-864"/>
    <x v="0"/>
    <s v="Mobiles"/>
    <s v="Samsung Galaxy A55"/>
    <n v="31202.46"/>
    <n v="1"/>
    <n v="0.1"/>
    <n v="1613.01"/>
    <s v="OK"/>
    <s v="OK"/>
  </r>
  <r>
    <n v="1632"/>
    <x v="631"/>
    <x v="147"/>
    <d v="2024-09-20T00:00:00"/>
    <s v="Standard Class"/>
    <s v="CUST-1013"/>
    <s v="RIYA PAUL"/>
    <x v="0"/>
    <s v="India"/>
    <s v="Chennai"/>
    <s v="Tamil Nadu"/>
    <x v="0"/>
    <n v="600001"/>
    <s v="P-322"/>
    <x v="3"/>
    <s v="Storage"/>
    <s v="Document Organizer"/>
    <n v="829.06"/>
    <n v="1"/>
    <n v="0.1"/>
    <n v="109.42"/>
    <s v="OK"/>
    <s v="OK"/>
  </r>
  <r>
    <n v="1633"/>
    <x v="632"/>
    <x v="249"/>
    <d v="2024-02-22T00:00:00"/>
    <s v="Same Day"/>
    <s v="CUST-1047"/>
    <s v="NIKHIL VARMA"/>
    <x v="2"/>
    <s v="India"/>
    <s v="Kolkata"/>
    <s v="West Bengal"/>
    <x v="2"/>
    <n v="560001"/>
    <s v="P-789"/>
    <x v="0"/>
    <s v="Accessories"/>
    <s v="HP Wireless Keyboard"/>
    <n v="1659.35"/>
    <n v="1"/>
    <n v="0"/>
    <n v="143.51"/>
    <s v="OK"/>
    <s v="OK"/>
  </r>
  <r>
    <n v="1634"/>
    <x v="633"/>
    <x v="287"/>
    <d v="2024-04-24T00:00:00"/>
    <s v="Second Class"/>
    <s v="CUST-1053"/>
    <s v="ANANYA MENON"/>
    <x v="1"/>
    <s v="India"/>
    <s v="Kochi"/>
    <s v="Kerala"/>
    <x v="1"/>
    <n v="673001"/>
    <s v="P-577"/>
    <x v="0"/>
    <s v="Accessories"/>
    <s v="Logitech Wireless Mouse"/>
    <n v="7076.15"/>
    <n v="8"/>
    <n v="0.25"/>
    <n v="-367.77"/>
    <s v="OK"/>
    <s v="OK"/>
  </r>
  <r>
    <n v="1635"/>
    <x v="634"/>
    <x v="88"/>
    <d v="2024-10-18T00:00:00"/>
    <s v="Standard Class"/>
    <s v="CUST-1011"/>
    <s v="MEERA JOSEPH"/>
    <x v="0"/>
    <s v="India"/>
    <s v="Kochi"/>
    <s v="Kerala"/>
    <x v="3"/>
    <n v="673001"/>
    <s v="P-494"/>
    <x v="3"/>
    <s v="Binders"/>
    <s v="Office Binder Pack"/>
    <n v="2245.37"/>
    <n v="4"/>
    <n v="0.15"/>
    <n v="206.18"/>
    <s v="OK"/>
    <s v="OK"/>
  </r>
  <r>
    <n v="1636"/>
    <x v="635"/>
    <x v="113"/>
    <d v="2024-04-30T00:00:00"/>
    <s v="Same Day"/>
    <s v="CUST-1038"/>
    <s v="RIYA PAUL"/>
    <x v="1"/>
    <s v="India"/>
    <s v="Chennai"/>
    <s v="Tamil Nadu"/>
    <x v="3"/>
    <n v="682001"/>
    <s v="P-977"/>
    <x v="3"/>
    <s v="Paper"/>
    <s v="A4 Copier Paper"/>
    <n v="649.65"/>
    <n v="2"/>
    <n v="0.3"/>
    <n v="3.83"/>
    <s v="OK"/>
    <s v="OK"/>
  </r>
  <r>
    <n v="1637"/>
    <x v="636"/>
    <x v="191"/>
    <d v="2024-04-02T00:00:00"/>
    <s v="Same Day"/>
    <s v="CUST-1087"/>
    <s v="ANANYA MENON"/>
    <x v="1"/>
    <s v="India"/>
    <s v="Kochi"/>
    <s v="Kerala"/>
    <x v="3"/>
    <n v="560001"/>
    <s v="P-635"/>
    <x v="4"/>
    <s v="Kitchen"/>
    <s v="Mixer Grinder"/>
    <n v="14543.28"/>
    <n v="3"/>
    <n v="0.2"/>
    <n v="0"/>
    <s v="OK"/>
    <s v="OK"/>
  </r>
  <r>
    <n v="1638"/>
    <x v="637"/>
    <x v="243"/>
    <d v="2024-12-26T00:00:00"/>
    <s v="Standard Class"/>
    <s v="CUST-1095"/>
    <s v="MUHAMMED SHAFI"/>
    <x v="0"/>
    <s v="India"/>
    <s v="Lucknow"/>
    <s v="Uttar Pradesh"/>
    <x v="2"/>
    <n v="673001"/>
    <s v="P-472"/>
    <x v="3"/>
    <s v="Art"/>
    <s v="Marker Set"/>
    <n v="284.11"/>
    <n v="1"/>
    <n v="0.25"/>
    <n v="8.5500000000000007"/>
    <s v="OK"/>
    <s v="OK"/>
  </r>
  <r>
    <n v="1639"/>
    <x v="638"/>
    <x v="288"/>
    <d v="2024-03-05T00:00:00"/>
    <s v="Same Day"/>
    <s v="CUST-1093"/>
    <s v="SNEHA NAIR"/>
    <x v="0"/>
    <s v="India"/>
    <s v="Bengaluru"/>
    <s v="Karnataka"/>
    <x v="1"/>
    <n v="110001"/>
    <s v="P-830"/>
    <x v="2"/>
    <s v="Tables"/>
    <s v="Study Table"/>
    <n v="25885.63"/>
    <n v="5"/>
    <n v="0.25"/>
    <n v="-80.459999999999994"/>
    <s v="OK"/>
    <s v="OK"/>
  </r>
  <r>
    <n v="1640"/>
    <x v="639"/>
    <x v="289"/>
    <d v="2024-07-05T00:00:00"/>
    <s v="Same Day"/>
    <s v="CUST-1063"/>
    <s v="VISHNU RAJ"/>
    <x v="1"/>
    <s v="India"/>
    <s v="Bhubaneswar"/>
    <s v="Odisha"/>
    <x v="1"/>
    <n v="682001"/>
    <s v="P-886"/>
    <x v="3"/>
    <s v="Storage"/>
    <s v="Document Organizer"/>
    <n v="2686.98"/>
    <n v="4"/>
    <n v="0.25"/>
    <n v="100.71"/>
    <s v="OK"/>
    <s v="OK"/>
  </r>
  <r>
    <n v="1641"/>
    <x v="640"/>
    <x v="290"/>
    <d v="2024-11-19T00:00:00"/>
    <s v="Standard Class"/>
    <s v="CUST-1013"/>
    <s v="NIKHIL VARMA"/>
    <x v="0"/>
    <s v="India"/>
    <s v="Ahmedabad"/>
    <s v="Gujarat"/>
    <x v="0"/>
    <n v="110001"/>
    <s v="P-169"/>
    <x v="0"/>
    <s v="Mobiles"/>
    <s v="Samsung Galaxy A55"/>
    <n v="99037.56"/>
    <n v="3"/>
    <n v="0"/>
    <n v="4907.8500000000004"/>
    <s v="OK"/>
    <s v="OK"/>
  </r>
  <r>
    <n v="1642"/>
    <x v="641"/>
    <x v="291"/>
    <d v="2024-03-22T00:00:00"/>
    <s v="Standard Class"/>
    <s v="CUST-1098"/>
    <s v="ANANYA MENON"/>
    <x v="0"/>
    <s v="India"/>
    <s v="Ahmedabad"/>
    <s v="Gujarat"/>
    <x v="3"/>
    <n v="110001"/>
    <s v="P-577"/>
    <x v="3"/>
    <s v="Art"/>
    <s v="Marker Set"/>
    <n v="306.89999999999998"/>
    <n v="1"/>
    <n v="0.2"/>
    <n v="16.22"/>
    <s v="OK"/>
    <s v="OK"/>
  </r>
  <r>
    <n v="1643"/>
    <x v="642"/>
    <x v="79"/>
    <d v="2024-10-07T00:00:00"/>
    <s v="Standard Class"/>
    <s v="CUST-1098"/>
    <s v="AARAV NAIR"/>
    <x v="1"/>
    <s v="India"/>
    <s v="Bengaluru"/>
    <s v="Karnataka"/>
    <x v="3"/>
    <n v="673001"/>
    <s v="P-492"/>
    <x v="2"/>
    <s v="Chairs"/>
    <s v="Ergonomic Office Chair"/>
    <n v="21073.17"/>
    <n v="3"/>
    <n v="0.15"/>
    <n v="1328.74"/>
    <s v="OK"/>
    <s v="OK"/>
  </r>
  <r>
    <n v="1644"/>
    <x v="643"/>
    <x v="292"/>
    <d v="2024-01-19T00:00:00"/>
    <s v="First Class"/>
    <s v="CUST-1114"/>
    <s v="NIKHIL VARMA"/>
    <x v="2"/>
    <s v="India"/>
    <s v="Ahmedabad"/>
    <s v="Gujarat"/>
    <x v="2"/>
    <n v="560001"/>
    <s v="P-541"/>
    <x v="2"/>
    <s v="Tables"/>
    <s v="Study Table"/>
    <n v="13450.44"/>
    <n v="2"/>
    <n v="0"/>
    <n v="1991.34"/>
    <s v="OK"/>
    <s v="OK"/>
  </r>
  <r>
    <n v="1645"/>
    <x v="644"/>
    <x v="258"/>
    <d v="2024-10-24T00:00:00"/>
    <s v="Same Day"/>
    <s v="CUST-1085"/>
    <s v="VISHNU RAJ"/>
    <x v="1"/>
    <s v="India"/>
    <s v="Thiruvananthapuram"/>
    <s v="Kerala"/>
    <x v="3"/>
    <n v="560001"/>
    <s v="P-675"/>
    <x v="2"/>
    <s v="Chairs"/>
    <s v="Ergonomic Office Chair"/>
    <n v="23595.47"/>
    <n v="3"/>
    <n v="0"/>
    <n v="2979.78"/>
    <s v="OK"/>
    <s v="OK"/>
  </r>
  <r>
    <n v="1646"/>
    <x v="645"/>
    <x v="235"/>
    <d v="2024-11-02T00:00:00"/>
    <s v="First Class"/>
    <s v="CUST-1099"/>
    <s v="ARJUN DAS"/>
    <x v="0"/>
    <s v="India"/>
    <s v="Hyderabad"/>
    <s v="Telangana"/>
    <x v="1"/>
    <n v="673001"/>
    <s v="P-128"/>
    <x v="0"/>
    <s v="Accessories"/>
    <s v="Logitech Wireless Mouse"/>
    <n v="1652.29"/>
    <n v="2"/>
    <n v="0.3"/>
    <n v="-114.65"/>
    <s v="OK"/>
    <s v="OK"/>
  </r>
  <r>
    <n v="1647"/>
    <x v="646"/>
    <x v="11"/>
    <d v="2024-11-19T00:00:00"/>
    <s v="Same Day"/>
    <s v="CUST-1013"/>
    <s v="AMAL THOMAS"/>
    <x v="0"/>
    <s v="India"/>
    <s v="Jaipur"/>
    <s v="Rajasthan"/>
    <x v="1"/>
    <n v="695001"/>
    <s v="P-521"/>
    <x v="0"/>
    <s v="Laptops"/>
    <s v="Dell Inspiron 15"/>
    <n v="105123.88"/>
    <n v="2"/>
    <n v="0"/>
    <n v="12659.08"/>
    <s v="OK"/>
    <s v="OK"/>
  </r>
  <r>
    <n v="1648"/>
    <x v="647"/>
    <x v="134"/>
    <d v="2024-10-31T00:00:00"/>
    <s v="Standard Class"/>
    <s v="CUST-1112"/>
    <s v="ARJUN DAS"/>
    <x v="1"/>
    <s v="India"/>
    <s v="Mumbai"/>
    <s v="Maharashtra"/>
    <x v="0"/>
    <n v="695001"/>
    <s v="P-273"/>
    <x v="0"/>
    <s v="Laptops"/>
    <s v="Dell Inspiron 15"/>
    <n v="46325.75"/>
    <n v="1"/>
    <n v="0.15"/>
    <n v="492.25"/>
    <s v="OK"/>
    <s v="OK"/>
  </r>
  <r>
    <n v="1649"/>
    <x v="648"/>
    <x v="293"/>
    <d v="2024-10-22T00:00:00"/>
    <s v="Same Day"/>
    <s v="CUST-1035"/>
    <s v="AARAV NAIR"/>
    <x v="0"/>
    <s v="India"/>
    <s v="Kozhikode"/>
    <s v="Kerala"/>
    <x v="3"/>
    <n v="600001"/>
    <s v="P-122"/>
    <x v="3"/>
    <s v="Binders"/>
    <s v="Office Binder Pack"/>
    <n v="923.13"/>
    <n v="2"/>
    <n v="0.25"/>
    <n v="27.77"/>
    <s v="OK"/>
    <s v="OK"/>
  </r>
  <r>
    <n v="1650"/>
    <x v="649"/>
    <x v="294"/>
    <d v="2024-09-08T00:00:00"/>
    <s v="Second Class"/>
    <s v="CUST-1044"/>
    <s v="SNEHA NAIR"/>
    <x v="1"/>
    <s v="India"/>
    <s v="Mumbai"/>
    <s v="Maharashtra"/>
    <x v="1"/>
    <n v="682001"/>
    <s v="P-729"/>
    <x v="2"/>
    <s v="Bookcases"/>
    <s v="Wooden Bookshelf"/>
    <n v="13079.41"/>
    <n v="2"/>
    <n v="0"/>
    <n v="2308.75"/>
    <s v="OK"/>
    <s v="OK"/>
  </r>
  <r>
    <n v="1651"/>
    <x v="650"/>
    <x v="160"/>
    <d v="2024-10-03T00:00:00"/>
    <s v="First Class"/>
    <s v="CUST-1034"/>
    <s v="AARAV NAIR"/>
    <x v="2"/>
    <s v="India"/>
    <s v="Chennai"/>
    <s v="Tamil Nadu"/>
    <x v="1"/>
    <n v="600001"/>
    <s v="P-511"/>
    <x v="2"/>
    <s v="Tables"/>
    <s v="Study Table"/>
    <n v="6660.39"/>
    <n v="1"/>
    <n v="0"/>
    <n v="1298.0899999999999"/>
    <s v="OK"/>
    <s v="OK"/>
  </r>
  <r>
    <n v="1652"/>
    <x v="651"/>
    <x v="134"/>
    <d v="2024-11-02T00:00:00"/>
    <s v="First Class"/>
    <s v="CUST-1009"/>
    <s v="DIYA MATHEW"/>
    <x v="1"/>
    <s v="India"/>
    <s v="Bhubaneswar"/>
    <s v="Odisha"/>
    <x v="3"/>
    <n v="560001"/>
    <s v="P-314"/>
    <x v="0"/>
    <s v="Accessories"/>
    <s v="HP Wireless Keyboard"/>
    <n v="11696.77"/>
    <n v="7"/>
    <n v="0"/>
    <n v="1313.21"/>
    <s v="OK"/>
    <s v="OK"/>
  </r>
  <r>
    <n v="1653"/>
    <x v="652"/>
    <x v="295"/>
    <d v="2024-08-15T00:00:00"/>
    <s v="First Class"/>
    <s v="CUST-1026"/>
    <s v="AMAL THOMAS"/>
    <x v="0"/>
    <s v="India"/>
    <s v="Mumbai"/>
    <s v="Maharashtra"/>
    <x v="3"/>
    <n v="695001"/>
    <s v="P-739"/>
    <x v="1"/>
    <s v="Shoes"/>
    <s v="Running Shoes"/>
    <n v="14054.92"/>
    <n v="5"/>
    <n v="0.15"/>
    <n v="2540.94"/>
    <s v="OK"/>
    <s v="OK"/>
  </r>
  <r>
    <n v="1654"/>
    <x v="653"/>
    <x v="290"/>
    <d v="2024-11-23T00:00:00"/>
    <s v="Second Class"/>
    <s v="CUST-1074"/>
    <s v="SNEHA NAIR"/>
    <x v="1"/>
    <s v="India"/>
    <s v="Delhi"/>
    <s v="Delhi"/>
    <x v="2"/>
    <n v="400001"/>
    <s v="P-943"/>
    <x v="3"/>
    <s v="Paper"/>
    <s v="A4 Copier Paper"/>
    <n v="1396.24"/>
    <n v="3"/>
    <n v="0"/>
    <n v="321.38"/>
    <s v="OK"/>
    <s v="OK"/>
  </r>
  <r>
    <n v="1655"/>
    <x v="654"/>
    <x v="53"/>
    <d v="2024-10-22T00:00:00"/>
    <s v="Standard Class"/>
    <s v="CUST-1067"/>
    <s v="FATHIMA ALI"/>
    <x v="0"/>
    <s v="India"/>
    <s v="Kolkata"/>
    <s v="West Bengal"/>
    <x v="1"/>
    <n v="560001"/>
    <s v="P-251"/>
    <x v="3"/>
    <s v="Paper"/>
    <s v="A4 Copier Paper"/>
    <n v="986.49"/>
    <n v="3"/>
    <n v="0.25"/>
    <n v="42.82"/>
    <s v="OK"/>
    <s v="OK"/>
  </r>
  <r>
    <n v="1656"/>
    <x v="655"/>
    <x v="200"/>
    <d v="2024-08-01T00:00:00"/>
    <s v="Standard Class"/>
    <s v="CUST-1082"/>
    <s v="FATHIMA ALI"/>
    <x v="1"/>
    <s v="India"/>
    <s v="Bengaluru"/>
    <s v="Karnataka"/>
    <x v="3"/>
    <n v="695001"/>
    <s v="P-943"/>
    <x v="0"/>
    <s v="Accessories"/>
    <s v="Logitech Wireless Mouse"/>
    <n v="3358.15"/>
    <n v="4"/>
    <n v="0.25"/>
    <n v="-211.11"/>
    <s v="OK"/>
    <s v="OK"/>
  </r>
  <r>
    <n v="1657"/>
    <x v="656"/>
    <x v="296"/>
    <d v="2024-07-28T00:00:00"/>
    <s v="Standard Class"/>
    <s v="CUST-1020"/>
    <s v="FATHIMA ALI"/>
    <x v="0"/>
    <s v="India"/>
    <s v="Chennai"/>
    <s v="Tamil Nadu"/>
    <x v="0"/>
    <n v="682001"/>
    <s v="P-916"/>
    <x v="3"/>
    <s v="Art"/>
    <s v="Marker Set"/>
    <n v="1378.42"/>
    <n v="4"/>
    <n v="0.1"/>
    <n v="215.61"/>
    <s v="OK"/>
    <s v="OK"/>
  </r>
  <r>
    <n v="1658"/>
    <x v="657"/>
    <x v="216"/>
    <d v="2024-08-10T00:00:00"/>
    <s v="Standard Class"/>
    <s v="CUST-1026"/>
    <s v="RAHUL KUMAR"/>
    <x v="0"/>
    <s v="India"/>
    <s v="Hyderabad"/>
    <s v="Telangana"/>
    <x v="1"/>
    <n v="682001"/>
    <s v="P-129"/>
    <x v="2"/>
    <s v="Chairs"/>
    <s v="Ergonomic Office Chair"/>
    <n v="18979.09"/>
    <n v="3"/>
    <n v="0.25"/>
    <n v="-50.85"/>
    <s v="OK"/>
    <s v="OK"/>
  </r>
  <r>
    <n v="1659"/>
    <x v="658"/>
    <x v="297"/>
    <d v="2024-11-26T00:00:00"/>
    <s v="Same Day"/>
    <s v="CUST-1101"/>
    <s v="AARAV NAIR"/>
    <x v="1"/>
    <s v="India"/>
    <s v="Chennai"/>
    <s v="Tamil Nadu"/>
    <x v="0"/>
    <n v="110001"/>
    <s v="P-185"/>
    <x v="1"/>
    <s v="Shoes"/>
    <s v="Running Shoes"/>
    <n v="12211.37"/>
    <n v="4"/>
    <n v="0.05"/>
    <n v="2963.52"/>
    <s v="OK"/>
    <s v="OK"/>
  </r>
  <r>
    <n v="1660"/>
    <x v="659"/>
    <x v="298"/>
    <d v="2024-07-11T00:00:00"/>
    <s v="Standard Class"/>
    <s v="CUST-1051"/>
    <s v="RIYA PAUL"/>
    <x v="0"/>
    <s v="India"/>
    <s v="Mumbai"/>
    <s v="Maharashtra"/>
    <x v="2"/>
    <n v="682001"/>
    <s v="P-214"/>
    <x v="3"/>
    <s v="Storage"/>
    <s v="Document Organizer"/>
    <n v="664.81"/>
    <n v="1"/>
    <n v="0.25"/>
    <n v="19.45"/>
    <s v="OK"/>
    <s v="OK"/>
  </r>
  <r>
    <n v="1661"/>
    <x v="660"/>
    <x v="125"/>
    <d v="2024-09-12T00:00:00"/>
    <s v="Second Class"/>
    <s v="CUST-1077"/>
    <s v="ANANYA MENON"/>
    <x v="0"/>
    <s v="India"/>
    <s v="Jaipur"/>
    <s v="Rajasthan"/>
    <x v="1"/>
    <n v="695001"/>
    <s v="P-952"/>
    <x v="1"/>
    <s v="Shirts"/>
    <s v="Cotton Casual Shirt"/>
    <n v="1141.8499999999999"/>
    <n v="1"/>
    <n v="0.15"/>
    <n v="144.49"/>
    <s v="OK"/>
    <s v="OK"/>
  </r>
  <r>
    <n v="1662"/>
    <x v="661"/>
    <x v="216"/>
    <d v="2024-08-06T00:00:00"/>
    <s v="Second Class"/>
    <s v="CUST-1014"/>
    <s v="RAHUL KUMAR"/>
    <x v="0"/>
    <s v="India"/>
    <s v="Jaipur"/>
    <s v="Rajasthan"/>
    <x v="2"/>
    <n v="695001"/>
    <s v="P-550"/>
    <x v="1"/>
    <s v="Shirts"/>
    <s v="Cotton Casual Shirt"/>
    <n v="5339.81"/>
    <n v="4"/>
    <n v="0.1"/>
    <n v="849.18"/>
    <s v="OK"/>
    <s v="OK"/>
  </r>
  <r>
    <n v="1663"/>
    <x v="662"/>
    <x v="245"/>
    <d v="2024-12-25T00:00:00"/>
    <s v="First Class"/>
    <s v="CUST-1070"/>
    <s v="AMAL THOMAS"/>
    <x v="2"/>
    <s v="India"/>
    <s v="Pune"/>
    <s v="Maharashtra"/>
    <x v="2"/>
    <n v="400001"/>
    <s v="P-352"/>
    <x v="2"/>
    <s v="Chairs"/>
    <s v="Ergonomic Office Chair"/>
    <n v="7317.74"/>
    <n v="1"/>
    <n v="0.2"/>
    <n v="201.63"/>
    <s v="OK"/>
    <s v="OK"/>
  </r>
  <r>
    <n v="1664"/>
    <x v="663"/>
    <x v="51"/>
    <d v="2024-07-10T00:00:00"/>
    <s v="Standard Class"/>
    <s v="CUST-1083"/>
    <s v="MUHAMMED SHAFI"/>
    <x v="1"/>
    <s v="India"/>
    <s v="Chennai"/>
    <s v="Tamil Nadu"/>
    <x v="0"/>
    <n v="110001"/>
    <s v="P-857"/>
    <x v="4"/>
    <s v="Kitchen"/>
    <s v="Mixer Grinder"/>
    <n v="3853.5"/>
    <n v="1"/>
    <n v="0.3"/>
    <n v="-286.76"/>
    <s v="OK"/>
    <s v="OK"/>
  </r>
  <r>
    <n v="1665"/>
    <x v="664"/>
    <x v="49"/>
    <d v="2024-05-14T00:00:00"/>
    <s v="Same Day"/>
    <s v="CUST-1040"/>
    <s v="ADIL KHAN"/>
    <x v="2"/>
    <s v="India"/>
    <s v="Lucknow"/>
    <s v="Uttar Pradesh"/>
    <x v="1"/>
    <n v="110001"/>
    <s v="P-801"/>
    <x v="1"/>
    <s v="Shoes"/>
    <s v="Running Shoes"/>
    <n v="11812.53"/>
    <n v="4"/>
    <n v="0.1"/>
    <n v="2183.35"/>
    <s v="OK"/>
    <s v="OK"/>
  </r>
  <r>
    <n v="1666"/>
    <x v="665"/>
    <x v="165"/>
    <d v="2024-01-09T00:00:00"/>
    <s v="First Class"/>
    <s v="CUST-1039"/>
    <s v="ANANYA MENON"/>
    <x v="2"/>
    <s v="India"/>
    <s v="Kochi"/>
    <s v="Kerala"/>
    <x v="2"/>
    <n v="695001"/>
    <s v="P-315"/>
    <x v="3"/>
    <s v="Binders"/>
    <s v="Office Binder Pack"/>
    <n v="2459.09"/>
    <n v="5"/>
    <n v="0.25"/>
    <n v="102.32"/>
    <s v="OK"/>
    <s v="OK"/>
  </r>
  <r>
    <n v="1667"/>
    <x v="666"/>
    <x v="297"/>
    <d v="2024-11-29T00:00:00"/>
    <s v="Standard Class"/>
    <s v="CUST-1036"/>
    <s v="RIYA PAUL"/>
    <x v="0"/>
    <s v="India"/>
    <s v="Hyderabad"/>
    <s v="Telangana"/>
    <x v="0"/>
    <n v="110001"/>
    <s v="P-898"/>
    <x v="4"/>
    <s v="Kitchen"/>
    <s v="Mixer Grinder"/>
    <n v="8876.81"/>
    <n v="2"/>
    <n v="0.2"/>
    <n v="0"/>
    <s v="OK"/>
    <s v="OK"/>
  </r>
  <r>
    <n v="1668"/>
    <x v="667"/>
    <x v="216"/>
    <d v="2024-08-05T00:00:00"/>
    <s v="Second Class"/>
    <s v="CUST-1090"/>
    <s v="ARJUN DAS"/>
    <x v="1"/>
    <s v="India"/>
    <s v="Ahmedabad"/>
    <s v="Gujarat"/>
    <x v="0"/>
    <n v="695001"/>
    <s v="P-530"/>
    <x v="3"/>
    <s v="Paper"/>
    <s v="A4 Copier Paper"/>
    <n v="2324.09"/>
    <n v="6"/>
    <n v="0.2"/>
    <n v="174.91"/>
    <s v="OK"/>
    <s v="OK"/>
  </r>
  <r>
    <n v="1669"/>
    <x v="668"/>
    <x v="243"/>
    <d v="2024-12-22T00:00:00"/>
    <s v="Standard Class"/>
    <s v="CUST-1083"/>
    <s v="ADIL KHAN"/>
    <x v="1"/>
    <s v="India"/>
    <s v="Jaipur"/>
    <s v="Rajasthan"/>
    <x v="2"/>
    <n v="400001"/>
    <s v="P-554"/>
    <x v="1"/>
    <s v="Shirts"/>
    <s v="Cotton Casual Shirt"/>
    <n v="3731.55"/>
    <n v="4"/>
    <n v="0.3"/>
    <n v="223.73"/>
    <s v="OK"/>
    <s v="OK"/>
  </r>
  <r>
    <n v="1670"/>
    <x v="669"/>
    <x v="137"/>
    <d v="2024-06-14T00:00:00"/>
    <s v="Standard Class"/>
    <s v="CUST-1015"/>
    <s v="RAHUL KUMAR"/>
    <x v="0"/>
    <s v="India"/>
    <s v="Bhubaneswar"/>
    <s v="Odisha"/>
    <x v="2"/>
    <n v="600001"/>
    <s v="P-830"/>
    <x v="3"/>
    <s v="Art"/>
    <s v="Marker Set"/>
    <n v="601.78"/>
    <n v="2"/>
    <n v="0.15"/>
    <n v="47.21"/>
    <s v="OK"/>
    <s v="OK"/>
  </r>
  <r>
    <n v="1671"/>
    <x v="670"/>
    <x v="299"/>
    <d v="2024-06-16T00:00:00"/>
    <s v="Same Day"/>
    <s v="CUST-1112"/>
    <s v="NIKHIL VARMA"/>
    <x v="1"/>
    <s v="India"/>
    <s v="Bhubaneswar"/>
    <s v="Odisha"/>
    <x v="2"/>
    <n v="695001"/>
    <s v="P-277"/>
    <x v="4"/>
    <s v="Kitchen"/>
    <s v="Electric Kettle"/>
    <n v="1586.03"/>
    <n v="1"/>
    <n v="0.25"/>
    <n v="-50.58"/>
    <s v="OK"/>
    <s v="OK"/>
  </r>
  <r>
    <n v="1672"/>
    <x v="671"/>
    <x v="62"/>
    <d v="2024-02-17T00:00:00"/>
    <s v="First Class"/>
    <s v="CUST-1024"/>
    <s v="MUHAMMAD RABEEH"/>
    <x v="1"/>
    <s v="India"/>
    <s v="Lucknow"/>
    <s v="Uttar Pradesh"/>
    <x v="3"/>
    <n v="110001"/>
    <s v="P-684"/>
    <x v="3"/>
    <s v="Storage"/>
    <s v="Document Organizer"/>
    <n v="4526.8999999999996"/>
    <n v="5"/>
    <n v="0.1"/>
    <n v="680.55"/>
    <s v="OK"/>
    <s v="OK"/>
  </r>
  <r>
    <n v="1673"/>
    <x v="672"/>
    <x v="229"/>
    <d v="2024-02-19T00:00:00"/>
    <s v="Second Class"/>
    <s v="CUST-1034"/>
    <s v="NIKHIL VARMA"/>
    <x v="2"/>
    <s v="India"/>
    <s v="Bengaluru"/>
    <s v="Karnataka"/>
    <x v="2"/>
    <n v="673001"/>
    <s v="P-510"/>
    <x v="0"/>
    <s v="Laptops"/>
    <s v="Dell Inspiron 15"/>
    <n v="291704.32000000001"/>
    <n v="6"/>
    <n v="0.1"/>
    <n v="12637.68"/>
    <s v="OK"/>
    <s v="OK"/>
  </r>
  <r>
    <n v="1674"/>
    <x v="673"/>
    <x v="300"/>
    <d v="2024-04-02T00:00:00"/>
    <s v="Standard Class"/>
    <s v="CUST-1002"/>
    <s v="NIKHIL VARMA"/>
    <x v="1"/>
    <s v="India"/>
    <s v="Jaipur"/>
    <s v="Rajasthan"/>
    <x v="3"/>
    <n v="110001"/>
    <s v="P-564"/>
    <x v="2"/>
    <s v="Bookcases"/>
    <s v="Wooden Bookshelf"/>
    <n v="4993.79"/>
    <n v="1"/>
    <n v="0.2"/>
    <n v="140.15"/>
    <s v="OK"/>
    <s v="OK"/>
  </r>
  <r>
    <n v="1675"/>
    <x v="674"/>
    <x v="74"/>
    <d v="2024-04-10T00:00:00"/>
    <s v="First Class"/>
    <s v="CUST-1096"/>
    <s v="SNEHA NAIR "/>
    <x v="0"/>
    <s v="India"/>
    <s v="Hyderabad"/>
    <s v="Telangana"/>
    <x v="3"/>
    <n v="682001"/>
    <s v="P-541"/>
    <x v="3"/>
    <s v="Art"/>
    <s v="Marker Set"/>
    <n v="368.68"/>
    <n v="1"/>
    <n v="0.1"/>
    <n v="38.33"/>
    <s v="OK"/>
    <s v="OK"/>
  </r>
  <r>
    <n v="1676"/>
    <x v="675"/>
    <x v="37"/>
    <d v="2024-12-14T00:00:00"/>
    <s v="Same Day"/>
    <s v="CUST-1024"/>
    <s v="AMAL THOMAS"/>
    <x v="1"/>
    <s v="India"/>
    <s v="Hyderabad"/>
    <s v="Telangana"/>
    <x v="2"/>
    <n v="673001"/>
    <s v="P-397"/>
    <x v="0"/>
    <s v="Accessories"/>
    <s v="HP Wireless Keyboard"/>
    <n v="12958.79"/>
    <n v="8"/>
    <n v="0.15"/>
    <n v="168.36"/>
    <s v="OK"/>
    <s v="OK"/>
  </r>
  <r>
    <n v="1677"/>
    <x v="676"/>
    <x v="149"/>
    <d v="2024-10-31T00:00:00"/>
    <s v="Same Day"/>
    <s v="CUST-1011"/>
    <s v="AARAV NAIR"/>
    <x v="1"/>
    <s v="India"/>
    <s v="Chennai"/>
    <s v="Tamil Nadu"/>
    <x v="3"/>
    <n v="682001"/>
    <s v="P-992"/>
    <x v="0"/>
    <s v="Accessories"/>
    <s v="HP Wireless Keyboard"/>
    <n v="8555.14"/>
    <n v="6"/>
    <n v="0.2"/>
    <n v="-190.37"/>
    <s v="OK"/>
    <s v="OK"/>
  </r>
  <r>
    <n v="1678"/>
    <x v="677"/>
    <x v="206"/>
    <d v="2025-01-01T00:00:00"/>
    <s v="First Class"/>
    <s v="CUST-1010"/>
    <s v="ANANYA MENON"/>
    <x v="0"/>
    <s v="India"/>
    <s v="Mumbai"/>
    <s v="Maharashtra"/>
    <x v="0"/>
    <n v="673001"/>
    <s v="P-440"/>
    <x v="1"/>
    <s v="Shirts"/>
    <s v="Cotton Casual Shirt"/>
    <n v="1047.76"/>
    <n v="1"/>
    <n v="0.25"/>
    <n v="-52"/>
    <s v="OK"/>
    <s v="OK"/>
  </r>
  <r>
    <n v="1679"/>
    <x v="678"/>
    <x v="239"/>
    <d v="2024-01-06T00:00:00"/>
    <s v="Same Day"/>
    <s v="CUST-1039"/>
    <s v="AMAL THOMAS"/>
    <x v="2"/>
    <s v="India"/>
    <s v="Bengaluru"/>
    <s v="Karnataka"/>
    <x v="1"/>
    <n v="682001"/>
    <s v="P-672"/>
    <x v="3"/>
    <s v="Paper"/>
    <s v="A4 Copier Paper"/>
    <n v="3830.8"/>
    <n v="8"/>
    <n v="0"/>
    <n v="736.17"/>
    <s v="OK"/>
    <s v="OK"/>
  </r>
  <r>
    <n v="1680"/>
    <x v="679"/>
    <x v="99"/>
    <d v="2024-06-26T00:00:00"/>
    <s v="Second Class"/>
    <s v="CUST-1012"/>
    <s v="MEERA JOSEPH"/>
    <x v="0"/>
    <s v="India"/>
    <s v="Kozhikode"/>
    <s v="Kerala"/>
    <x v="3"/>
    <n v="682001"/>
    <s v="P-366"/>
    <x v="3"/>
    <s v="Storage"/>
    <s v="Document Organizer"/>
    <n v="641.25"/>
    <n v="1"/>
    <n v="0.3"/>
    <n v="3.35"/>
    <s v="OK"/>
    <s v="OK"/>
  </r>
  <r>
    <n v="1681"/>
    <x v="680"/>
    <x v="170"/>
    <d v="2024-07-07T00:00:00"/>
    <s v="First Class"/>
    <s v="CUST-1116"/>
    <s v="MUHAMMED SHAFI"/>
    <x v="0"/>
    <s v="India"/>
    <s v="Kochi"/>
    <s v="Kerala"/>
    <x v="1"/>
    <n v="600001"/>
    <s v="P-949"/>
    <x v="2"/>
    <s v="Tables"/>
    <s v="Study Table"/>
    <n v="6523.79"/>
    <n v="1"/>
    <n v="0.15"/>
    <n v="348.75"/>
    <s v="OK"/>
    <s v="OK"/>
  </r>
  <r>
    <n v="1682"/>
    <x v="681"/>
    <x v="6"/>
    <d v="2024-06-16T00:00:00"/>
    <s v="Same Day"/>
    <s v="CUST-1098"/>
    <s v="RAHUL KUMAR"/>
    <x v="0"/>
    <s v="India"/>
    <s v="Bhubaneswar"/>
    <s v="Odisha"/>
    <x v="3"/>
    <n v="673001"/>
    <s v="P-293"/>
    <x v="4"/>
    <s v="Kitchen"/>
    <s v="Mixer Grinder"/>
    <n v="11236.81"/>
    <n v="2"/>
    <n v="0.05"/>
    <n v="1167.6600000000001"/>
    <s v="OK"/>
    <s v="OK"/>
  </r>
  <r>
    <n v="1683"/>
    <x v="682"/>
    <x v="5"/>
    <d v="2024-03-30T00:00:00"/>
    <s v="Same Day"/>
    <s v="CUST-1056"/>
    <s v="ANANYA MENON"/>
    <x v="0"/>
    <s v="India"/>
    <s v="Thiruvananthapuram"/>
    <s v="Kerala"/>
    <x v="3"/>
    <n v="673001"/>
    <s v="P-552"/>
    <x v="0"/>
    <s v="Laptops"/>
    <s v="Dell Inspiron 15"/>
    <n v="45848.58"/>
    <n v="1"/>
    <n v="0.15"/>
    <n v="467.53"/>
    <s v="OK"/>
    <s v="OK"/>
  </r>
  <r>
    <n v="1684"/>
    <x v="683"/>
    <x v="272"/>
    <d v="2024-03-17T00:00:00"/>
    <s v="First Class"/>
    <s v="CUST-1012"/>
    <s v="FATHIMA ALI"/>
    <x v="1"/>
    <s v="India"/>
    <s v="Mumbai"/>
    <s v="Maharashtra"/>
    <x v="1"/>
    <n v="682001"/>
    <s v="P-954"/>
    <x v="1"/>
    <s v="Shirts"/>
    <s v="Cotton Casual Shirt"/>
    <n v="2896.69"/>
    <n v="2"/>
    <n v="0"/>
    <n v="872.28"/>
    <s v="OK"/>
    <s v="OK"/>
  </r>
  <r>
    <n v="1685"/>
    <x v="684"/>
    <x v="149"/>
    <d v="2024-10-26T00:00:00"/>
    <s v="Second Class"/>
    <s v="CUST-1054"/>
    <s v="MUHAMMED SHAFI"/>
    <x v="0"/>
    <s v="India"/>
    <s v="Thiruvananthapuram"/>
    <s v="Kerala"/>
    <x v="0"/>
    <n v="682001"/>
    <s v="P-886"/>
    <x v="1"/>
    <s v="Shirts"/>
    <s v="Cotton Casual Shirt"/>
    <n v="2390.85"/>
    <n v="2"/>
    <n v="0.1"/>
    <n v="384.26"/>
    <s v="OK"/>
    <s v="OK"/>
  </r>
  <r>
    <n v="1686"/>
    <x v="685"/>
    <x v="143"/>
    <d v="2024-12-20T00:00:00"/>
    <s v="Standard Class"/>
    <s v="CUST-1051"/>
    <s v="MEERA JOSEPH"/>
    <x v="0"/>
    <s v="India"/>
    <s v="Ahmedabad"/>
    <s v="Gujarat"/>
    <x v="0"/>
    <n v="110001"/>
    <s v="P-431"/>
    <x v="3"/>
    <s v="Art"/>
    <s v="Marker Set"/>
    <n v="694.72"/>
    <n v="2"/>
    <n v="0.15"/>
    <n v="59.85"/>
    <s v="OK"/>
    <s v="OK"/>
  </r>
  <r>
    <n v="1687"/>
    <x v="686"/>
    <x v="151"/>
    <d v="2024-08-26T00:00:00"/>
    <s v="First Class"/>
    <s v="CUST-1077"/>
    <s v="ADIL KHAN"/>
    <x v="0"/>
    <s v="India"/>
    <s v="Thiruvananthapuram"/>
    <s v="Kerala"/>
    <x v="0"/>
    <n v="695001"/>
    <s v="P-144"/>
    <x v="0"/>
    <s v="Laptops"/>
    <s v="Dell Inspiron 15"/>
    <n v="192319.69"/>
    <n v="5"/>
    <n v="0.3"/>
    <n v="-16284.06"/>
    <s v="OK"/>
    <s v="OK"/>
  </r>
  <r>
    <n v="1688"/>
    <x v="687"/>
    <x v="301"/>
    <d v="2024-04-19T00:00:00"/>
    <s v="First Class"/>
    <s v="CUST-1042"/>
    <s v="ASHA KRISHNAN"/>
    <x v="2"/>
    <s v="India"/>
    <s v="Lucknow"/>
    <s v="Uttar Pradesh"/>
    <x v="0"/>
    <n v="400001"/>
    <s v="P-172"/>
    <x v="3"/>
    <s v="Storage"/>
    <s v="Document Organizer"/>
    <n v="1732"/>
    <n v="2"/>
    <n v="0.05"/>
    <n v="343.89"/>
    <s v="OK"/>
    <s v="OK"/>
  </r>
  <r>
    <n v="1689"/>
    <x v="688"/>
    <x v="23"/>
    <d v="2024-05-06T00:00:00"/>
    <s v="Standard Class"/>
    <s v="CUST-1003"/>
    <s v="RIYA PAUL"/>
    <x v="0"/>
    <s v="India"/>
    <s v="Delhi"/>
    <s v="Delhi"/>
    <x v="2"/>
    <n v="682001"/>
    <s v="P-497"/>
    <x v="3"/>
    <s v="Storage"/>
    <s v="Document Organizer"/>
    <n v="1789.2"/>
    <n v="2"/>
    <n v="0.05"/>
    <n v="301.91000000000003"/>
    <s v="OK"/>
    <s v="OK"/>
  </r>
  <r>
    <n v="1690"/>
    <x v="689"/>
    <x v="104"/>
    <d v="2024-03-05T00:00:00"/>
    <s v="Same Day"/>
    <s v="CUST-1103"/>
    <s v="AMAL THOMAS"/>
    <x v="0"/>
    <s v="India"/>
    <s v="Bhubaneswar"/>
    <s v="Odisha"/>
    <x v="1"/>
    <n v="400001"/>
    <s v="P-717"/>
    <x v="2"/>
    <s v="Bookcases"/>
    <s v="Wooden Bookshelf"/>
    <n v="23772.25"/>
    <n v="4"/>
    <n v="0.05"/>
    <n v="3171.83"/>
    <s v="OK"/>
    <s v="OK"/>
  </r>
  <r>
    <n v="1691"/>
    <x v="690"/>
    <x v="294"/>
    <d v="2024-09-11T00:00:00"/>
    <s v="Same Day"/>
    <s v="CUST-1061"/>
    <s v="ARJUN DAS"/>
    <x v="1"/>
    <s v="India"/>
    <s v="Thiruvananthapuram"/>
    <s v="Kerala"/>
    <x v="3"/>
    <n v="673001"/>
    <s v="P-874"/>
    <x v="2"/>
    <s v="Tables"/>
    <s v="Study Table"/>
    <n v="30655.71"/>
    <n v="5"/>
    <n v="0.1"/>
    <n v="2753.69"/>
    <s v="OK"/>
    <s v="OK"/>
  </r>
  <r>
    <n v="1692"/>
    <x v="691"/>
    <x v="27"/>
    <d v="2024-02-18T00:00:00"/>
    <s v="First Class"/>
    <s v="CUST-1060"/>
    <s v="ADIL KHAN"/>
    <x v="0"/>
    <s v="India"/>
    <s v="Pune"/>
    <s v="Maharashtra"/>
    <x v="2"/>
    <n v="400001"/>
    <s v="P-802"/>
    <x v="1"/>
    <s v="Shoes"/>
    <s v="Running Shoes"/>
    <n v="2580.25"/>
    <n v="1"/>
    <n v="0.25"/>
    <n v="198.47"/>
    <s v="OK"/>
    <s v="OK"/>
  </r>
  <r>
    <n v="1693"/>
    <x v="692"/>
    <x v="106"/>
    <d v="2024-06-01T00:00:00"/>
    <s v="Same Day"/>
    <s v="CUST-1011"/>
    <s v="MUHAMMED SHAFI"/>
    <x v="2"/>
    <s v="India"/>
    <s v="Kolkata"/>
    <s v="West Bengal"/>
    <x v="3"/>
    <n v="695001"/>
    <s v="P-252"/>
    <x v="0"/>
    <s v="Accessories"/>
    <s v="Logitech Wireless Mouse"/>
    <n v="3690.28"/>
    <n v="3"/>
    <n v="0"/>
    <n v="370.45"/>
    <s v="OK"/>
    <s v="OK"/>
  </r>
  <r>
    <n v="1694"/>
    <x v="693"/>
    <x v="86"/>
    <d v="2024-06-05T00:00:00"/>
    <s v="Standard Class"/>
    <s v="CUST-1071"/>
    <s v="ANANYA MENON"/>
    <x v="2"/>
    <s v="India"/>
    <s v="Thiruvananthapuram"/>
    <s v="Kerala"/>
    <x v="0"/>
    <n v="600001"/>
    <s v="P-210"/>
    <x v="3"/>
    <s v="Art"/>
    <s v="Marker Set"/>
    <n v="1487.35"/>
    <n v="5"/>
    <n v="0.25"/>
    <n v="45.48"/>
    <s v="OK"/>
    <s v="OK"/>
  </r>
  <r>
    <n v="1695"/>
    <x v="694"/>
    <x v="16"/>
    <d v="2024-07-03T00:00:00"/>
    <s v="Standard Class"/>
    <s v="CUST-1099"/>
    <s v="VISHNU RAJ"/>
    <x v="0"/>
    <s v="India"/>
    <s v="Delhi"/>
    <s v="Delhi"/>
    <x v="0"/>
    <n v="673001"/>
    <s v="P-858"/>
    <x v="2"/>
    <s v="Bookcases"/>
    <s v="Wooden Bookshelf"/>
    <n v="11697.86"/>
    <n v="2"/>
    <n v="0.15"/>
    <n v="714.22"/>
    <s v="OK"/>
    <s v="OK"/>
  </r>
  <r>
    <n v="1696"/>
    <x v="695"/>
    <x v="103"/>
    <d v="2024-01-25T00:00:00"/>
    <s v="Same Day"/>
    <s v="CUST-1113"/>
    <s v="NIKHIL VARMA"/>
    <x v="0"/>
    <s v="India"/>
    <s v="Lucknow"/>
    <s v="Uttar Pradesh"/>
    <x v="1"/>
    <n v="695001"/>
    <s v="P-701"/>
    <x v="3"/>
    <s v="Paper"/>
    <s v="A4 Copier Paper"/>
    <n v="323.25"/>
    <n v="1"/>
    <n v="0.25"/>
    <n v="9.5399999999999991"/>
    <s v="OK"/>
    <s v="OK"/>
  </r>
  <r>
    <n v="1697"/>
    <x v="696"/>
    <x v="302"/>
    <d v="2024-06-25T00:00:00"/>
    <s v="Second Class"/>
    <s v="CUST-1024"/>
    <s v="ANANYA MENON"/>
    <x v="1"/>
    <s v="India"/>
    <s v="Kolkata"/>
    <s v="West Bengal"/>
    <x v="1"/>
    <n v="110001"/>
    <s v="P-789"/>
    <x v="3"/>
    <s v="Paper"/>
    <s v="A4 Copier Paper"/>
    <n v="724.58"/>
    <n v="2"/>
    <n v="0.15"/>
    <n v="75"/>
    <s v="OK"/>
    <s v="OK"/>
  </r>
  <r>
    <n v="1698"/>
    <x v="697"/>
    <x v="169"/>
    <d v="2024-01-09T00:00:00"/>
    <s v="Same Day"/>
    <s v="CUST-1059"/>
    <s v="NIKHIL VARMA"/>
    <x v="0"/>
    <s v="India"/>
    <s v="Kochi"/>
    <s v="Kerala"/>
    <x v="3"/>
    <n v="110001"/>
    <s v="P-773"/>
    <x v="2"/>
    <s v="Bookcases"/>
    <s v="Wooden Bookshelf"/>
    <n v="6233.09"/>
    <n v="1"/>
    <n v="0"/>
    <n v="1161.29"/>
    <s v="OK"/>
    <s v="OK"/>
  </r>
  <r>
    <n v="1699"/>
    <x v="698"/>
    <x v="283"/>
    <d v="2024-12-25T00:00:00"/>
    <s v="Same Day"/>
    <s v="CUST-1103"/>
    <s v="ARJUN DAS"/>
    <x v="1"/>
    <s v="India"/>
    <s v="Kolkata"/>
    <s v="West Bengal"/>
    <x v="0"/>
    <n v="682001"/>
    <s v="P-238"/>
    <x v="3"/>
    <s v="Storage"/>
    <s v="Document Organizer"/>
    <n v="1503.19"/>
    <n v="2"/>
    <n v="0.2"/>
    <n v="92"/>
    <s v="OK"/>
    <s v="OK"/>
  </r>
  <r>
    <n v="1700"/>
    <x v="699"/>
    <x v="117"/>
    <d v="2024-01-16T00:00:00"/>
    <s v="Same Day"/>
    <s v="CUST-1084"/>
    <s v="RAHUL KUMAR"/>
    <x v="0"/>
    <s v="India"/>
    <s v="Kozhikode"/>
    <s v="Kerala"/>
    <x v="2"/>
    <n v="560001"/>
    <s v="P-962"/>
    <x v="0"/>
    <s v="Accessories"/>
    <s v="HP Wireless Keyboard"/>
    <n v="1650.36"/>
    <n v="1"/>
    <n v="0.1"/>
    <n v="81.94"/>
    <s v="OK"/>
    <s v="OK"/>
  </r>
  <r>
    <n v="1701"/>
    <x v="700"/>
    <x v="109"/>
    <d v="2024-08-27T00:00:00"/>
    <s v="Same Day"/>
    <s v="CUST-1055"/>
    <s v="AARAV NAIR"/>
    <x v="1"/>
    <s v="India"/>
    <s v="Lucknow"/>
    <s v="Uttar Pradesh"/>
    <x v="0"/>
    <n v="682001"/>
    <s v="P-256"/>
    <x v="4"/>
    <s v="Kitchen"/>
    <s v="Electric Kettle"/>
    <n v="1770.38"/>
    <n v="1"/>
    <n v="0.15"/>
    <n v="47.98"/>
    <s v="OK"/>
    <s v="OK"/>
  </r>
  <r>
    <n v="1702"/>
    <x v="701"/>
    <x v="175"/>
    <d v="2024-08-23T00:00:00"/>
    <s v="Second Class"/>
    <s v="CUST-1026"/>
    <s v="ARJUN DAS"/>
    <x v="0"/>
    <s v="India"/>
    <s v="Kolkata"/>
    <s v="West Bengal"/>
    <x v="3"/>
    <n v="673001"/>
    <s v="P-441"/>
    <x v="1"/>
    <s v="Shirts"/>
    <s v="Cotton Casual Shirt"/>
    <n v="3888.64"/>
    <n v="3"/>
    <n v="0"/>
    <n v="1087.07"/>
    <s v="OK"/>
    <s v="OK"/>
  </r>
  <r>
    <n v="1703"/>
    <x v="702"/>
    <x v="28"/>
    <d v="2024-09-16T00:00:00"/>
    <s v="First Class"/>
    <s v="CUST-1005"/>
    <s v="SNEHA NAIR"/>
    <x v="1"/>
    <s v="India"/>
    <s v="Kozhikode"/>
    <s v="Kerala"/>
    <x v="3"/>
    <n v="560001"/>
    <s v="P-625"/>
    <x v="0"/>
    <s v="Mobiles"/>
    <s v="Samsung Galaxy A55"/>
    <n v="110830.54"/>
    <n v="4"/>
    <n v="0.25"/>
    <n v="-5744.8"/>
    <s v="OK"/>
    <s v="OK"/>
  </r>
  <r>
    <n v="1704"/>
    <x v="703"/>
    <x v="82"/>
    <d v="2024-05-04T00:00:00"/>
    <s v="Standard Class"/>
    <s v="CUST-1068"/>
    <s v="AARAV NAIR"/>
    <x v="1"/>
    <s v="India"/>
    <s v="Jaipur"/>
    <s v="Rajasthan"/>
    <x v="3"/>
    <n v="600001"/>
    <s v="P-423"/>
    <x v="1"/>
    <s v="Shirts"/>
    <s v="Cotton Casual Shirt"/>
    <n v="4135.8599999999997"/>
    <n v="4"/>
    <n v="0.3"/>
    <n v="262.24"/>
    <s v="OK"/>
    <s v="OK"/>
  </r>
  <r>
    <n v="1705"/>
    <x v="704"/>
    <x v="91"/>
    <d v="2024-03-04T00:00:00"/>
    <s v="First Class"/>
    <s v="CUST-1058"/>
    <s v="NIKHIL VARMA"/>
    <x v="0"/>
    <s v="India"/>
    <s v="Delhi"/>
    <s v="Delhi"/>
    <x v="3"/>
    <n v="673001"/>
    <s v="P-265"/>
    <x v="0"/>
    <s v="Mobiles"/>
    <s v="Samsung Galaxy A55"/>
    <n v="76632.45"/>
    <n v="3"/>
    <n v="0.3"/>
    <n v="-7713.17"/>
    <s v="OK"/>
    <s v="OK"/>
  </r>
  <r>
    <n v="1706"/>
    <x v="705"/>
    <x v="303"/>
    <d v="2024-09-18T00:00:00"/>
    <s v="First Class"/>
    <s v="CUST-1118"/>
    <s v="DIYA MATHEW"/>
    <x v="0"/>
    <s v="India"/>
    <s v="Chennai"/>
    <s v="Tamil Nadu"/>
    <x v="3"/>
    <n v="682001"/>
    <s v="P-400"/>
    <x v="1"/>
    <s v="Shirts"/>
    <s v="Cotton Casual Shirt"/>
    <n v="2401.4"/>
    <n v="2"/>
    <n v="0.1"/>
    <n v="358.05"/>
    <s v="OK"/>
    <s v="OK"/>
  </r>
  <r>
    <n v="1707"/>
    <x v="706"/>
    <x v="152"/>
    <d v="2024-08-31T00:00:00"/>
    <s v="Second Class"/>
    <s v="CUST-1037"/>
    <s v="NIKHIL VARMA"/>
    <x v="0"/>
    <s v="India"/>
    <s v="Kolkata"/>
    <s v="West Bengal"/>
    <x v="0"/>
    <n v="400001"/>
    <s v="P-594"/>
    <x v="1"/>
    <s v="Shirts"/>
    <s v="Cotton Casual Shirt"/>
    <n v="2157.48"/>
    <n v="2"/>
    <n v="0.2"/>
    <n v="201.56"/>
    <s v="OK"/>
    <s v="OK"/>
  </r>
  <r>
    <n v="1708"/>
    <x v="707"/>
    <x v="102"/>
    <d v="2024-08-04T00:00:00"/>
    <s v="First Class"/>
    <s v="CUST-1031"/>
    <s v="FATHIMA ALI"/>
    <x v="0"/>
    <s v="India"/>
    <s v="Thiruvananthapuram"/>
    <s v="Kerala"/>
    <x v="0"/>
    <n v="673001"/>
    <s v="P-467"/>
    <x v="0"/>
    <s v="Accessories"/>
    <s v="Logitech Wireless Mouse"/>
    <n v="3617.95"/>
    <n v="3"/>
    <n v="0"/>
    <n v="484.85"/>
    <s v="OK"/>
    <s v="OK"/>
  </r>
  <r>
    <n v="1709"/>
    <x v="708"/>
    <x v="236"/>
    <d v="2024-02-05T00:00:00"/>
    <s v="Same Day"/>
    <s v="CUST-1015"/>
    <s v="DIYA MATHEW"/>
    <x v="1"/>
    <s v="India"/>
    <s v="Chennai"/>
    <s v="Tamil Nadu"/>
    <x v="2"/>
    <n v="673001"/>
    <s v="P-675"/>
    <x v="2"/>
    <s v="Tables"/>
    <s v="Study Table"/>
    <n v="6669.32"/>
    <n v="1"/>
    <n v="0"/>
    <n v="865.47"/>
    <s v="OK"/>
    <s v="OK"/>
  </r>
  <r>
    <n v="1710"/>
    <x v="709"/>
    <x v="103"/>
    <d v="2024-01-29T00:00:00"/>
    <s v="First Class"/>
    <s v="CUST-1115"/>
    <s v="RAHUL KUMAR"/>
    <x v="0"/>
    <s v="India"/>
    <s v="Bengaluru"/>
    <s v="Karnataka"/>
    <x v="0"/>
    <n v="400001"/>
    <s v="P-151"/>
    <x v="3"/>
    <s v="Paper"/>
    <s v="A4 Copier Paper"/>
    <n v="714.49"/>
    <n v="2"/>
    <n v="0.2"/>
    <n v="60.86"/>
    <s v="OK"/>
    <s v="OK"/>
  </r>
  <r>
    <n v="1711"/>
    <x v="710"/>
    <x v="54"/>
    <d v="2024-02-29T00:00:00"/>
    <s v="Standard Class"/>
    <s v="CUST-1106"/>
    <s v="VISHNU RAJ"/>
    <x v="0"/>
    <s v="India"/>
    <s v="Ahmedabad"/>
    <s v="Gujarat"/>
    <x v="0"/>
    <n v="600001"/>
    <s v="P-207"/>
    <x v="1"/>
    <s v="Shoes"/>
    <s v="Running Shoes"/>
    <n v="15529.36"/>
    <n v="5"/>
    <n v="0"/>
    <n v="3896.38"/>
    <s v="OK"/>
    <s v="OK"/>
  </r>
  <r>
    <n v="1712"/>
    <x v="711"/>
    <x v="64"/>
    <d v="2024-03-27T00:00:00"/>
    <s v="First Class"/>
    <s v="CUST-1091"/>
    <s v="SNEHA NAIR"/>
    <x v="0"/>
    <s v="India"/>
    <s v="Thiruvananthapuram"/>
    <s v="Kerala"/>
    <x v="0"/>
    <n v="400001"/>
    <s v="P-991"/>
    <x v="3"/>
    <s v="Art"/>
    <s v="Marker Set"/>
    <n v="281.7"/>
    <n v="1"/>
    <n v="0.2"/>
    <n v="16.25"/>
    <s v="OK"/>
    <s v="OK"/>
  </r>
  <r>
    <n v="1713"/>
    <x v="712"/>
    <x v="288"/>
    <d v="2024-03-05T00:00:00"/>
    <s v="Same Day"/>
    <s v="CUST-1054"/>
    <s v="ASHA KRISHNAN"/>
    <x v="1"/>
    <s v="India"/>
    <s v="Kochi"/>
    <s v="Kerala"/>
    <x v="0"/>
    <n v="682001"/>
    <s v="P-954"/>
    <x v="0"/>
    <s v="Accessories"/>
    <s v="Logitech Wireless Mouse"/>
    <n v="2457.52"/>
    <n v="2"/>
    <n v="0.05"/>
    <n v="234.75"/>
    <s v="OK"/>
    <s v="OK"/>
  </r>
  <r>
    <n v="1714"/>
    <x v="713"/>
    <x v="304"/>
    <d v="2024-05-19T00:00:00"/>
    <s v="Same Day"/>
    <s v="CUST-1047"/>
    <s v="ADIL KHAN"/>
    <x v="0"/>
    <s v="India"/>
    <s v="Bhubaneswar"/>
    <s v="Odisha"/>
    <x v="2"/>
    <n v="682001"/>
    <s v="P-871"/>
    <x v="3"/>
    <s v="Paper"/>
    <s v="A4 Copier Paper"/>
    <n v="1243.07"/>
    <n v="3"/>
    <n v="0"/>
    <n v="304.77999999999997"/>
    <s v="OK"/>
    <s v="OK"/>
  </r>
  <r>
    <n v="1715"/>
    <x v="714"/>
    <x v="305"/>
    <d v="2024-08-03T00:00:00"/>
    <s v="Same Day"/>
    <s v="CUST-1110"/>
    <s v="VISHNU RAJ"/>
    <x v="0"/>
    <s v="India"/>
    <s v="Bhubaneswar"/>
    <s v="Odisha"/>
    <x v="1"/>
    <n v="673001"/>
    <s v="P-553"/>
    <x v="3"/>
    <s v="Binders"/>
    <s v="Office Binder Pack"/>
    <n v="498.35"/>
    <n v="1"/>
    <n v="0.25"/>
    <n v="22.13"/>
    <s v="OK"/>
    <s v="OK"/>
  </r>
  <r>
    <n v="1716"/>
    <x v="715"/>
    <x v="62"/>
    <d v="2024-02-16T00:00:00"/>
    <s v="First Class"/>
    <s v="CUST-1052"/>
    <s v="ASHA KRISHNAN"/>
    <x v="0"/>
    <s v="India"/>
    <s v="Thiruvananthapuram"/>
    <s v="Kerala"/>
    <x v="2"/>
    <n v="560001"/>
    <s v="P-162"/>
    <x v="1"/>
    <s v="Shoes"/>
    <s v="Running Shoes"/>
    <n v="15884.13"/>
    <n v="5"/>
    <n v="0"/>
    <n v="4002"/>
    <s v="OK"/>
    <s v="OK"/>
  </r>
  <r>
    <n v="1717"/>
    <x v="716"/>
    <x v="203"/>
    <d v="2024-10-22T00:00:00"/>
    <s v="First Class"/>
    <s v="CUST-1054"/>
    <s v="AMAL THOMAS"/>
    <x v="0"/>
    <s v="India"/>
    <s v="Pune"/>
    <s v="Maharashtra"/>
    <x v="1"/>
    <n v="400001"/>
    <s v="P-860"/>
    <x v="1"/>
    <s v="Shoes"/>
    <s v="Running Shoes"/>
    <n v="18207.45"/>
    <n v="6"/>
    <n v="0.05"/>
    <n v="4290.5200000000004"/>
    <s v="OK"/>
    <s v="OK"/>
  </r>
  <r>
    <n v="1718"/>
    <x v="717"/>
    <x v="245"/>
    <d v="2024-12-28T00:00:00"/>
    <s v="Same Day"/>
    <s v="CUST-1083"/>
    <s v="FATHIMA ALI"/>
    <x v="0"/>
    <s v="India"/>
    <s v="Mumbai"/>
    <s v="Maharashtra"/>
    <x v="3"/>
    <n v="400001"/>
    <s v="P-453"/>
    <x v="4"/>
    <s v="Kitchen"/>
    <s v="Mixer Grinder"/>
    <n v="25961.58"/>
    <n v="5"/>
    <n v="0.2"/>
    <n v="-5192"/>
    <s v="OK"/>
    <s v="OK"/>
  </r>
  <r>
    <n v="1719"/>
    <x v="718"/>
    <x v="62"/>
    <d v="2024-02-14T00:00:00"/>
    <s v="First Class"/>
    <s v="CUST-1050"/>
    <s v="NIKHIL VARMA"/>
    <x v="1"/>
    <s v="India"/>
    <s v="Bhubaneswar"/>
    <s v="Odisha"/>
    <x v="2"/>
    <n v="600001"/>
    <s v="P-653"/>
    <x v="1"/>
    <s v="Shoes"/>
    <s v="Running Shoes"/>
    <n v="10545.64"/>
    <n v="4"/>
    <n v="0.15"/>
    <n v="1772.79"/>
    <s v="OK"/>
    <s v="OK"/>
  </r>
  <r>
    <n v="1720"/>
    <x v="719"/>
    <x v="306"/>
    <d v="2024-11-23T00:00:00"/>
    <s v="Standard Class"/>
    <s v="CUST-1004"/>
    <s v="MUHAMMED SHAFI"/>
    <x v="0"/>
    <s v="India"/>
    <s v="Chennai"/>
    <s v="Tamil Nadu"/>
    <x v="1"/>
    <n v="682001"/>
    <s v="P-952"/>
    <x v="0"/>
    <s v="Accessories"/>
    <s v="HP Wireless Keyboard"/>
    <n v="4113.92"/>
    <n v="2"/>
    <n v="0.2"/>
    <n v="-89.41"/>
    <s v="OK"/>
    <s v="OK"/>
  </r>
  <r>
    <n v="1721"/>
    <x v="720"/>
    <x v="255"/>
    <d v="2024-02-03T00:00:00"/>
    <s v="First Class"/>
    <s v="CUST-1081"/>
    <s v="VISHNU RAJ"/>
    <x v="1"/>
    <s v="India"/>
    <s v="Bhubaneswar"/>
    <s v="Odisha"/>
    <x v="1"/>
    <n v="673001"/>
    <s v="P-148"/>
    <x v="2"/>
    <s v="Chairs"/>
    <s v="Ergonomic Office Chair"/>
    <n v="73112.639999999999"/>
    <n v="8"/>
    <n v="0"/>
    <n v="9322.74"/>
    <s v="OK"/>
    <s v="OK"/>
  </r>
  <r>
    <n v="1722"/>
    <x v="721"/>
    <x v="151"/>
    <d v="2024-08-23T00:00:00"/>
    <s v="Second Class"/>
    <s v="CUST-1104"/>
    <s v="NIKHIL VARMA"/>
    <x v="2"/>
    <s v="India"/>
    <s v="Bhubaneswar"/>
    <s v="Odisha"/>
    <x v="2"/>
    <n v="695001"/>
    <s v="P-406"/>
    <x v="3"/>
    <s v="Art"/>
    <s v="Marker Set"/>
    <n v="780.99"/>
    <n v="2"/>
    <n v="0"/>
    <n v="151.80000000000001"/>
    <s v="OK"/>
    <s v="OK"/>
  </r>
  <r>
    <n v="1723"/>
    <x v="722"/>
    <x v="307"/>
    <d v="2024-07-17T00:00:00"/>
    <s v="Second Class"/>
    <s v="CUST-1014"/>
    <s v="MEERA JOSEPH"/>
    <x v="1"/>
    <s v="India"/>
    <s v="Chennai"/>
    <s v="Tamil Nadu"/>
    <x v="2"/>
    <n v="110001"/>
    <s v="P-897"/>
    <x v="3"/>
    <s v="Art"/>
    <s v="Marker Set"/>
    <n v="1529.06"/>
    <n v="4"/>
    <n v="0.05"/>
    <n v="214.77"/>
    <s v="OK"/>
    <s v="OK"/>
  </r>
  <r>
    <n v="1724"/>
    <x v="723"/>
    <x v="308"/>
    <d v="2024-02-12T00:00:00"/>
    <s v="Standard Class"/>
    <s v="CUST-1055"/>
    <s v="MUHAMMED SHAFI"/>
    <x v="0"/>
    <s v="India"/>
    <s v="Mumbai"/>
    <s v="Maharashtra"/>
    <x v="2"/>
    <n v="560001"/>
    <s v="P-319"/>
    <x v="3"/>
    <s v="Paper"/>
    <s v="A4 Copier Paper"/>
    <n v="1391.61"/>
    <n v="4"/>
    <n v="0.25"/>
    <n v="61.01"/>
    <s v="OK"/>
    <s v="OK"/>
  </r>
  <r>
    <n v="1725"/>
    <x v="724"/>
    <x v="7"/>
    <d v="2024-05-20T00:00:00"/>
    <s v="Same Day"/>
    <s v="CUST-1082"/>
    <s v="AMAL THOMAS"/>
    <x v="0"/>
    <s v="India"/>
    <s v="Ahmedabad"/>
    <s v="Gujarat"/>
    <x v="3"/>
    <n v="400001"/>
    <s v="P-601"/>
    <x v="0"/>
    <s v="Mobiles"/>
    <s v="Samsung Galaxy A55"/>
    <n v="86762.2"/>
    <n v="3"/>
    <n v="0.25"/>
    <n v="-4972.3599999999997"/>
    <s v="OK"/>
    <s v="OK"/>
  </r>
  <r>
    <n v="1726"/>
    <x v="725"/>
    <x v="49"/>
    <d v="2024-09-11T00:00:00"/>
    <s v="Same Day"/>
    <s v="CUST-1017"/>
    <s v="NIKHIL VARMA"/>
    <x v="1"/>
    <s v="India"/>
    <s v="Kolkata"/>
    <s v="West Bengal"/>
    <x v="0"/>
    <n v="400001"/>
    <s v="P-317"/>
    <x v="2"/>
    <s v="Bookcases"/>
    <s v="Wooden Bookshelf"/>
    <n v="6077.25"/>
    <n v="1"/>
    <n v="0.05"/>
    <n v="820.51"/>
    <s v="OK"/>
    <s v="OK"/>
  </r>
  <r>
    <n v="1727"/>
    <x v="726"/>
    <x v="267"/>
    <d v="2024-03-06T00:00:00"/>
    <s v="Same Day"/>
    <s v="CUST-1015"/>
    <s v="ANANYA MENON"/>
    <x v="0"/>
    <s v="India"/>
    <s v="Ahmedabad"/>
    <s v="Gujarat"/>
    <x v="1"/>
    <n v="600001"/>
    <s v="P-396"/>
    <x v="3"/>
    <s v="Paper"/>
    <s v="A4 Copier Paper"/>
    <n v="381.25"/>
    <n v="1"/>
    <n v="0.2"/>
    <n v="27.63"/>
    <s v="OK"/>
    <s v="OK"/>
  </r>
  <r>
    <n v="1728"/>
    <x v="727"/>
    <x v="309"/>
    <d v="2024-06-07T00:00:00"/>
    <s v="Same Day"/>
    <s v="CUST-1004"/>
    <s v="ASHA KRISHNAN"/>
    <x v="0"/>
    <s v="India"/>
    <s v="Kozhikode"/>
    <s v="Kerala"/>
    <x v="2"/>
    <n v="682001"/>
    <s v="P-902"/>
    <x v="3"/>
    <s v="Binders"/>
    <s v="Office Binder Pack"/>
    <n v="961.86"/>
    <n v="2"/>
    <n v="0.2"/>
    <n v="81.84"/>
    <s v="OK"/>
    <s v="OK"/>
  </r>
  <r>
    <n v="1729"/>
    <x v="728"/>
    <x v="197"/>
    <d v="2024-04-22T00:00:00"/>
    <s v="Same Day"/>
    <s v="CUST-1001"/>
    <s v="ANANYA MENON"/>
    <x v="0"/>
    <s v="India"/>
    <s v="Jaipur"/>
    <s v="Rajasthan"/>
    <x v="1"/>
    <n v="673001"/>
    <s v="P-991"/>
    <x v="2"/>
    <s v="Bookcases"/>
    <s v="Wooden Bookshelf"/>
    <n v="33629.78"/>
    <n v="6"/>
    <n v="0.15"/>
    <n v="2287.36"/>
    <s v="OK"/>
    <s v="OK"/>
  </r>
  <r>
    <n v="1730"/>
    <x v="729"/>
    <x v="148"/>
    <d v="2024-06-25T00:00:00"/>
    <s v="Same Day"/>
    <s v="CUST-1107"/>
    <s v="NIKHIL VARMA"/>
    <x v="0"/>
    <s v="India"/>
    <s v="Kozhikode"/>
    <s v="Kerala"/>
    <x v="2"/>
    <n v="110001"/>
    <s v="P-241"/>
    <x v="2"/>
    <s v="Bookcases"/>
    <s v="Wooden Bookshelf"/>
    <n v="8552.39"/>
    <n v="2"/>
    <n v="0.3"/>
    <n v="-323.11"/>
    <s v="OK"/>
    <s v="OK"/>
  </r>
  <r>
    <n v="1731"/>
    <x v="730"/>
    <x v="310"/>
    <d v="2024-03-23T00:00:00"/>
    <s v="First Class"/>
    <s v="CUST-1012"/>
    <s v="ASHA KRISHNAN"/>
    <x v="0"/>
    <s v="India"/>
    <s v="Delhi"/>
    <s v="Delhi"/>
    <x v="3"/>
    <n v="560001"/>
    <s v="P-338"/>
    <x v="3"/>
    <s v="Art"/>
    <s v="Marker Set"/>
    <n v="522.97"/>
    <n v="2"/>
    <n v="0.3"/>
    <n v="2.81"/>
    <s v="OK"/>
    <s v="OK"/>
  </r>
  <r>
    <n v="1732"/>
    <x v="731"/>
    <x v="2"/>
    <d v="2024-05-28T00:00:00"/>
    <s v="Standard Class"/>
    <s v="CUST-1111"/>
    <s v="RAHUL KUMAR"/>
    <x v="0"/>
    <s v="India"/>
    <s v="Pune"/>
    <s v="Maharashtra"/>
    <x v="0"/>
    <n v="600001"/>
    <s v="P-745"/>
    <x v="2"/>
    <s v="Tables"/>
    <s v="Study Table"/>
    <n v="33059.300000000003"/>
    <n v="7"/>
    <n v="0.3"/>
    <n v="-1248.3900000000001"/>
    <s v="OK"/>
    <s v="OK"/>
  </r>
  <r>
    <n v="1733"/>
    <x v="732"/>
    <x v="297"/>
    <d v="2024-11-30T00:00:00"/>
    <s v="Standard Class"/>
    <s v="CUST-1025"/>
    <s v="DIYA MATHEW"/>
    <x v="1"/>
    <s v="India"/>
    <s v="Bhubaneswar"/>
    <s v="Odisha"/>
    <x v="0"/>
    <n v="600001"/>
    <s v="P-634"/>
    <x v="1"/>
    <s v="Shoes"/>
    <s v="Running Shoes"/>
    <n v="10367.1"/>
    <n v="3"/>
    <n v="0"/>
    <n v="2006.31"/>
    <s v="OK"/>
    <s v="OK"/>
  </r>
  <r>
    <n v="1734"/>
    <x v="733"/>
    <x v="95"/>
    <d v="2024-12-08T00:00:00"/>
    <s v="Second Class"/>
    <s v="CUST-1003"/>
    <s v="ARJUN DAS"/>
    <x v="0"/>
    <s v="India"/>
    <s v="Bengaluru"/>
    <s v="Karnataka"/>
    <x v="2"/>
    <n v="682001"/>
    <s v="P-949"/>
    <x v="1"/>
    <s v="Shoes"/>
    <s v="Running Shoes"/>
    <n v="20665.88"/>
    <n v="6"/>
    <n v="0"/>
    <n v="4925.99"/>
    <s v="OK"/>
    <s v="OK"/>
  </r>
  <r>
    <n v="1735"/>
    <x v="734"/>
    <x v="19"/>
    <d v="2024-07-29T00:00:00"/>
    <s v="Standard Class"/>
    <s v="CUST-1063"/>
    <s v="RIYA PAUL"/>
    <x v="2"/>
    <s v="India"/>
    <s v="Kolkata"/>
    <s v="West Bengal"/>
    <x v="0"/>
    <n v="695001"/>
    <s v="P-547"/>
    <x v="4"/>
    <s v="Kitchen"/>
    <s v="Electric Kettle"/>
    <n v="3728.81"/>
    <n v="2"/>
    <n v="0.2"/>
    <n v="-149.15"/>
    <s v="OK"/>
    <s v="OK"/>
  </r>
  <r>
    <n v="1736"/>
    <x v="735"/>
    <x v="87"/>
    <d v="2024-05-12T00:00:00"/>
    <s v="Standard Class"/>
    <s v="CUST-1013"/>
    <s v="VISHNU RAJ"/>
    <x v="0"/>
    <s v="India"/>
    <s v="Thiruvananthapuram"/>
    <s v="Kerala"/>
    <x v="2"/>
    <n v="695001"/>
    <s v="P-247"/>
    <x v="2"/>
    <s v="Bookcases"/>
    <s v="Wooden Bookshelf"/>
    <n v="14554.41"/>
    <n v="3"/>
    <n v="0.25"/>
    <n v="-40.72"/>
    <s v="OK"/>
    <s v="OK"/>
  </r>
  <r>
    <n v="1737"/>
    <x v="736"/>
    <x v="311"/>
    <d v="2024-12-15T00:00:00"/>
    <s v="Standard Class"/>
    <s v="CUST-1079"/>
    <s v="MEERA JOSEPH"/>
    <x v="1"/>
    <s v="India"/>
    <s v="Thiruvananthapuram"/>
    <s v="Kerala"/>
    <x v="2"/>
    <n v="673001"/>
    <s v="P-830"/>
    <x v="2"/>
    <s v="Chairs"/>
    <s v="Ergonomic Office Chair"/>
    <n v="6761.09"/>
    <n v="1"/>
    <n v="0.25"/>
    <n v="-16.09"/>
    <s v="OK"/>
    <s v="OK"/>
  </r>
  <r>
    <n v="1738"/>
    <x v="737"/>
    <x v="67"/>
    <d v="2024-06-17T00:00:00"/>
    <s v="Same Day"/>
    <s v="CUST-1106"/>
    <s v="MUHAMMED SHAFI"/>
    <x v="0"/>
    <s v="India"/>
    <s v="Kozhikode"/>
    <s v="Kerala"/>
    <x v="0"/>
    <n v="673001"/>
    <s v="P-307"/>
    <x v="2"/>
    <s v="Chairs"/>
    <s v="Ergonomic Office Chair"/>
    <n v="12397.15"/>
    <n v="2"/>
    <n v="0.25"/>
    <n v="-33.590000000000003"/>
    <s v="OK"/>
    <s v="OK"/>
  </r>
  <r>
    <n v="1739"/>
    <x v="738"/>
    <x v="98"/>
    <d v="2024-03-02T00:00:00"/>
    <s v="Standard Class"/>
    <s v="CUST-1041"/>
    <s v="SNEHA NAIR"/>
    <x v="1"/>
    <s v="India"/>
    <s v="Bengaluru"/>
    <s v="Karnataka"/>
    <x v="3"/>
    <n v="673001"/>
    <s v="P-595"/>
    <x v="1"/>
    <s v="Shoes"/>
    <s v="Running Shoes"/>
    <n v="2518.21"/>
    <n v="1"/>
    <n v="0.25"/>
    <n v="249.24"/>
    <s v="OK"/>
    <s v="OK"/>
  </r>
  <r>
    <n v="1740"/>
    <x v="739"/>
    <x v="312"/>
    <d v="2024-05-22T00:00:00"/>
    <s v="Standard Class"/>
    <s v="CUST-1032"/>
    <s v="ASHA KRISHNAN"/>
    <x v="1"/>
    <s v="India"/>
    <s v="Kozhikode"/>
    <s v="Kerala"/>
    <x v="2"/>
    <n v="695001"/>
    <s v="P-681"/>
    <x v="2"/>
    <s v="Bookcases"/>
    <s v="Wooden Bookshelf"/>
    <n v="40229.769999999997"/>
    <n v="6"/>
    <n v="0"/>
    <n v="6229.45"/>
    <s v="OK"/>
    <s v="OK"/>
  </r>
  <r>
    <n v="1741"/>
    <x v="740"/>
    <x v="313"/>
    <d v="2024-03-16T00:00:00"/>
    <s v="Second Class"/>
    <s v="CUST-1101"/>
    <s v="FATHIMA ALI"/>
    <x v="0"/>
    <s v="India"/>
    <s v="Pune"/>
    <s v="Maharashtra"/>
    <x v="3"/>
    <n v="600001"/>
    <s v="P-562"/>
    <x v="3"/>
    <s v="Paper"/>
    <s v="A4 Copier Paper"/>
    <n v="1276.79"/>
    <n v="3"/>
    <n v="0.1"/>
    <n v="139.63999999999999"/>
    <s v="OK"/>
    <s v="OK"/>
  </r>
  <r>
    <n v="1742"/>
    <x v="741"/>
    <x v="314"/>
    <d v="2024-12-02T00:00:00"/>
    <s v="Standard Class"/>
    <s v="CUST-1008"/>
    <s v="MUHAMMED SHAFI"/>
    <x v="1"/>
    <s v="India"/>
    <s v="Kozhikode"/>
    <s v="Kerala"/>
    <x v="3"/>
    <n v="695001"/>
    <s v="P-712"/>
    <x v="0"/>
    <s v="Laptops"/>
    <s v="Dell Inspiron 15"/>
    <n v="311602.39"/>
    <n v="12"/>
    <n v="0.15"/>
    <n v="2932.49"/>
    <s v="OK"/>
    <s v="OK"/>
  </r>
  <r>
    <n v="1743"/>
    <x v="742"/>
    <x v="89"/>
    <d v="2024-10-31T00:00:00"/>
    <s v="First Class"/>
    <s v="CUST-1006"/>
    <s v="RAHUL KUMAR"/>
    <x v="1"/>
    <s v="India"/>
    <s v="Chennai"/>
    <s v="Tamil Nadu"/>
    <x v="0"/>
    <n v="695001"/>
    <s v="P-191"/>
    <x v="4"/>
    <s v="Kitchen"/>
    <s v="Electric Kettle"/>
    <n v="15395.43"/>
    <n v="8"/>
    <n v="0.1"/>
    <n v="933.89"/>
    <s v="OK"/>
    <s v="OK"/>
  </r>
  <r>
    <n v="1744"/>
    <x v="743"/>
    <x v="295"/>
    <d v="2024-08-11T00:00:00"/>
    <s v="First Class"/>
    <s v="CUST-1114"/>
    <s v="ADIL KHAN"/>
    <x v="0"/>
    <s v="India"/>
    <s v="Pune"/>
    <s v="Maharashtra"/>
    <x v="1"/>
    <n v="400001"/>
    <s v="P-367"/>
    <x v="1"/>
    <s v="Shirts"/>
    <s v="Cotton Casual Shirt"/>
    <n v="1170.23"/>
    <n v="1"/>
    <n v="0.15"/>
    <n v="195.9"/>
    <s v="OK"/>
    <s v="OK"/>
  </r>
  <r>
    <n v="1745"/>
    <x v="744"/>
    <x v="302"/>
    <d v="2024-06-25T00:00:00"/>
    <s v="Same Day"/>
    <s v="CUST-1077"/>
    <s v="MEERA JOSEPH"/>
    <x v="0"/>
    <s v="India"/>
    <s v="Bhubaneswar"/>
    <s v="Odisha"/>
    <x v="0"/>
    <n v="400001"/>
    <s v="P-236"/>
    <x v="1"/>
    <s v="Shirts"/>
    <s v="Cotton Casual Shirt"/>
    <n v="1100.03"/>
    <n v="1"/>
    <n v="0.2"/>
    <n v="128.62"/>
    <s v="OK"/>
    <s v="OK"/>
  </r>
  <r>
    <n v="1746"/>
    <x v="745"/>
    <x v="279"/>
    <d v="2024-12-12T00:00:00"/>
    <s v="Same Day"/>
    <s v="CUST-1072"/>
    <s v="MUHAMMED SHAFI"/>
    <x v="0"/>
    <s v="India"/>
    <s v="Lucknow"/>
    <s v="Uttar Pradesh"/>
    <x v="3"/>
    <n v="110001"/>
    <s v="P-502"/>
    <x v="4"/>
    <s v="Kitchen"/>
    <s v="Mixer Grinder"/>
    <n v="16669.32"/>
    <n v="3"/>
    <n v="0"/>
    <n v="2029.68"/>
    <s v="OK"/>
    <s v="OK"/>
  </r>
  <r>
    <n v="1747"/>
    <x v="746"/>
    <x v="46"/>
    <d v="2024-10-03T00:00:00"/>
    <s v="Same Day"/>
    <s v="CUST-1087"/>
    <s v="ANANYA MENON"/>
    <x v="1"/>
    <s v="India"/>
    <s v="Delhi"/>
    <s v="Delhi"/>
    <x v="1"/>
    <n v="110001"/>
    <s v="P-485"/>
    <x v="0"/>
    <s v="Mobiles"/>
    <s v="Samsung Galaxy A55"/>
    <n v="103287.22"/>
    <n v="3"/>
    <n v="0"/>
    <n v="8937.01"/>
    <s v="OK"/>
    <s v="OK"/>
  </r>
  <r>
    <n v="1748"/>
    <x v="747"/>
    <x v="315"/>
    <d v="2024-03-08T00:00:00"/>
    <s v="First Class"/>
    <s v="CUST-1120"/>
    <s v="FATHIMA ALI"/>
    <x v="0"/>
    <s v="India"/>
    <s v="Hyderabad"/>
    <s v="Telangana"/>
    <x v="3"/>
    <n v="673001"/>
    <s v="P-326"/>
    <x v="3"/>
    <s v="Storage"/>
    <s v="Document Organizer"/>
    <n v="965.72"/>
    <n v="1"/>
    <n v="0"/>
    <n v="209.39"/>
    <s v="OK"/>
    <s v="OK"/>
  </r>
  <r>
    <n v="1749"/>
    <x v="748"/>
    <x v="270"/>
    <d v="2024-04-09T00:00:00"/>
    <s v="First Class"/>
    <s v="CUST-1104"/>
    <s v="NIKHIL VARMA"/>
    <x v="1"/>
    <s v="India"/>
    <s v="Kolkata"/>
    <s v="West Bengal"/>
    <x v="2"/>
    <n v="682001"/>
    <s v="P-605"/>
    <x v="0"/>
    <s v="Laptops"/>
    <s v="Dell Inspiron 15"/>
    <n v="169581.31"/>
    <n v="4"/>
    <n v="0.2"/>
    <n v="-3329.72"/>
    <s v="OK"/>
    <s v="OK"/>
  </r>
  <r>
    <n v="1750"/>
    <x v="749"/>
    <x v="217"/>
    <d v="2024-01-06T00:00:00"/>
    <s v="Same Day"/>
    <s v="CUST-1015"/>
    <s v="RIYA PAUL"/>
    <x v="0"/>
    <s v="India"/>
    <s v="Mumbai"/>
    <s v="Maharashtra"/>
    <x v="2"/>
    <n v="600001"/>
    <s v="P-612"/>
    <x v="0"/>
    <s v="Laptops"/>
    <s v="Dell Inspiron 15"/>
    <n v="275399.02"/>
    <n v="6"/>
    <n v="0.1"/>
    <n v="14644.34"/>
    <s v="OK"/>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B2EA2A-AB61-4390-AC1C-AA2C0CA33952}"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rowHeaderCaption="Category">
  <location ref="J1:K7" firstHeaderRow="1" firstDataRow="1" firstDataCol="1"/>
  <pivotFields count="23">
    <pivotField showAll="0"/>
    <pivotField showAll="0"/>
    <pivotField numFmtId="22" showAll="0">
      <items count="317">
        <item x="75"/>
        <item x="239"/>
        <item x="217"/>
        <item x="165"/>
        <item x="227"/>
        <item x="169"/>
        <item x="222"/>
        <item x="184"/>
        <item x="257"/>
        <item x="174"/>
        <item x="117"/>
        <item x="198"/>
        <item x="292"/>
        <item x="146"/>
        <item x="233"/>
        <item x="123"/>
        <item x="35"/>
        <item x="103"/>
        <item x="207"/>
        <item x="268"/>
        <item x="101"/>
        <item x="232"/>
        <item x="238"/>
        <item x="21"/>
        <item x="255"/>
        <item x="110"/>
        <item x="236"/>
        <item x="111"/>
        <item x="128"/>
        <item x="187"/>
        <item x="105"/>
        <item x="24"/>
        <item x="166"/>
        <item x="107"/>
        <item x="133"/>
        <item x="308"/>
        <item x="179"/>
        <item x="62"/>
        <item x="242"/>
        <item x="229"/>
        <item x="100"/>
        <item x="27"/>
        <item x="254"/>
        <item x="249"/>
        <item x="248"/>
        <item x="186"/>
        <item x="250"/>
        <item x="54"/>
        <item x="34"/>
        <item x="280"/>
        <item x="10"/>
        <item x="98"/>
        <item x="91"/>
        <item x="267"/>
        <item x="104"/>
        <item x="288"/>
        <item x="315"/>
        <item x="132"/>
        <item x="12"/>
        <item x="204"/>
        <item x="94"/>
        <item x="214"/>
        <item x="181"/>
        <item x="262"/>
        <item x="0"/>
        <item x="313"/>
        <item x="285"/>
        <item x="272"/>
        <item x="310"/>
        <item x="220"/>
        <item x="291"/>
        <item x="20"/>
        <item x="64"/>
        <item x="42"/>
        <item x="240"/>
        <item x="5"/>
        <item x="47"/>
        <item x="190"/>
        <item x="300"/>
        <item x="212"/>
        <item x="145"/>
        <item x="191"/>
        <item x="226"/>
        <item x="159"/>
        <item x="120"/>
        <item x="155"/>
        <item x="74"/>
        <item x="270"/>
        <item x="60"/>
        <item x="284"/>
        <item x="115"/>
        <item x="195"/>
        <item x="71"/>
        <item x="173"/>
        <item x="247"/>
        <item x="301"/>
        <item x="287"/>
        <item x="197"/>
        <item x="92"/>
        <item x="199"/>
        <item x="154"/>
        <item x="113"/>
        <item x="82"/>
        <item x="108"/>
        <item x="119"/>
        <item x="23"/>
        <item x="56"/>
        <item x="263"/>
        <item x="17"/>
        <item x="253"/>
        <item x="49"/>
        <item x="87"/>
        <item x="130"/>
        <item x="7"/>
        <item x="304"/>
        <item x="312"/>
        <item x="26"/>
        <item x="43"/>
        <item x="218"/>
        <item x="2"/>
        <item x="57"/>
        <item x="225"/>
        <item x="116"/>
        <item x="140"/>
        <item x="65"/>
        <item x="106"/>
        <item x="194"/>
        <item x="219"/>
        <item x="86"/>
        <item x="36"/>
        <item x="259"/>
        <item x="309"/>
        <item x="50"/>
        <item x="162"/>
        <item x="112"/>
        <item x="13"/>
        <item x="137"/>
        <item x="6"/>
        <item x="168"/>
        <item x="299"/>
        <item x="144"/>
        <item x="67"/>
        <item x="171"/>
        <item x="138"/>
        <item x="93"/>
        <item x="228"/>
        <item x="31"/>
        <item x="192"/>
        <item x="148"/>
        <item x="99"/>
        <item x="302"/>
        <item x="275"/>
        <item x="172"/>
        <item x="142"/>
        <item x="286"/>
        <item x="32"/>
        <item x="274"/>
        <item x="16"/>
        <item x="289"/>
        <item x="170"/>
        <item x="131"/>
        <item x="298"/>
        <item x="189"/>
        <item x="51"/>
        <item x="163"/>
        <item x="213"/>
        <item x="97"/>
        <item x="223"/>
        <item x="307"/>
        <item x="261"/>
        <item x="9"/>
        <item x="44"/>
        <item x="76"/>
        <item x="202"/>
        <item x="45"/>
        <item x="139"/>
        <item x="252"/>
        <item x="52"/>
        <item x="277"/>
        <item x="19"/>
        <item x="182"/>
        <item x="296"/>
        <item x="215"/>
        <item x="200"/>
        <item x="305"/>
        <item x="102"/>
        <item x="141"/>
        <item x="177"/>
        <item x="224"/>
        <item x="216"/>
        <item x="40"/>
        <item x="208"/>
        <item x="185"/>
        <item x="29"/>
        <item x="295"/>
        <item x="271"/>
        <item x="66"/>
        <item x="180"/>
        <item x="63"/>
        <item x="80"/>
        <item x="156"/>
        <item x="153"/>
        <item x="175"/>
        <item x="196"/>
        <item x="151"/>
        <item x="39"/>
        <item x="183"/>
        <item x="3"/>
        <item x="48"/>
        <item x="109"/>
        <item x="38"/>
        <item x="69"/>
        <item x="152"/>
        <item x="59"/>
        <item x="161"/>
        <item x="244"/>
        <item x="178"/>
        <item x="294"/>
        <item x="246"/>
        <item x="188"/>
        <item x="125"/>
        <item x="73"/>
        <item x="167"/>
        <item x="147"/>
        <item x="303"/>
        <item x="8"/>
        <item x="266"/>
        <item x="234"/>
        <item x="265"/>
        <item x="264"/>
        <item x="209"/>
        <item x="164"/>
        <item x="77"/>
        <item x="81"/>
        <item x="160"/>
        <item x="46"/>
        <item x="260"/>
        <item x="79"/>
        <item x="269"/>
        <item x="126"/>
        <item x="251"/>
        <item x="18"/>
        <item x="28"/>
        <item x="230"/>
        <item x="158"/>
        <item x="88"/>
        <item x="256"/>
        <item x="1"/>
        <item x="211"/>
        <item x="53"/>
        <item x="293"/>
        <item x="258"/>
        <item x="84"/>
        <item x="129"/>
        <item x="203"/>
        <item x="68"/>
        <item x="22"/>
        <item x="121"/>
        <item x="149"/>
        <item x="89"/>
        <item x="83"/>
        <item x="14"/>
        <item x="235"/>
        <item x="134"/>
        <item x="210"/>
        <item x="96"/>
        <item x="231"/>
        <item x="237"/>
        <item x="85"/>
        <item x="241"/>
        <item x="278"/>
        <item x="25"/>
        <item x="176"/>
        <item x="55"/>
        <item x="114"/>
        <item x="30"/>
        <item x="78"/>
        <item x="11"/>
        <item x="290"/>
        <item x="201"/>
        <item x="221"/>
        <item x="306"/>
        <item x="276"/>
        <item x="205"/>
        <item x="33"/>
        <item x="297"/>
        <item x="58"/>
        <item x="90"/>
        <item x="118"/>
        <item x="135"/>
        <item x="314"/>
        <item x="124"/>
        <item x="70"/>
        <item x="95"/>
        <item x="157"/>
        <item x="273"/>
        <item x="41"/>
        <item x="15"/>
        <item x="127"/>
        <item x="279"/>
        <item x="37"/>
        <item x="311"/>
        <item x="143"/>
        <item x="136"/>
        <item x="150"/>
        <item x="283"/>
        <item x="281"/>
        <item x="243"/>
        <item x="122"/>
        <item x="61"/>
        <item x="245"/>
        <item x="282"/>
        <item x="4"/>
        <item x="206"/>
        <item x="72"/>
        <item x="193"/>
        <item t="default"/>
      </items>
    </pivotField>
    <pivotField numFmtId="22" showAll="0"/>
    <pivotField showAll="0"/>
    <pivotField showAll="0"/>
    <pivotField showAll="0"/>
    <pivotField showAll="0"/>
    <pivotField showAll="0"/>
    <pivotField showAll="0"/>
    <pivotField showAll="0"/>
    <pivotField showAll="0">
      <items count="5">
        <item x="3"/>
        <item x="1"/>
        <item x="0"/>
        <item x="2"/>
        <item t="default"/>
      </items>
    </pivotField>
    <pivotField showAll="0"/>
    <pivotField showAll="0"/>
    <pivotField axis="axisRow" showAll="0">
      <items count="6">
        <item x="1"/>
        <item x="0"/>
        <item x="2"/>
        <item x="4"/>
        <item x="3"/>
        <item t="default"/>
      </items>
    </pivotField>
    <pivotField showAll="0"/>
    <pivotField showAll="0"/>
    <pivotField numFmtId="43" showAll="0"/>
    <pivotField dataField="1" showAll="0"/>
    <pivotField showAll="0"/>
    <pivotField numFmtId="43" showAll="0"/>
    <pivotField showAll="0"/>
    <pivotField showAll="0"/>
  </pivotFields>
  <rowFields count="1">
    <field x="14"/>
  </rowFields>
  <rowItems count="6">
    <i>
      <x/>
    </i>
    <i>
      <x v="1"/>
    </i>
    <i>
      <x v="2"/>
    </i>
    <i>
      <x v="3"/>
    </i>
    <i>
      <x v="4"/>
    </i>
    <i t="grand">
      <x/>
    </i>
  </rowItems>
  <colItems count="1">
    <i/>
  </colItems>
  <dataFields count="1">
    <dataField name="Sum of Quantity" fld="18" baseField="0" baseItem="0"/>
  </dataFields>
  <chartFormats count="12">
    <chartFormat chart="7" format="19" series="1">
      <pivotArea type="data" outline="0" fieldPosition="0">
        <references count="1">
          <reference field="4294967294" count="1" selected="0">
            <x v="0"/>
          </reference>
        </references>
      </pivotArea>
    </chartFormat>
    <chartFormat chart="7" format="20">
      <pivotArea type="data" outline="0" fieldPosition="0">
        <references count="2">
          <reference field="4294967294" count="1" selected="0">
            <x v="0"/>
          </reference>
          <reference field="14" count="1" selected="0">
            <x v="0"/>
          </reference>
        </references>
      </pivotArea>
    </chartFormat>
    <chartFormat chart="7" format="21">
      <pivotArea type="data" outline="0" fieldPosition="0">
        <references count="2">
          <reference field="4294967294" count="1" selected="0">
            <x v="0"/>
          </reference>
          <reference field="14" count="1" selected="0">
            <x v="1"/>
          </reference>
        </references>
      </pivotArea>
    </chartFormat>
    <chartFormat chart="7" format="22">
      <pivotArea type="data" outline="0" fieldPosition="0">
        <references count="2">
          <reference field="4294967294" count="1" selected="0">
            <x v="0"/>
          </reference>
          <reference field="14" count="1" selected="0">
            <x v="2"/>
          </reference>
        </references>
      </pivotArea>
    </chartFormat>
    <chartFormat chart="7" format="23">
      <pivotArea type="data" outline="0" fieldPosition="0">
        <references count="2">
          <reference field="4294967294" count="1" selected="0">
            <x v="0"/>
          </reference>
          <reference field="14" count="1" selected="0">
            <x v="3"/>
          </reference>
        </references>
      </pivotArea>
    </chartFormat>
    <chartFormat chart="7" format="24">
      <pivotArea type="data" outline="0" fieldPosition="0">
        <references count="2">
          <reference field="4294967294" count="1" selected="0">
            <x v="0"/>
          </reference>
          <reference field="14" count="1" selected="0">
            <x v="4"/>
          </reference>
        </references>
      </pivotArea>
    </chartFormat>
    <chartFormat chart="10" format="27" series="1">
      <pivotArea type="data" outline="0" fieldPosition="0">
        <references count="1">
          <reference field="4294967294" count="1" selected="0">
            <x v="0"/>
          </reference>
        </references>
      </pivotArea>
    </chartFormat>
    <chartFormat chart="10" format="28">
      <pivotArea type="data" outline="0" fieldPosition="0">
        <references count="2">
          <reference field="4294967294" count="1" selected="0">
            <x v="0"/>
          </reference>
          <reference field="14" count="1" selected="0">
            <x v="1"/>
          </reference>
        </references>
      </pivotArea>
    </chartFormat>
    <chartFormat chart="10" format="29">
      <pivotArea type="data" outline="0" fieldPosition="0">
        <references count="2">
          <reference field="4294967294" count="1" selected="0">
            <x v="0"/>
          </reference>
          <reference field="14" count="1" selected="0">
            <x v="0"/>
          </reference>
        </references>
      </pivotArea>
    </chartFormat>
    <chartFormat chart="10" format="30">
      <pivotArea type="data" outline="0" fieldPosition="0">
        <references count="2">
          <reference field="4294967294" count="1" selected="0">
            <x v="0"/>
          </reference>
          <reference field="14" count="1" selected="0">
            <x v="2"/>
          </reference>
        </references>
      </pivotArea>
    </chartFormat>
    <chartFormat chart="10" format="31">
      <pivotArea type="data" outline="0" fieldPosition="0">
        <references count="2">
          <reference field="4294967294" count="1" selected="0">
            <x v="0"/>
          </reference>
          <reference field="14" count="1" selected="0">
            <x v="3"/>
          </reference>
        </references>
      </pivotArea>
    </chartFormat>
    <chartFormat chart="10" format="32">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filters count="1">
    <filter fld="2" type="dateBetween" evalOrder="-1" id="319"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45C146-3CEF-4CAA-8A98-4E897F1B9CB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9" rowHeaderCaption="Segment">
  <location ref="G1:H5" firstHeaderRow="1" firstDataRow="1" firstDataCol="1"/>
  <pivotFields count="23">
    <pivotField showAll="0"/>
    <pivotField showAll="0"/>
    <pivotField numFmtId="22" showAll="0">
      <items count="317">
        <item x="75"/>
        <item x="239"/>
        <item x="217"/>
        <item x="165"/>
        <item x="227"/>
        <item x="169"/>
        <item x="222"/>
        <item x="184"/>
        <item x="257"/>
        <item x="174"/>
        <item x="117"/>
        <item x="198"/>
        <item x="292"/>
        <item x="146"/>
        <item x="233"/>
        <item x="123"/>
        <item x="35"/>
        <item x="103"/>
        <item x="207"/>
        <item x="268"/>
        <item x="101"/>
        <item x="232"/>
        <item x="238"/>
        <item x="21"/>
        <item x="255"/>
        <item x="110"/>
        <item x="236"/>
        <item x="111"/>
        <item x="128"/>
        <item x="187"/>
        <item x="105"/>
        <item x="24"/>
        <item x="166"/>
        <item x="107"/>
        <item x="133"/>
        <item x="308"/>
        <item x="179"/>
        <item x="62"/>
        <item x="242"/>
        <item x="229"/>
        <item x="100"/>
        <item x="27"/>
        <item x="254"/>
        <item x="249"/>
        <item x="248"/>
        <item x="186"/>
        <item x="250"/>
        <item x="54"/>
        <item x="34"/>
        <item x="280"/>
        <item x="10"/>
        <item x="98"/>
        <item x="91"/>
        <item x="267"/>
        <item x="104"/>
        <item x="288"/>
        <item x="315"/>
        <item x="132"/>
        <item x="12"/>
        <item x="204"/>
        <item x="94"/>
        <item x="214"/>
        <item x="181"/>
        <item x="262"/>
        <item x="0"/>
        <item x="313"/>
        <item x="285"/>
        <item x="272"/>
        <item x="310"/>
        <item x="220"/>
        <item x="291"/>
        <item x="20"/>
        <item x="64"/>
        <item x="42"/>
        <item x="240"/>
        <item x="5"/>
        <item x="47"/>
        <item x="190"/>
        <item x="300"/>
        <item x="212"/>
        <item x="145"/>
        <item x="191"/>
        <item x="226"/>
        <item x="159"/>
        <item x="120"/>
        <item x="155"/>
        <item x="74"/>
        <item x="270"/>
        <item x="60"/>
        <item x="284"/>
        <item x="115"/>
        <item x="195"/>
        <item x="71"/>
        <item x="173"/>
        <item x="247"/>
        <item x="301"/>
        <item x="287"/>
        <item x="197"/>
        <item x="92"/>
        <item x="199"/>
        <item x="154"/>
        <item x="113"/>
        <item x="82"/>
        <item x="108"/>
        <item x="119"/>
        <item x="23"/>
        <item x="56"/>
        <item x="263"/>
        <item x="17"/>
        <item x="253"/>
        <item x="49"/>
        <item x="87"/>
        <item x="130"/>
        <item x="7"/>
        <item x="304"/>
        <item x="312"/>
        <item x="26"/>
        <item x="43"/>
        <item x="218"/>
        <item x="2"/>
        <item x="57"/>
        <item x="225"/>
        <item x="116"/>
        <item x="140"/>
        <item x="65"/>
        <item x="106"/>
        <item x="194"/>
        <item x="219"/>
        <item x="86"/>
        <item x="36"/>
        <item x="259"/>
        <item x="309"/>
        <item x="50"/>
        <item x="162"/>
        <item x="112"/>
        <item x="13"/>
        <item x="137"/>
        <item x="6"/>
        <item x="168"/>
        <item x="299"/>
        <item x="144"/>
        <item x="67"/>
        <item x="171"/>
        <item x="138"/>
        <item x="93"/>
        <item x="228"/>
        <item x="31"/>
        <item x="192"/>
        <item x="148"/>
        <item x="99"/>
        <item x="302"/>
        <item x="275"/>
        <item x="172"/>
        <item x="142"/>
        <item x="286"/>
        <item x="32"/>
        <item x="274"/>
        <item x="16"/>
        <item x="289"/>
        <item x="170"/>
        <item x="131"/>
        <item x="298"/>
        <item x="189"/>
        <item x="51"/>
        <item x="163"/>
        <item x="213"/>
        <item x="97"/>
        <item x="223"/>
        <item x="307"/>
        <item x="261"/>
        <item x="9"/>
        <item x="44"/>
        <item x="76"/>
        <item x="202"/>
        <item x="45"/>
        <item x="139"/>
        <item x="252"/>
        <item x="52"/>
        <item x="277"/>
        <item x="19"/>
        <item x="182"/>
        <item x="296"/>
        <item x="215"/>
        <item x="200"/>
        <item x="305"/>
        <item x="102"/>
        <item x="141"/>
        <item x="177"/>
        <item x="224"/>
        <item x="216"/>
        <item x="40"/>
        <item x="208"/>
        <item x="185"/>
        <item x="29"/>
        <item x="295"/>
        <item x="271"/>
        <item x="66"/>
        <item x="180"/>
        <item x="63"/>
        <item x="80"/>
        <item x="156"/>
        <item x="153"/>
        <item x="175"/>
        <item x="196"/>
        <item x="151"/>
        <item x="39"/>
        <item x="183"/>
        <item x="3"/>
        <item x="48"/>
        <item x="109"/>
        <item x="38"/>
        <item x="69"/>
        <item x="152"/>
        <item x="59"/>
        <item x="161"/>
        <item x="244"/>
        <item x="178"/>
        <item x="294"/>
        <item x="246"/>
        <item x="188"/>
        <item x="125"/>
        <item x="73"/>
        <item x="167"/>
        <item x="147"/>
        <item x="303"/>
        <item x="8"/>
        <item x="266"/>
        <item x="234"/>
        <item x="265"/>
        <item x="264"/>
        <item x="209"/>
        <item x="164"/>
        <item x="77"/>
        <item x="81"/>
        <item x="160"/>
        <item x="46"/>
        <item x="260"/>
        <item x="79"/>
        <item x="269"/>
        <item x="126"/>
        <item x="251"/>
        <item x="18"/>
        <item x="28"/>
        <item x="230"/>
        <item x="158"/>
        <item x="88"/>
        <item x="256"/>
        <item x="1"/>
        <item x="211"/>
        <item x="53"/>
        <item x="293"/>
        <item x="258"/>
        <item x="84"/>
        <item x="129"/>
        <item x="203"/>
        <item x="68"/>
        <item x="22"/>
        <item x="121"/>
        <item x="149"/>
        <item x="89"/>
        <item x="83"/>
        <item x="14"/>
        <item x="235"/>
        <item x="134"/>
        <item x="210"/>
        <item x="96"/>
        <item x="231"/>
        <item x="237"/>
        <item x="85"/>
        <item x="241"/>
        <item x="278"/>
        <item x="25"/>
        <item x="176"/>
        <item x="55"/>
        <item x="114"/>
        <item x="30"/>
        <item x="78"/>
        <item x="11"/>
        <item x="290"/>
        <item x="201"/>
        <item x="221"/>
        <item x="306"/>
        <item x="276"/>
        <item x="205"/>
        <item x="33"/>
        <item x="297"/>
        <item x="58"/>
        <item x="90"/>
        <item x="118"/>
        <item x="135"/>
        <item x="314"/>
        <item x="124"/>
        <item x="70"/>
        <item x="95"/>
        <item x="157"/>
        <item x="273"/>
        <item x="41"/>
        <item x="15"/>
        <item x="127"/>
        <item x="279"/>
        <item x="37"/>
        <item x="311"/>
        <item x="143"/>
        <item x="136"/>
        <item x="150"/>
        <item x="283"/>
        <item x="281"/>
        <item x="243"/>
        <item x="122"/>
        <item x="61"/>
        <item x="245"/>
        <item x="282"/>
        <item x="4"/>
        <item x="206"/>
        <item x="72"/>
        <item x="193"/>
        <item t="default"/>
      </items>
    </pivotField>
    <pivotField numFmtId="22" showAll="0"/>
    <pivotField showAll="0"/>
    <pivotField showAll="0"/>
    <pivotField showAll="0"/>
    <pivotField axis="axisRow" showAll="0">
      <items count="4">
        <item x="0"/>
        <item x="1"/>
        <item x="2"/>
        <item t="default"/>
      </items>
    </pivotField>
    <pivotField showAll="0"/>
    <pivotField showAll="0"/>
    <pivotField showAll="0"/>
    <pivotField showAll="0">
      <items count="5">
        <item x="3"/>
        <item x="1"/>
        <item x="0"/>
        <item x="2"/>
        <item t="default"/>
      </items>
    </pivotField>
    <pivotField showAll="0"/>
    <pivotField showAll="0"/>
    <pivotField showAll="0">
      <items count="6">
        <item x="1"/>
        <item x="0"/>
        <item x="2"/>
        <item x="4"/>
        <item x="3"/>
        <item t="default"/>
      </items>
    </pivotField>
    <pivotField showAll="0"/>
    <pivotField showAll="0"/>
    <pivotField numFmtId="43" showAll="0"/>
    <pivotField showAll="0"/>
    <pivotField showAll="0"/>
    <pivotField dataField="1" numFmtId="43" showAll="0"/>
    <pivotField showAll="0"/>
    <pivotField showAll="0"/>
  </pivotFields>
  <rowFields count="1">
    <field x="7"/>
  </rowFields>
  <rowItems count="4">
    <i>
      <x/>
    </i>
    <i>
      <x v="1"/>
    </i>
    <i>
      <x v="2"/>
    </i>
    <i t="grand">
      <x/>
    </i>
  </rowItems>
  <colItems count="1">
    <i/>
  </colItems>
  <dataFields count="1">
    <dataField name="Sum of Profit" fld="20" baseField="0" baseItem="0" numFmtId="43"/>
  </dataFields>
  <chartFormats count="3">
    <chartFormat chart="7"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2" type="dateBetween" evalOrder="-1" id="319"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ED0471-DAA6-4573-AC22-71DDE7F36FF8}"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rowHeaderCaption="Region">
  <location ref="D1:E6" firstHeaderRow="1" firstDataRow="1" firstDataCol="1"/>
  <pivotFields count="23">
    <pivotField showAll="0"/>
    <pivotField showAll="0"/>
    <pivotField numFmtId="22" showAll="0">
      <items count="317">
        <item x="75"/>
        <item x="239"/>
        <item x="217"/>
        <item x="165"/>
        <item x="227"/>
        <item x="169"/>
        <item x="222"/>
        <item x="184"/>
        <item x="257"/>
        <item x="174"/>
        <item x="117"/>
        <item x="198"/>
        <item x="292"/>
        <item x="146"/>
        <item x="233"/>
        <item x="123"/>
        <item x="35"/>
        <item x="103"/>
        <item x="207"/>
        <item x="268"/>
        <item x="101"/>
        <item x="232"/>
        <item x="238"/>
        <item x="21"/>
        <item x="255"/>
        <item x="110"/>
        <item x="236"/>
        <item x="111"/>
        <item x="128"/>
        <item x="187"/>
        <item x="105"/>
        <item x="24"/>
        <item x="166"/>
        <item x="107"/>
        <item x="133"/>
        <item x="308"/>
        <item x="179"/>
        <item x="62"/>
        <item x="242"/>
        <item x="229"/>
        <item x="100"/>
        <item x="27"/>
        <item x="254"/>
        <item x="249"/>
        <item x="248"/>
        <item x="186"/>
        <item x="250"/>
        <item x="54"/>
        <item x="34"/>
        <item x="280"/>
        <item x="10"/>
        <item x="98"/>
        <item x="91"/>
        <item x="267"/>
        <item x="104"/>
        <item x="288"/>
        <item x="315"/>
        <item x="132"/>
        <item x="12"/>
        <item x="204"/>
        <item x="94"/>
        <item x="214"/>
        <item x="181"/>
        <item x="262"/>
        <item x="0"/>
        <item x="313"/>
        <item x="285"/>
        <item x="272"/>
        <item x="310"/>
        <item x="220"/>
        <item x="291"/>
        <item x="20"/>
        <item x="64"/>
        <item x="42"/>
        <item x="240"/>
        <item x="5"/>
        <item x="47"/>
        <item x="190"/>
        <item x="300"/>
        <item x="212"/>
        <item x="145"/>
        <item x="191"/>
        <item x="226"/>
        <item x="159"/>
        <item x="120"/>
        <item x="155"/>
        <item x="74"/>
        <item x="270"/>
        <item x="60"/>
        <item x="284"/>
        <item x="115"/>
        <item x="195"/>
        <item x="71"/>
        <item x="173"/>
        <item x="247"/>
        <item x="301"/>
        <item x="287"/>
        <item x="197"/>
        <item x="92"/>
        <item x="199"/>
        <item x="154"/>
        <item x="113"/>
        <item x="82"/>
        <item x="108"/>
        <item x="119"/>
        <item x="23"/>
        <item x="56"/>
        <item x="263"/>
        <item x="17"/>
        <item x="253"/>
        <item x="49"/>
        <item x="87"/>
        <item x="130"/>
        <item x="7"/>
        <item x="304"/>
        <item x="312"/>
        <item x="26"/>
        <item x="43"/>
        <item x="218"/>
        <item x="2"/>
        <item x="57"/>
        <item x="225"/>
        <item x="116"/>
        <item x="140"/>
        <item x="65"/>
        <item x="106"/>
        <item x="194"/>
        <item x="219"/>
        <item x="86"/>
        <item x="36"/>
        <item x="259"/>
        <item x="309"/>
        <item x="50"/>
        <item x="162"/>
        <item x="112"/>
        <item x="13"/>
        <item x="137"/>
        <item x="6"/>
        <item x="168"/>
        <item x="299"/>
        <item x="144"/>
        <item x="67"/>
        <item x="171"/>
        <item x="138"/>
        <item x="93"/>
        <item x="228"/>
        <item x="31"/>
        <item x="192"/>
        <item x="148"/>
        <item x="99"/>
        <item x="302"/>
        <item x="275"/>
        <item x="172"/>
        <item x="142"/>
        <item x="286"/>
        <item x="32"/>
        <item x="274"/>
        <item x="16"/>
        <item x="289"/>
        <item x="170"/>
        <item x="131"/>
        <item x="298"/>
        <item x="189"/>
        <item x="51"/>
        <item x="163"/>
        <item x="213"/>
        <item x="97"/>
        <item x="223"/>
        <item x="307"/>
        <item x="261"/>
        <item x="9"/>
        <item x="44"/>
        <item x="76"/>
        <item x="202"/>
        <item x="45"/>
        <item x="139"/>
        <item x="252"/>
        <item x="52"/>
        <item x="277"/>
        <item x="19"/>
        <item x="182"/>
        <item x="296"/>
        <item x="215"/>
        <item x="200"/>
        <item x="305"/>
        <item x="102"/>
        <item x="141"/>
        <item x="177"/>
        <item x="224"/>
        <item x="216"/>
        <item x="40"/>
        <item x="208"/>
        <item x="185"/>
        <item x="29"/>
        <item x="295"/>
        <item x="271"/>
        <item x="66"/>
        <item x="180"/>
        <item x="63"/>
        <item x="80"/>
        <item x="156"/>
        <item x="153"/>
        <item x="175"/>
        <item x="196"/>
        <item x="151"/>
        <item x="39"/>
        <item x="183"/>
        <item x="3"/>
        <item x="48"/>
        <item x="109"/>
        <item x="38"/>
        <item x="69"/>
        <item x="152"/>
        <item x="59"/>
        <item x="161"/>
        <item x="244"/>
        <item x="178"/>
        <item x="294"/>
        <item x="246"/>
        <item x="188"/>
        <item x="125"/>
        <item x="73"/>
        <item x="167"/>
        <item x="147"/>
        <item x="303"/>
        <item x="8"/>
        <item x="266"/>
        <item x="234"/>
        <item x="265"/>
        <item x="264"/>
        <item x="209"/>
        <item x="164"/>
        <item x="77"/>
        <item x="81"/>
        <item x="160"/>
        <item x="46"/>
        <item x="260"/>
        <item x="79"/>
        <item x="269"/>
        <item x="126"/>
        <item x="251"/>
        <item x="18"/>
        <item x="28"/>
        <item x="230"/>
        <item x="158"/>
        <item x="88"/>
        <item x="256"/>
        <item x="1"/>
        <item x="211"/>
        <item x="53"/>
        <item x="293"/>
        <item x="258"/>
        <item x="84"/>
        <item x="129"/>
        <item x="203"/>
        <item x="68"/>
        <item x="22"/>
        <item x="121"/>
        <item x="149"/>
        <item x="89"/>
        <item x="83"/>
        <item x="14"/>
        <item x="235"/>
        <item x="134"/>
        <item x="210"/>
        <item x="96"/>
        <item x="231"/>
        <item x="237"/>
        <item x="85"/>
        <item x="241"/>
        <item x="278"/>
        <item x="25"/>
        <item x="176"/>
        <item x="55"/>
        <item x="114"/>
        <item x="30"/>
        <item x="78"/>
        <item x="11"/>
        <item x="290"/>
        <item x="201"/>
        <item x="221"/>
        <item x="306"/>
        <item x="276"/>
        <item x="205"/>
        <item x="33"/>
        <item x="297"/>
        <item x="58"/>
        <item x="90"/>
        <item x="118"/>
        <item x="135"/>
        <item x="314"/>
        <item x="124"/>
        <item x="70"/>
        <item x="95"/>
        <item x="157"/>
        <item x="273"/>
        <item x="41"/>
        <item x="15"/>
        <item x="127"/>
        <item x="279"/>
        <item x="37"/>
        <item x="311"/>
        <item x="143"/>
        <item x="136"/>
        <item x="150"/>
        <item x="283"/>
        <item x="281"/>
        <item x="243"/>
        <item x="122"/>
        <item x="61"/>
        <item x="245"/>
        <item x="282"/>
        <item x="4"/>
        <item x="206"/>
        <item x="72"/>
        <item x="193"/>
        <item t="default"/>
      </items>
    </pivotField>
    <pivotField numFmtId="22" showAll="0"/>
    <pivotField showAll="0"/>
    <pivotField showAll="0"/>
    <pivotField showAll="0"/>
    <pivotField showAll="0"/>
    <pivotField showAll="0"/>
    <pivotField showAll="0"/>
    <pivotField showAll="0"/>
    <pivotField axis="axisRow" showAll="0">
      <items count="5">
        <item x="3"/>
        <item x="1"/>
        <item x="0"/>
        <item x="2"/>
        <item t="default"/>
      </items>
    </pivotField>
    <pivotField showAll="0"/>
    <pivotField showAll="0"/>
    <pivotField showAll="0">
      <items count="6">
        <item x="1"/>
        <item x="0"/>
        <item x="2"/>
        <item x="4"/>
        <item x="3"/>
        <item t="default"/>
      </items>
    </pivotField>
    <pivotField showAll="0"/>
    <pivotField showAll="0"/>
    <pivotField dataField="1" numFmtId="43" showAll="0"/>
    <pivotField showAll="0"/>
    <pivotField showAll="0"/>
    <pivotField numFmtId="43" showAll="0"/>
    <pivotField showAll="0"/>
    <pivotField showAll="0"/>
  </pivotFields>
  <rowFields count="1">
    <field x="11"/>
  </rowFields>
  <rowItems count="5">
    <i>
      <x/>
    </i>
    <i>
      <x v="1"/>
    </i>
    <i>
      <x v="2"/>
    </i>
    <i>
      <x v="3"/>
    </i>
    <i t="grand">
      <x/>
    </i>
  </rowItems>
  <colItems count="1">
    <i/>
  </colItems>
  <dataFields count="1">
    <dataField name="Sum of Sales" fld="17" baseField="0" baseItem="0" numFmtId="43"/>
  </dataFields>
  <chartFormats count="2">
    <chartFormat chart="11" format="5"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319"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92DEB3-B6DC-4653-AEE9-7AD741D8539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Category">
  <location ref="A1:B7" firstHeaderRow="1" firstDataRow="1" firstDataCol="1"/>
  <pivotFields count="23">
    <pivotField showAll="0"/>
    <pivotField showAll="0"/>
    <pivotField numFmtId="22" showAll="0">
      <items count="317">
        <item x="75"/>
        <item x="239"/>
        <item x="217"/>
        <item x="165"/>
        <item x="227"/>
        <item x="169"/>
        <item x="222"/>
        <item x="184"/>
        <item x="257"/>
        <item x="174"/>
        <item x="117"/>
        <item x="198"/>
        <item x="292"/>
        <item x="146"/>
        <item x="233"/>
        <item x="123"/>
        <item x="35"/>
        <item x="103"/>
        <item x="207"/>
        <item x="268"/>
        <item x="101"/>
        <item x="232"/>
        <item x="238"/>
        <item x="21"/>
        <item x="255"/>
        <item x="110"/>
        <item x="236"/>
        <item x="111"/>
        <item x="128"/>
        <item x="187"/>
        <item x="105"/>
        <item x="24"/>
        <item x="166"/>
        <item x="107"/>
        <item x="133"/>
        <item x="308"/>
        <item x="179"/>
        <item x="62"/>
        <item x="242"/>
        <item x="229"/>
        <item x="100"/>
        <item x="27"/>
        <item x="254"/>
        <item x="249"/>
        <item x="248"/>
        <item x="186"/>
        <item x="250"/>
        <item x="54"/>
        <item x="34"/>
        <item x="280"/>
        <item x="10"/>
        <item x="98"/>
        <item x="91"/>
        <item x="267"/>
        <item x="104"/>
        <item x="288"/>
        <item x="315"/>
        <item x="132"/>
        <item x="12"/>
        <item x="204"/>
        <item x="94"/>
        <item x="214"/>
        <item x="181"/>
        <item x="262"/>
        <item x="0"/>
        <item x="313"/>
        <item x="285"/>
        <item x="272"/>
        <item x="310"/>
        <item x="220"/>
        <item x="291"/>
        <item x="20"/>
        <item x="64"/>
        <item x="42"/>
        <item x="240"/>
        <item x="5"/>
        <item x="47"/>
        <item x="190"/>
        <item x="300"/>
        <item x="212"/>
        <item x="145"/>
        <item x="191"/>
        <item x="226"/>
        <item x="159"/>
        <item x="120"/>
        <item x="155"/>
        <item x="74"/>
        <item x="270"/>
        <item x="60"/>
        <item x="284"/>
        <item x="115"/>
        <item x="195"/>
        <item x="71"/>
        <item x="173"/>
        <item x="247"/>
        <item x="301"/>
        <item x="287"/>
        <item x="197"/>
        <item x="92"/>
        <item x="199"/>
        <item x="154"/>
        <item x="113"/>
        <item x="82"/>
        <item x="108"/>
        <item x="119"/>
        <item x="23"/>
        <item x="56"/>
        <item x="263"/>
        <item x="17"/>
        <item x="253"/>
        <item x="49"/>
        <item x="87"/>
        <item x="130"/>
        <item x="7"/>
        <item x="304"/>
        <item x="312"/>
        <item x="26"/>
        <item x="43"/>
        <item x="218"/>
        <item x="2"/>
        <item x="57"/>
        <item x="225"/>
        <item x="116"/>
        <item x="140"/>
        <item x="65"/>
        <item x="106"/>
        <item x="194"/>
        <item x="219"/>
        <item x="86"/>
        <item x="36"/>
        <item x="259"/>
        <item x="309"/>
        <item x="50"/>
        <item x="162"/>
        <item x="112"/>
        <item x="13"/>
        <item x="137"/>
        <item x="6"/>
        <item x="168"/>
        <item x="299"/>
        <item x="144"/>
        <item x="67"/>
        <item x="171"/>
        <item x="138"/>
        <item x="93"/>
        <item x="228"/>
        <item x="31"/>
        <item x="192"/>
        <item x="148"/>
        <item x="99"/>
        <item x="302"/>
        <item x="275"/>
        <item x="172"/>
        <item x="142"/>
        <item x="286"/>
        <item x="32"/>
        <item x="274"/>
        <item x="16"/>
        <item x="289"/>
        <item x="170"/>
        <item x="131"/>
        <item x="298"/>
        <item x="189"/>
        <item x="51"/>
        <item x="163"/>
        <item x="213"/>
        <item x="97"/>
        <item x="223"/>
        <item x="307"/>
        <item x="261"/>
        <item x="9"/>
        <item x="44"/>
        <item x="76"/>
        <item x="202"/>
        <item x="45"/>
        <item x="139"/>
        <item x="252"/>
        <item x="52"/>
        <item x="277"/>
        <item x="19"/>
        <item x="182"/>
        <item x="296"/>
        <item x="215"/>
        <item x="200"/>
        <item x="305"/>
        <item x="102"/>
        <item x="141"/>
        <item x="177"/>
        <item x="224"/>
        <item x="216"/>
        <item x="40"/>
        <item x="208"/>
        <item x="185"/>
        <item x="29"/>
        <item x="295"/>
        <item x="271"/>
        <item x="66"/>
        <item x="180"/>
        <item x="63"/>
        <item x="80"/>
        <item x="156"/>
        <item x="153"/>
        <item x="175"/>
        <item x="196"/>
        <item x="151"/>
        <item x="39"/>
        <item x="183"/>
        <item x="3"/>
        <item x="48"/>
        <item x="109"/>
        <item x="38"/>
        <item x="69"/>
        <item x="152"/>
        <item x="59"/>
        <item x="161"/>
        <item x="244"/>
        <item x="178"/>
        <item x="294"/>
        <item x="246"/>
        <item x="188"/>
        <item x="125"/>
        <item x="73"/>
        <item x="167"/>
        <item x="147"/>
        <item x="303"/>
        <item x="8"/>
        <item x="266"/>
        <item x="234"/>
        <item x="265"/>
        <item x="264"/>
        <item x="209"/>
        <item x="164"/>
        <item x="77"/>
        <item x="81"/>
        <item x="160"/>
        <item x="46"/>
        <item x="260"/>
        <item x="79"/>
        <item x="269"/>
        <item x="126"/>
        <item x="251"/>
        <item x="18"/>
        <item x="28"/>
        <item x="230"/>
        <item x="158"/>
        <item x="88"/>
        <item x="256"/>
        <item x="1"/>
        <item x="211"/>
        <item x="53"/>
        <item x="293"/>
        <item x="258"/>
        <item x="84"/>
        <item x="129"/>
        <item x="203"/>
        <item x="68"/>
        <item x="22"/>
        <item x="121"/>
        <item x="149"/>
        <item x="89"/>
        <item x="83"/>
        <item x="14"/>
        <item x="235"/>
        <item x="134"/>
        <item x="210"/>
        <item x="96"/>
        <item x="231"/>
        <item x="237"/>
        <item x="85"/>
        <item x="241"/>
        <item x="278"/>
        <item x="25"/>
        <item x="176"/>
        <item x="55"/>
        <item x="114"/>
        <item x="30"/>
        <item x="78"/>
        <item x="11"/>
        <item x="290"/>
        <item x="201"/>
        <item x="221"/>
        <item x="306"/>
        <item x="276"/>
        <item x="205"/>
        <item x="33"/>
        <item x="297"/>
        <item x="58"/>
        <item x="90"/>
        <item x="118"/>
        <item x="135"/>
        <item x="314"/>
        <item x="124"/>
        <item x="70"/>
        <item x="95"/>
        <item x="157"/>
        <item x="273"/>
        <item x="41"/>
        <item x="15"/>
        <item x="127"/>
        <item x="279"/>
        <item x="37"/>
        <item x="311"/>
        <item x="143"/>
        <item x="136"/>
        <item x="150"/>
        <item x="283"/>
        <item x="281"/>
        <item x="243"/>
        <item x="122"/>
        <item x="61"/>
        <item x="245"/>
        <item x="282"/>
        <item x="4"/>
        <item x="206"/>
        <item x="72"/>
        <item x="193"/>
        <item t="default"/>
      </items>
    </pivotField>
    <pivotField numFmtId="22" showAll="0"/>
    <pivotField showAll="0"/>
    <pivotField showAll="0"/>
    <pivotField showAll="0"/>
    <pivotField showAll="0"/>
    <pivotField showAll="0"/>
    <pivotField showAll="0"/>
    <pivotField showAll="0"/>
    <pivotField showAll="0">
      <items count="5">
        <item x="3"/>
        <item x="1"/>
        <item x="0"/>
        <item x="2"/>
        <item t="default"/>
      </items>
    </pivotField>
    <pivotField showAll="0"/>
    <pivotField showAll="0"/>
    <pivotField axis="axisRow" showAll="0">
      <items count="6">
        <item x="1"/>
        <item x="0"/>
        <item x="2"/>
        <item x="4"/>
        <item x="3"/>
        <item t="default"/>
      </items>
    </pivotField>
    <pivotField showAll="0"/>
    <pivotField showAll="0"/>
    <pivotField dataField="1" numFmtId="43" showAll="0"/>
    <pivotField showAll="0"/>
    <pivotField showAll="0"/>
    <pivotField numFmtId="43" showAll="0"/>
    <pivotField showAll="0"/>
    <pivotField showAll="0"/>
  </pivotFields>
  <rowFields count="1">
    <field x="14"/>
  </rowFields>
  <rowItems count="6">
    <i>
      <x/>
    </i>
    <i>
      <x v="1"/>
    </i>
    <i>
      <x v="2"/>
    </i>
    <i>
      <x v="3"/>
    </i>
    <i>
      <x v="4"/>
    </i>
    <i t="grand">
      <x/>
    </i>
  </rowItems>
  <colItems count="1">
    <i/>
  </colItems>
  <dataFields count="1">
    <dataField name="Sum of Sales" fld="17" baseField="0" baseItem="0" numFmtId="43"/>
  </dataFields>
  <chartFormats count="2">
    <chartFormat chart="9"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326"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25F859-764A-4D12-BF05-70742CFED58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1:N752" firstHeaderRow="1" firstDataRow="1" firstDataCol="1"/>
  <pivotFields count="23">
    <pivotField showAll="0"/>
    <pivotField axis="axisRow" dataField="1" showAll="0">
      <items count="7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t="default"/>
      </items>
    </pivotField>
    <pivotField numFmtId="22" showAll="0">
      <items count="317">
        <item x="75"/>
        <item x="239"/>
        <item x="217"/>
        <item x="165"/>
        <item x="227"/>
        <item x="169"/>
        <item x="222"/>
        <item x="184"/>
        <item x="257"/>
        <item x="174"/>
        <item x="117"/>
        <item x="198"/>
        <item x="292"/>
        <item x="146"/>
        <item x="233"/>
        <item x="123"/>
        <item x="35"/>
        <item x="103"/>
        <item x="207"/>
        <item x="268"/>
        <item x="101"/>
        <item x="232"/>
        <item x="238"/>
        <item x="21"/>
        <item x="255"/>
        <item x="110"/>
        <item x="236"/>
        <item x="111"/>
        <item x="128"/>
        <item x="187"/>
        <item x="105"/>
        <item x="24"/>
        <item x="166"/>
        <item x="107"/>
        <item x="133"/>
        <item x="308"/>
        <item x="179"/>
        <item x="62"/>
        <item x="242"/>
        <item x="229"/>
        <item x="100"/>
        <item x="27"/>
        <item x="254"/>
        <item x="249"/>
        <item x="248"/>
        <item x="186"/>
        <item x="250"/>
        <item x="54"/>
        <item x="34"/>
        <item x="280"/>
        <item x="10"/>
        <item x="98"/>
        <item x="91"/>
        <item x="267"/>
        <item x="104"/>
        <item x="288"/>
        <item x="315"/>
        <item x="132"/>
        <item x="12"/>
        <item x="204"/>
        <item x="94"/>
        <item x="214"/>
        <item x="181"/>
        <item x="262"/>
        <item x="0"/>
        <item x="313"/>
        <item x="285"/>
        <item x="272"/>
        <item x="310"/>
        <item x="220"/>
        <item x="291"/>
        <item x="20"/>
        <item x="64"/>
        <item x="42"/>
        <item x="240"/>
        <item x="5"/>
        <item x="47"/>
        <item x="190"/>
        <item x="300"/>
        <item x="212"/>
        <item x="145"/>
        <item x="191"/>
        <item x="226"/>
        <item x="159"/>
        <item x="120"/>
        <item x="155"/>
        <item x="74"/>
        <item x="270"/>
        <item x="60"/>
        <item x="284"/>
        <item x="115"/>
        <item x="195"/>
        <item x="71"/>
        <item x="173"/>
        <item x="247"/>
        <item x="301"/>
        <item x="287"/>
        <item x="197"/>
        <item x="92"/>
        <item x="199"/>
        <item x="154"/>
        <item x="113"/>
        <item x="82"/>
        <item x="108"/>
        <item x="119"/>
        <item x="23"/>
        <item x="56"/>
        <item x="263"/>
        <item x="17"/>
        <item x="253"/>
        <item x="49"/>
        <item x="87"/>
        <item x="130"/>
        <item x="7"/>
        <item x="304"/>
        <item x="312"/>
        <item x="26"/>
        <item x="43"/>
        <item x="218"/>
        <item x="2"/>
        <item x="57"/>
        <item x="225"/>
        <item x="116"/>
        <item x="140"/>
        <item x="65"/>
        <item x="106"/>
        <item x="194"/>
        <item x="219"/>
        <item x="86"/>
        <item x="36"/>
        <item x="259"/>
        <item x="309"/>
        <item x="50"/>
        <item x="162"/>
        <item x="112"/>
        <item x="13"/>
        <item x="137"/>
        <item x="6"/>
        <item x="168"/>
        <item x="299"/>
        <item x="144"/>
        <item x="67"/>
        <item x="171"/>
        <item x="138"/>
        <item x="93"/>
        <item x="228"/>
        <item x="31"/>
        <item x="192"/>
        <item x="148"/>
        <item x="99"/>
        <item x="302"/>
        <item x="275"/>
        <item x="172"/>
        <item x="142"/>
        <item x="286"/>
        <item x="32"/>
        <item x="274"/>
        <item x="16"/>
        <item x="289"/>
        <item x="170"/>
        <item x="131"/>
        <item x="298"/>
        <item x="189"/>
        <item x="51"/>
        <item x="163"/>
        <item x="213"/>
        <item x="97"/>
        <item x="223"/>
        <item x="307"/>
        <item x="261"/>
        <item x="9"/>
        <item x="44"/>
        <item x="76"/>
        <item x="202"/>
        <item x="45"/>
        <item x="139"/>
        <item x="252"/>
        <item x="52"/>
        <item x="277"/>
        <item x="19"/>
        <item x="182"/>
        <item x="296"/>
        <item x="215"/>
        <item x="200"/>
        <item x="305"/>
        <item x="102"/>
        <item x="141"/>
        <item x="177"/>
        <item x="224"/>
        <item x="216"/>
        <item x="40"/>
        <item x="208"/>
        <item x="185"/>
        <item x="29"/>
        <item x="295"/>
        <item x="271"/>
        <item x="66"/>
        <item x="180"/>
        <item x="63"/>
        <item x="80"/>
        <item x="156"/>
        <item x="153"/>
        <item x="175"/>
        <item x="196"/>
        <item x="151"/>
        <item x="39"/>
        <item x="183"/>
        <item x="3"/>
        <item x="48"/>
        <item x="109"/>
        <item x="38"/>
        <item x="69"/>
        <item x="152"/>
        <item x="59"/>
        <item x="161"/>
        <item x="244"/>
        <item x="178"/>
        <item x="294"/>
        <item x="246"/>
        <item x="188"/>
        <item x="125"/>
        <item x="73"/>
        <item x="167"/>
        <item x="147"/>
        <item x="303"/>
        <item x="8"/>
        <item x="266"/>
        <item x="234"/>
        <item x="265"/>
        <item x="264"/>
        <item x="209"/>
        <item x="164"/>
        <item x="77"/>
        <item x="81"/>
        <item x="160"/>
        <item x="46"/>
        <item x="260"/>
        <item x="79"/>
        <item x="269"/>
        <item x="126"/>
        <item x="251"/>
        <item x="18"/>
        <item x="28"/>
        <item x="230"/>
        <item x="158"/>
        <item x="88"/>
        <item x="256"/>
        <item x="1"/>
        <item x="211"/>
        <item x="53"/>
        <item x="293"/>
        <item x="258"/>
        <item x="84"/>
        <item x="129"/>
        <item x="203"/>
        <item x="68"/>
        <item x="22"/>
        <item x="121"/>
        <item x="149"/>
        <item x="89"/>
        <item x="83"/>
        <item x="14"/>
        <item x="235"/>
        <item x="134"/>
        <item x="210"/>
        <item x="96"/>
        <item x="231"/>
        <item x="237"/>
        <item x="85"/>
        <item x="241"/>
        <item x="278"/>
        <item x="25"/>
        <item x="176"/>
        <item x="55"/>
        <item x="114"/>
        <item x="30"/>
        <item x="78"/>
        <item x="11"/>
        <item x="290"/>
        <item x="201"/>
        <item x="221"/>
        <item x="306"/>
        <item x="276"/>
        <item x="205"/>
        <item x="33"/>
        <item x="297"/>
        <item x="58"/>
        <item x="90"/>
        <item x="118"/>
        <item x="135"/>
        <item x="314"/>
        <item x="124"/>
        <item x="70"/>
        <item x="95"/>
        <item x="157"/>
        <item x="273"/>
        <item x="41"/>
        <item x="15"/>
        <item x="127"/>
        <item x="279"/>
        <item x="37"/>
        <item x="311"/>
        <item x="143"/>
        <item x="136"/>
        <item x="150"/>
        <item x="283"/>
        <item x="281"/>
        <item x="243"/>
        <item x="122"/>
        <item x="61"/>
        <item x="245"/>
        <item x="282"/>
        <item x="4"/>
        <item x="206"/>
        <item x="72"/>
        <item x="193"/>
        <item t="default"/>
      </items>
    </pivotField>
    <pivotField numFmtId="22" showAll="0"/>
    <pivotField showAll="0"/>
    <pivotField showAll="0"/>
    <pivotField showAll="0"/>
    <pivotField showAll="0"/>
    <pivotField showAll="0"/>
    <pivotField showAll="0"/>
    <pivotField showAll="0"/>
    <pivotField showAll="0">
      <items count="5">
        <item x="3"/>
        <item x="1"/>
        <item x="0"/>
        <item x="2"/>
        <item t="default"/>
      </items>
    </pivotField>
    <pivotField showAll="0"/>
    <pivotField showAll="0"/>
    <pivotField showAll="0">
      <items count="6">
        <item x="1"/>
        <item x="0"/>
        <item x="2"/>
        <item x="4"/>
        <item x="3"/>
        <item t="default"/>
      </items>
    </pivotField>
    <pivotField showAll="0"/>
    <pivotField showAll="0"/>
    <pivotField numFmtId="43" showAll="0"/>
    <pivotField showAll="0"/>
    <pivotField showAll="0"/>
    <pivotField numFmtId="43" showAll="0"/>
    <pivotField showAll="0"/>
    <pivotField showAll="0"/>
  </pivotFields>
  <rowFields count="1">
    <field x="1"/>
  </rowFields>
  <rowItems count="7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t="grand">
      <x/>
    </i>
  </rowItems>
  <colItems count="1">
    <i/>
  </colItems>
  <dataFields count="1">
    <dataField name="Count of Order ID" fld="1" subtotal="count" baseField="1" baseItem="0"/>
  </dataFields>
  <pivotTableStyleInfo name="PivotStyleLight16" showRowHeaders="1" showColHeaders="1" showRowStripes="0" showColStripes="0" showLastColumn="1"/>
  <filters count="1">
    <filter fld="2" type="dateBetween" evalOrder="-1" id="319"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3241C718-5AA0-40B4-A006-FF1E5DE59CB8}" autoFormatId="16" applyNumberFormats="0" applyBorderFormats="0" applyFontFormats="0" applyPatternFormats="0" applyAlignmentFormats="0" applyWidthHeightFormats="0">
  <queryTableRefresh nextId="24">
    <queryTableFields count="23">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Region" tableColumnId="12"/>
      <queryTableField id="13" name="Postal Code"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Sales Check" tableColumnId="22"/>
      <queryTableField id="23" name="Quantity Check"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EA8641-135D-4013-B4F9-957EA0BC6282}" sourceName="Region">
  <pivotTables>
    <pivotTable tabId="9" name="PivotTable1"/>
    <pivotTable tabId="9" name="PivotTable2"/>
    <pivotTable tabId="9" name="PivotTable3"/>
    <pivotTable tabId="9" name="PivotTable4"/>
    <pivotTable tabId="9" name="PivotTable5"/>
  </pivotTables>
  <data>
    <tabular pivotCacheId="149698864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80CBB20-E097-47A9-830D-6EDDAC8D3D99}" sourceName="Category">
  <pivotTables>
    <pivotTable tabId="9" name="PivotTable1"/>
    <pivotTable tabId="9" name="PivotTable2"/>
    <pivotTable tabId="9" name="PivotTable3"/>
    <pivotTable tabId="9" name="PivotTable4"/>
    <pivotTable tabId="9" name="PivotTable5"/>
  </pivotTables>
  <data>
    <tabular pivotCacheId="1496988647">
      <items count="5">
        <i x="1" s="1"/>
        <i x="0"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1DD58E1-29BA-4EED-992C-ABE734836EC0}" cache="Slicer_Region" caption="Region" style="Slicer Style 1" rowHeight="234950"/>
  <slicer name="Category" xr10:uid="{7F4B668D-527D-4163-A9AB-D836FDD7C00E}" cache="Slicer_Category" caption="Category" style="Slicer Style 1"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916F6B-1A52-4A2A-AED2-C4702ED22DD8}" name="Table1" displayName="Table1" ref="A1:U759" totalsRowShown="0" headerRowDxfId="37" headerRowBorderDxfId="36" tableBorderDxfId="35">
  <autoFilter ref="A1:U759" xr:uid="{C0916F6B-1A52-4A2A-AED2-C4702ED22DD8}"/>
  <tableColumns count="21">
    <tableColumn id="1" xr3:uid="{253E9950-9815-4D8C-B940-F0C55EC94381}" name="Row ID"/>
    <tableColumn id="2" xr3:uid="{46AD031D-1150-40A3-AED8-6335B49531F6}" name="Order ID"/>
    <tableColumn id="3" xr3:uid="{525C54B3-0DD4-4A38-8E8C-FCD50F4C7F78}" name="Order Date" dataDxfId="34"/>
    <tableColumn id="4" xr3:uid="{6C7B8AC4-AFB4-4DC8-9DB6-5CF28FF7CC5F}" name="Ship Date" dataDxfId="33"/>
    <tableColumn id="5" xr3:uid="{6542DC7C-0206-42D1-9892-D767728014C3}" name="Ship Mode"/>
    <tableColumn id="6" xr3:uid="{B82FF188-0D4F-44E1-A13B-E2D5354F5ACB}" name="Customer ID"/>
    <tableColumn id="7" xr3:uid="{B8056C8E-72CD-479F-8179-E1D73FD28B71}" name="Customer Name"/>
    <tableColumn id="8" xr3:uid="{3E5046AE-4672-4FAE-A573-BA8DBFA1CA18}" name="Segment"/>
    <tableColumn id="9" xr3:uid="{A4FD897D-7382-4832-AE11-AE4C0C2874A3}" name="Country"/>
    <tableColumn id="10" xr3:uid="{21DC1A0F-3732-4A3E-AAD5-768ECE8CD32D}" name="City"/>
    <tableColumn id="11" xr3:uid="{488BC5AE-DC1F-40DC-B44E-AC5EF3858E37}" name="State"/>
    <tableColumn id="12" xr3:uid="{21CFDAE4-7817-4839-B9DB-580C2002C607}" name="Region"/>
    <tableColumn id="13" xr3:uid="{197F4A9A-B5D0-4FB7-8D92-58936493A68E}" name="Postal Code"/>
    <tableColumn id="14" xr3:uid="{825765FD-0EC7-4ED2-971E-12E6A3319595}" name="Product ID"/>
    <tableColumn id="15" xr3:uid="{BFFE9B52-98A2-4D64-92B9-87D8D678CBBA}" name="Category"/>
    <tableColumn id="16" xr3:uid="{396C2B44-0346-4099-8411-94433D216818}" name="Sub-Category"/>
    <tableColumn id="17" xr3:uid="{3D906983-A177-4A8C-8AAA-D1B23BDF56FF}" name="Product Name"/>
    <tableColumn id="18" xr3:uid="{EDB77352-3DB7-45FB-A46F-32E2F8F536E7}" name="Sales"/>
    <tableColumn id="19" xr3:uid="{3860E78C-53F0-4599-9E5E-03C5B0194615}" name="Quantity"/>
    <tableColumn id="20" xr3:uid="{BE380070-2AE3-47C3-9633-50E93BD990D3}" name="Discount"/>
    <tableColumn id="21" xr3:uid="{F6B5738C-9C67-45D3-94C1-64560C1BC46F}" name="Profit"/>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8F96097-AD7A-4188-81F3-EA53CB3B64C9}" name="Table1_2" displayName="Table1_2" ref="A1:W751" tableType="queryTable" totalsRowShown="0">
  <autoFilter ref="A1:W751" xr:uid="{68F96097-AD7A-4188-81F3-EA53CB3B64C9}"/>
  <tableColumns count="23">
    <tableColumn id="1" xr3:uid="{799549E4-15D0-47FC-8A50-58703627EB3D}" uniqueName="1" name="Row ID" queryTableFieldId="1"/>
    <tableColumn id="2" xr3:uid="{CA88F38E-78E2-4640-B9DB-04D12FC5057A}" uniqueName="2" name="Order ID" queryTableFieldId="2" dataDxfId="32"/>
    <tableColumn id="3" xr3:uid="{DDD151C9-2EEF-470C-B13D-596259BD8B08}" uniqueName="3" name="Order Date" queryTableFieldId="3" dataDxfId="31"/>
    <tableColumn id="4" xr3:uid="{34695675-C8D7-4537-936A-6DBE27ED6E64}" uniqueName="4" name="Ship Date" queryTableFieldId="4" dataDxfId="30"/>
    <tableColumn id="5" xr3:uid="{B723C38F-864E-4DF3-9574-8094222CFD0E}" uniqueName="5" name="Ship Mode" queryTableFieldId="5" dataDxfId="29"/>
    <tableColumn id="6" xr3:uid="{4ACC17AB-535B-4B9A-9F6A-CE0ECA3B1D4D}" uniqueName="6" name="Customer ID" queryTableFieldId="6" dataDxfId="28"/>
    <tableColumn id="7" xr3:uid="{C465752B-3F6A-4BB2-BD95-46BD949A5908}" uniqueName="7" name="Customer Name" queryTableFieldId="7" dataDxfId="27"/>
    <tableColumn id="8" xr3:uid="{8E1000B8-8015-48A6-8B28-19D048CA1608}" uniqueName="8" name="Segment" queryTableFieldId="8" dataDxfId="26"/>
    <tableColumn id="9" xr3:uid="{05275FE4-C8FF-445A-9C52-40BD221B4DF3}" uniqueName="9" name="Country" queryTableFieldId="9" dataDxfId="25"/>
    <tableColumn id="10" xr3:uid="{A0FA7C47-86E5-4958-8B5F-CC129F589E8D}" uniqueName="10" name="City" queryTableFieldId="10" dataDxfId="24"/>
    <tableColumn id="11" xr3:uid="{30B4A8D7-A24A-4530-92D7-A05DC669B293}" uniqueName="11" name="State" queryTableFieldId="11" dataDxfId="23"/>
    <tableColumn id="12" xr3:uid="{DC60E5D1-955A-4420-AB35-51068ED29EBD}" uniqueName="12" name="Region" queryTableFieldId="12" dataDxfId="22"/>
    <tableColumn id="13" xr3:uid="{901F3C7E-5881-4DE3-AB61-6E255DB8D368}" uniqueName="13" name="Postal Code" queryTableFieldId="13"/>
    <tableColumn id="14" xr3:uid="{0B052D7D-458C-4B0A-9D22-6975DE6CCE8C}" uniqueName="14" name="Product ID" queryTableFieldId="14" dataDxfId="21"/>
    <tableColumn id="15" xr3:uid="{9F8B652C-5F8D-464B-B068-D37D111DD840}" uniqueName="15" name="Category" queryTableFieldId="15" dataDxfId="20"/>
    <tableColumn id="16" xr3:uid="{2535084A-C4C0-45B4-800D-F56851B84B38}" uniqueName="16" name="Sub-Category" queryTableFieldId="16" dataDxfId="19"/>
    <tableColumn id="17" xr3:uid="{C581358B-995E-4A0E-AEF3-488464470615}" uniqueName="17" name="Product Name" queryTableFieldId="17" dataDxfId="18"/>
    <tableColumn id="18" xr3:uid="{657DCAD8-ABB4-4B81-AE93-81A9CBDCC43D}" uniqueName="18" name="Sales" queryTableFieldId="18" dataCellStyle="Comma"/>
    <tableColumn id="19" xr3:uid="{49E0B0B4-51E1-4441-ABD5-211543A570D6}" uniqueName="19" name="Quantity" queryTableFieldId="19"/>
    <tableColumn id="20" xr3:uid="{FF28D274-6658-435F-89DA-62762B64335E}" uniqueName="20" name="Discount" queryTableFieldId="20"/>
    <tableColumn id="21" xr3:uid="{8F82CFD4-A824-4CE4-A6E5-9B3B0E439597}" uniqueName="21" name="Profit" queryTableFieldId="21" dataCellStyle="Comma"/>
    <tableColumn id="22" xr3:uid="{94FD6CC8-89C3-4740-BDB8-B9013A6CB76A}" uniqueName="22" name="Sales Check" queryTableFieldId="22" dataDxfId="17"/>
    <tableColumn id="23" xr3:uid="{DCF5D5E8-587B-4F1A-A84A-86C317B2B331}" uniqueName="23" name="Quantity Check" queryTableFieldId="23" dataDxfId="16"/>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EE04C3-3956-4444-ABB6-27C006E3DBBB}" name="Table2" displayName="Table2" ref="A1:B6" totalsRowShown="0" headerRowDxfId="15" dataDxfId="14">
  <autoFilter ref="A1:B6" xr:uid="{A8EE04C3-3956-4444-ABB6-27C006E3DBBB}"/>
  <tableColumns count="2">
    <tableColumn id="1" xr3:uid="{E23793A7-95D8-469C-B676-6DE4EB2CEF8E}" name="Category" dataDxfId="13"/>
    <tableColumn id="2" xr3:uid="{CB1FE73E-87B6-4896-B931-8CBE57ACE80C}" name="Total Sales" dataDxfId="12">
      <calculatedColumnFormula>SUMIF('Raw Data'!O:O,A2,'Raw Data'!R:R)</calculatedColumnFormula>
    </tableColumn>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36EE76E-A66E-4F03-B03E-A1E24DEF2AF2}" name="Table4" displayName="Table4" ref="D1:E5" totalsRowShown="0" headerRowDxfId="11" dataDxfId="10">
  <autoFilter ref="D1:E5" xr:uid="{336EE76E-A66E-4F03-B03E-A1E24DEF2AF2}"/>
  <tableColumns count="2">
    <tableColumn id="1" xr3:uid="{8E98ACEA-B67D-4292-A8C0-B9E3D965753B}" name="Region" dataDxfId="9"/>
    <tableColumn id="2" xr3:uid="{5E239623-C042-4928-9000-992B1F48EBAD}" name="Total Sales" dataDxfId="8">
      <calculatedColumnFormula>SUMIF('Raw Data'!L:L,D2,'Raw Data'!R:R)</calculatedColumnFormula>
    </tableColumn>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D6D53D7-00B3-4145-A695-7E100C3F20E0}" name="Table5" displayName="Table5" ref="G1:H4" totalsRowShown="0" headerRowDxfId="7" dataDxfId="6">
  <autoFilter ref="G1:H4" xr:uid="{BD6D53D7-00B3-4145-A695-7E100C3F20E0}"/>
  <tableColumns count="2">
    <tableColumn id="1" xr3:uid="{BDABF1DD-F411-4810-AFC2-F492E7A8426C}" name="Segment" dataDxfId="5"/>
    <tableColumn id="2" xr3:uid="{01F43644-6067-4D7D-A586-D73B1EAA2AC4}" name="Total Profit" dataDxfId="4">
      <calculatedColumnFormula>SUMIF('Raw Data'!H:H,G2,'Raw Data'!U:U)</calculatedColumnFormula>
    </tableColumn>
  </tableColumns>
  <tableStyleInfo name="TableStyleMedium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521D569-B57B-4337-B02A-27BD5B4BE2D0}" name="Table6" displayName="Table6" ref="J1:K6" totalsRowShown="0" headerRowDxfId="3" dataDxfId="2">
  <autoFilter ref="J1:K6" xr:uid="{1521D569-B57B-4337-B02A-27BD5B4BE2D0}"/>
  <tableColumns count="2">
    <tableColumn id="1" xr3:uid="{92A66F70-E3DC-4189-A192-A8F06139559B}" name="Category" dataDxfId="1"/>
    <tableColumn id="2" xr3:uid="{77C655F7-7F93-417B-9331-9268ED30C685}" name="Total Quantity" dataDxfId="0">
      <calculatedColumnFormula>SUMIF('Raw Data'!O:O,J2,'Raw Data'!S:S)</calculatedColumnFormula>
    </tableColumn>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8EE5149-4FA9-4915-A1BD-A05F5351100B}" sourceName="Order Date">
  <pivotTables>
    <pivotTable tabId="9" name="PivotTable1"/>
    <pivotTable tabId="9" name="PivotTable2"/>
    <pivotTable tabId="9" name="PivotTable3"/>
    <pivotTable tabId="9" name="PivotTable4"/>
    <pivotTable tabId="9" name="PivotTable5"/>
  </pivotTables>
  <state minimalRefreshVersion="6" lastRefreshVersion="6" pivotCacheId="1496988647" filterType="dateBetween">
    <selection startDate="2024-01-01T00:00:00" endDate="2024-12-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41056CE-7F38-4F42-9AE1-851FB2E27938}" cache="NativeTimeline_Order_Date" caption="Order Date" level="2" selectionLevel="0" scrollPosition="2024-05-02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759"/>
  <sheetViews>
    <sheetView workbookViewId="0">
      <selection activeCell="W12" sqref="W12"/>
    </sheetView>
  </sheetViews>
  <sheetFormatPr defaultRowHeight="14.4"/>
  <cols>
    <col min="1" max="1" width="13.44140625" customWidth="1"/>
    <col min="2" max="2" width="27.21875" customWidth="1"/>
    <col min="3" max="3" width="22" customWidth="1"/>
    <col min="4" max="4" width="23.77734375" customWidth="1"/>
    <col min="5" max="5" width="23.44140625" customWidth="1"/>
    <col min="6" max="6" width="24.21875" customWidth="1"/>
    <col min="7" max="7" width="21.88671875" customWidth="1"/>
    <col min="8" max="8" width="21.21875" customWidth="1"/>
    <col min="9" max="9" width="23.21875" customWidth="1"/>
    <col min="10" max="10" width="24.44140625" customWidth="1"/>
    <col min="11" max="11" width="17" customWidth="1"/>
    <col min="12" max="12" width="15" customWidth="1"/>
    <col min="13" max="15" width="17.6640625" customWidth="1"/>
    <col min="16" max="16" width="21.88671875" customWidth="1"/>
    <col min="17" max="17" width="24.33203125" customWidth="1"/>
    <col min="18" max="18" width="17.77734375" customWidth="1"/>
    <col min="19" max="19" width="16.88671875" customWidth="1"/>
    <col min="20" max="20" width="12.88671875" customWidth="1"/>
    <col min="21" max="21" width="13.33203125" customWidth="1"/>
    <col min="23" max="23" width="22.109375" customWidth="1"/>
  </cols>
  <sheetData>
    <row r="1" spans="1:23">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W1" t="str">
        <f>$U$1</f>
        <v>Profit</v>
      </c>
    </row>
    <row r="2" spans="1:23">
      <c r="A2">
        <v>1595</v>
      </c>
      <c r="B2" t="s">
        <v>21</v>
      </c>
      <c r="C2" s="1">
        <v>45334</v>
      </c>
      <c r="D2" s="1">
        <v>45339</v>
      </c>
      <c r="E2" t="s">
        <v>22</v>
      </c>
      <c r="F2" t="s">
        <v>23</v>
      </c>
      <c r="G2" t="s">
        <v>24</v>
      </c>
      <c r="H2" t="s">
        <v>25</v>
      </c>
      <c r="I2" t="s">
        <v>26</v>
      </c>
      <c r="J2" t="s">
        <v>27</v>
      </c>
      <c r="K2" t="s">
        <v>28</v>
      </c>
      <c r="L2" t="s">
        <v>29</v>
      </c>
      <c r="M2" t="s">
        <v>30</v>
      </c>
      <c r="N2" t="s">
        <v>31</v>
      </c>
      <c r="O2" t="s">
        <v>32</v>
      </c>
      <c r="P2" t="s">
        <v>33</v>
      </c>
      <c r="Q2" t="s">
        <v>34</v>
      </c>
      <c r="R2">
        <v>2439.75</v>
      </c>
      <c r="S2">
        <v>2</v>
      </c>
      <c r="T2">
        <v>0.1</v>
      </c>
      <c r="U2">
        <v>498.33</v>
      </c>
      <c r="W2" t="str">
        <f t="shared" ref="W2:W5" si="0">$U$1</f>
        <v>Profit</v>
      </c>
    </row>
    <row r="3" spans="1:23">
      <c r="A3">
        <v>1098</v>
      </c>
      <c r="B3" t="s">
        <v>35</v>
      </c>
      <c r="C3" s="1">
        <v>45577</v>
      </c>
      <c r="D3" s="1">
        <v>45580</v>
      </c>
      <c r="E3" t="s">
        <v>22</v>
      </c>
      <c r="F3" t="s">
        <v>36</v>
      </c>
      <c r="G3" t="s">
        <v>37</v>
      </c>
      <c r="H3" t="s">
        <v>38</v>
      </c>
      <c r="I3" t="s">
        <v>26</v>
      </c>
      <c r="J3" t="s">
        <v>39</v>
      </c>
      <c r="K3" t="s">
        <v>40</v>
      </c>
      <c r="L3" t="s">
        <v>41</v>
      </c>
      <c r="M3" t="s">
        <v>42</v>
      </c>
      <c r="N3" t="s">
        <v>43</v>
      </c>
      <c r="O3" t="s">
        <v>44</v>
      </c>
      <c r="P3" t="s">
        <v>45</v>
      </c>
      <c r="Q3" t="s">
        <v>46</v>
      </c>
      <c r="R3">
        <v>184132.26</v>
      </c>
      <c r="S3">
        <v>7</v>
      </c>
      <c r="T3">
        <v>0.25</v>
      </c>
      <c r="U3">
        <v>-8938.1</v>
      </c>
      <c r="W3" t="str">
        <f t="shared" si="0"/>
        <v>Profit</v>
      </c>
    </row>
    <row r="4" spans="1:23">
      <c r="A4">
        <v>1282</v>
      </c>
      <c r="B4" t="s">
        <v>47</v>
      </c>
      <c r="C4" s="1">
        <v>45480</v>
      </c>
      <c r="D4" s="1">
        <v>45482</v>
      </c>
      <c r="E4" t="s">
        <v>48</v>
      </c>
      <c r="F4" t="s">
        <v>49</v>
      </c>
      <c r="G4" t="s">
        <v>50</v>
      </c>
      <c r="H4" t="s">
        <v>51</v>
      </c>
      <c r="I4" t="s">
        <v>26</v>
      </c>
      <c r="J4" t="s">
        <v>52</v>
      </c>
      <c r="K4" t="s">
        <v>52</v>
      </c>
      <c r="L4" t="s">
        <v>53</v>
      </c>
      <c r="M4" t="s">
        <v>30</v>
      </c>
      <c r="N4" t="s">
        <v>54</v>
      </c>
      <c r="O4" t="s">
        <v>55</v>
      </c>
      <c r="P4" t="s">
        <v>56</v>
      </c>
      <c r="Q4" t="s">
        <v>57</v>
      </c>
      <c r="R4">
        <v>32210.22</v>
      </c>
      <c r="S4">
        <v>5</v>
      </c>
      <c r="T4">
        <v>0.05</v>
      </c>
      <c r="U4">
        <v>3109.97</v>
      </c>
      <c r="W4" t="str">
        <f t="shared" si="0"/>
        <v>Profit</v>
      </c>
    </row>
    <row r="5" spans="1:23">
      <c r="A5">
        <v>1658</v>
      </c>
      <c r="B5" t="s">
        <v>58</v>
      </c>
      <c r="C5" s="1">
        <v>45508</v>
      </c>
      <c r="D5" s="1">
        <v>45514</v>
      </c>
      <c r="E5" t="s">
        <v>22</v>
      </c>
      <c r="F5" t="s">
        <v>59</v>
      </c>
      <c r="G5" t="s">
        <v>60</v>
      </c>
      <c r="H5" t="s">
        <v>51</v>
      </c>
      <c r="I5" t="s">
        <v>26</v>
      </c>
      <c r="J5" t="s">
        <v>61</v>
      </c>
      <c r="K5" t="s">
        <v>62</v>
      </c>
      <c r="L5" t="s">
        <v>63</v>
      </c>
      <c r="M5" t="s">
        <v>30</v>
      </c>
      <c r="N5" t="s">
        <v>64</v>
      </c>
      <c r="O5" t="s">
        <v>65</v>
      </c>
      <c r="P5" t="s">
        <v>66</v>
      </c>
      <c r="Q5" t="s">
        <v>67</v>
      </c>
      <c r="R5">
        <v>18979.09</v>
      </c>
      <c r="S5">
        <v>3</v>
      </c>
      <c r="T5">
        <v>0.25</v>
      </c>
      <c r="U5">
        <v>-50.85</v>
      </c>
      <c r="W5" t="str">
        <f t="shared" si="0"/>
        <v>Profit</v>
      </c>
    </row>
    <row r="6" spans="1:23">
      <c r="A6">
        <v>1586</v>
      </c>
      <c r="B6" t="s">
        <v>68</v>
      </c>
      <c r="C6" s="1">
        <v>45546</v>
      </c>
      <c r="D6" s="1">
        <v>45548</v>
      </c>
      <c r="E6" t="s">
        <v>69</v>
      </c>
      <c r="F6" t="s">
        <v>70</v>
      </c>
      <c r="G6" t="s">
        <v>71</v>
      </c>
      <c r="H6" t="s">
        <v>25</v>
      </c>
      <c r="I6" t="s">
        <v>26</v>
      </c>
      <c r="J6" t="s">
        <v>72</v>
      </c>
      <c r="K6" t="s">
        <v>73</v>
      </c>
      <c r="L6" t="s">
        <v>41</v>
      </c>
      <c r="M6" t="s">
        <v>74</v>
      </c>
      <c r="N6" t="s">
        <v>75</v>
      </c>
      <c r="O6" t="s">
        <v>44</v>
      </c>
      <c r="P6" t="s">
        <v>45</v>
      </c>
      <c r="Q6" t="s">
        <v>46</v>
      </c>
      <c r="R6">
        <v>102685.8</v>
      </c>
      <c r="S6">
        <v>25</v>
      </c>
      <c r="T6">
        <v>0.3</v>
      </c>
      <c r="U6">
        <v>-10828.26</v>
      </c>
    </row>
    <row r="7" spans="1:23">
      <c r="A7">
        <v>1079</v>
      </c>
      <c r="B7" t="s">
        <v>76</v>
      </c>
      <c r="C7" s="1">
        <v>45396</v>
      </c>
      <c r="D7" s="1">
        <v>45399</v>
      </c>
      <c r="E7" t="s">
        <v>69</v>
      </c>
      <c r="F7" t="s">
        <v>77</v>
      </c>
      <c r="G7" t="s">
        <v>78</v>
      </c>
      <c r="H7" t="s">
        <v>51</v>
      </c>
      <c r="I7" t="s">
        <v>26</v>
      </c>
      <c r="J7" t="s">
        <v>79</v>
      </c>
      <c r="K7" t="s">
        <v>80</v>
      </c>
      <c r="L7" t="s">
        <v>29</v>
      </c>
      <c r="M7" t="s">
        <v>81</v>
      </c>
      <c r="N7" t="s">
        <v>82</v>
      </c>
      <c r="O7" t="s">
        <v>83</v>
      </c>
      <c r="P7" t="s">
        <v>84</v>
      </c>
      <c r="Q7" t="s">
        <v>85</v>
      </c>
      <c r="R7">
        <v>6576.27</v>
      </c>
      <c r="S7">
        <v>2</v>
      </c>
      <c r="T7">
        <v>0</v>
      </c>
      <c r="U7">
        <v>1859.13</v>
      </c>
    </row>
    <row r="8" spans="1:23">
      <c r="A8">
        <v>1055</v>
      </c>
      <c r="B8" t="s">
        <v>86</v>
      </c>
      <c r="C8" s="1">
        <v>45480</v>
      </c>
      <c r="D8" s="1">
        <v>45482</v>
      </c>
      <c r="E8" t="s">
        <v>22</v>
      </c>
      <c r="F8" t="s">
        <v>87</v>
      </c>
      <c r="G8" t="s">
        <v>88</v>
      </c>
      <c r="H8" t="s">
        <v>89</v>
      </c>
      <c r="I8" t="s">
        <v>26</v>
      </c>
      <c r="J8" t="s">
        <v>90</v>
      </c>
      <c r="K8" t="s">
        <v>91</v>
      </c>
      <c r="L8" t="s">
        <v>92</v>
      </c>
      <c r="M8" t="s">
        <v>42</v>
      </c>
      <c r="N8" t="s">
        <v>93</v>
      </c>
      <c r="O8" t="s">
        <v>94</v>
      </c>
      <c r="P8" t="s">
        <v>45</v>
      </c>
      <c r="Q8" t="s">
        <v>46</v>
      </c>
      <c r="R8">
        <v>29272.2</v>
      </c>
      <c r="S8">
        <v>1</v>
      </c>
      <c r="T8">
        <v>0.15</v>
      </c>
      <c r="U8">
        <v>288.51</v>
      </c>
    </row>
    <row r="9" spans="1:23">
      <c r="A9">
        <v>1110</v>
      </c>
      <c r="B9" t="s">
        <v>95</v>
      </c>
      <c r="C9" s="1">
        <v>45329</v>
      </c>
      <c r="D9" s="1">
        <v>45330</v>
      </c>
      <c r="E9" t="s">
        <v>48</v>
      </c>
      <c r="F9" t="s">
        <v>96</v>
      </c>
      <c r="G9" t="s">
        <v>60</v>
      </c>
      <c r="H9" t="s">
        <v>38</v>
      </c>
      <c r="I9" t="s">
        <v>26</v>
      </c>
      <c r="J9" t="s">
        <v>61</v>
      </c>
      <c r="K9" t="s">
        <v>62</v>
      </c>
      <c r="L9" t="s">
        <v>53</v>
      </c>
      <c r="M9" t="s">
        <v>30</v>
      </c>
      <c r="N9" t="s">
        <v>97</v>
      </c>
      <c r="O9" t="s">
        <v>55</v>
      </c>
      <c r="P9" t="s">
        <v>98</v>
      </c>
      <c r="Q9" t="s">
        <v>99</v>
      </c>
      <c r="R9">
        <v>4587.26</v>
      </c>
      <c r="S9">
        <v>1</v>
      </c>
      <c r="T9">
        <v>0.3</v>
      </c>
      <c r="U9">
        <v>-188.59</v>
      </c>
    </row>
    <row r="10" spans="1:23">
      <c r="A10">
        <v>1325</v>
      </c>
      <c r="B10" t="s">
        <v>100</v>
      </c>
      <c r="C10" s="1">
        <v>45298</v>
      </c>
      <c r="D10" s="1">
        <v>45304</v>
      </c>
      <c r="E10" t="s">
        <v>101</v>
      </c>
      <c r="F10" t="s">
        <v>102</v>
      </c>
      <c r="G10" t="s">
        <v>37</v>
      </c>
      <c r="H10" t="s">
        <v>25</v>
      </c>
      <c r="I10" t="s">
        <v>26</v>
      </c>
      <c r="J10" t="s">
        <v>52</v>
      </c>
      <c r="K10" t="s">
        <v>52</v>
      </c>
      <c r="L10" t="s">
        <v>103</v>
      </c>
      <c r="M10" t="s">
        <v>30</v>
      </c>
      <c r="N10" t="s">
        <v>104</v>
      </c>
      <c r="O10" t="s">
        <v>55</v>
      </c>
      <c r="P10" t="s">
        <v>98</v>
      </c>
      <c r="Q10" t="s">
        <v>99</v>
      </c>
      <c r="R10">
        <v>23436.39</v>
      </c>
      <c r="S10">
        <v>5</v>
      </c>
      <c r="T10">
        <v>0.3</v>
      </c>
      <c r="U10">
        <v>-819.63</v>
      </c>
      <c r="W10" s="14" t="s">
        <v>85</v>
      </c>
    </row>
    <row r="11" spans="1:23">
      <c r="A11">
        <v>1502</v>
      </c>
      <c r="B11" t="s">
        <v>105</v>
      </c>
      <c r="C11" s="1">
        <v>45405</v>
      </c>
      <c r="D11" s="1">
        <v>45411</v>
      </c>
      <c r="E11" t="s">
        <v>69</v>
      </c>
      <c r="F11" t="s">
        <v>106</v>
      </c>
      <c r="G11" t="s">
        <v>107</v>
      </c>
      <c r="H11" t="s">
        <v>108</v>
      </c>
      <c r="I11" t="s">
        <v>26</v>
      </c>
      <c r="J11" t="s">
        <v>109</v>
      </c>
      <c r="K11" t="s">
        <v>110</v>
      </c>
      <c r="L11" t="s">
        <v>41</v>
      </c>
      <c r="M11" t="s">
        <v>30</v>
      </c>
      <c r="N11" t="s">
        <v>111</v>
      </c>
      <c r="O11" t="s">
        <v>83</v>
      </c>
      <c r="P11" t="s">
        <v>84</v>
      </c>
      <c r="Q11" t="s">
        <v>85</v>
      </c>
      <c r="R11">
        <v>15259.27</v>
      </c>
      <c r="S11">
        <v>6</v>
      </c>
      <c r="T11">
        <v>0.25</v>
      </c>
      <c r="U11">
        <v>1490.22</v>
      </c>
      <c r="W11" t="str">
        <f>_xlfn.XLOOKUP(Q7,Q:Q,N:N)</f>
        <v>P-596</v>
      </c>
    </row>
    <row r="12" spans="1:23">
      <c r="A12">
        <v>1040</v>
      </c>
      <c r="B12" t="s">
        <v>112</v>
      </c>
      <c r="C12" s="1">
        <v>45638</v>
      </c>
      <c r="D12" s="1">
        <v>45644</v>
      </c>
      <c r="E12" t="s">
        <v>69</v>
      </c>
      <c r="F12" t="s">
        <v>113</v>
      </c>
      <c r="G12" t="s">
        <v>114</v>
      </c>
      <c r="H12" t="s">
        <v>51</v>
      </c>
      <c r="I12" t="s">
        <v>26</v>
      </c>
      <c r="J12" t="s">
        <v>115</v>
      </c>
      <c r="K12" t="s">
        <v>116</v>
      </c>
      <c r="L12" t="s">
        <v>117</v>
      </c>
      <c r="M12" t="s">
        <v>118</v>
      </c>
      <c r="N12" t="s">
        <v>119</v>
      </c>
      <c r="O12" t="s">
        <v>120</v>
      </c>
      <c r="P12" t="s">
        <v>121</v>
      </c>
      <c r="Q12" t="s">
        <v>122</v>
      </c>
      <c r="R12">
        <v>952.92</v>
      </c>
      <c r="S12">
        <v>2</v>
      </c>
      <c r="T12">
        <v>0.25</v>
      </c>
      <c r="U12">
        <v>28.87</v>
      </c>
    </row>
    <row r="13" spans="1:23">
      <c r="A13">
        <v>1665</v>
      </c>
      <c r="B13" t="s">
        <v>123</v>
      </c>
      <c r="C13" s="1">
        <v>45421</v>
      </c>
      <c r="D13" s="1">
        <v>45426</v>
      </c>
      <c r="E13" t="s">
        <v>101</v>
      </c>
      <c r="F13" t="s">
        <v>124</v>
      </c>
      <c r="G13" t="s">
        <v>125</v>
      </c>
      <c r="H13" t="s">
        <v>126</v>
      </c>
      <c r="I13" t="s">
        <v>26</v>
      </c>
      <c r="J13" t="s">
        <v>90</v>
      </c>
      <c r="K13" t="s">
        <v>91</v>
      </c>
      <c r="L13" t="s">
        <v>63</v>
      </c>
      <c r="M13" t="s">
        <v>127</v>
      </c>
      <c r="N13" t="s">
        <v>128</v>
      </c>
      <c r="O13" t="s">
        <v>83</v>
      </c>
      <c r="P13" t="s">
        <v>84</v>
      </c>
      <c r="Q13" t="s">
        <v>85</v>
      </c>
      <c r="R13">
        <v>11812.53</v>
      </c>
      <c r="S13">
        <v>4</v>
      </c>
      <c r="T13">
        <v>0.1</v>
      </c>
      <c r="U13">
        <v>2183.35</v>
      </c>
    </row>
    <row r="14" spans="1:23">
      <c r="A14">
        <v>1540</v>
      </c>
      <c r="B14" t="s">
        <v>129</v>
      </c>
      <c r="C14" s="1">
        <v>45514</v>
      </c>
      <c r="D14" s="1">
        <v>45519</v>
      </c>
      <c r="E14" t="s">
        <v>48</v>
      </c>
      <c r="F14" t="s">
        <v>130</v>
      </c>
      <c r="G14" t="s">
        <v>24</v>
      </c>
      <c r="H14" t="s">
        <v>51</v>
      </c>
      <c r="I14" t="s">
        <v>26</v>
      </c>
      <c r="J14" t="s">
        <v>131</v>
      </c>
      <c r="K14" t="s">
        <v>132</v>
      </c>
      <c r="L14" t="s">
        <v>92</v>
      </c>
      <c r="M14" t="s">
        <v>30</v>
      </c>
      <c r="N14" t="s">
        <v>133</v>
      </c>
      <c r="O14" t="s">
        <v>55</v>
      </c>
      <c r="P14" t="s">
        <v>56</v>
      </c>
      <c r="Q14" t="s">
        <v>57</v>
      </c>
      <c r="R14">
        <v>20626.29</v>
      </c>
      <c r="S14">
        <v>4</v>
      </c>
      <c r="T14">
        <v>0.25</v>
      </c>
      <c r="U14">
        <v>-63.17</v>
      </c>
    </row>
    <row r="15" spans="1:23">
      <c r="A15">
        <v>1640</v>
      </c>
      <c r="B15" t="s">
        <v>134</v>
      </c>
      <c r="C15" s="1">
        <v>45474</v>
      </c>
      <c r="D15" s="1">
        <v>45478</v>
      </c>
      <c r="E15" t="s">
        <v>101</v>
      </c>
      <c r="F15" t="s">
        <v>135</v>
      </c>
      <c r="G15" t="s">
        <v>136</v>
      </c>
      <c r="H15" t="s">
        <v>25</v>
      </c>
      <c r="I15" t="s">
        <v>26</v>
      </c>
      <c r="J15" t="s">
        <v>27</v>
      </c>
      <c r="K15" t="s">
        <v>28</v>
      </c>
      <c r="L15" t="s">
        <v>63</v>
      </c>
      <c r="M15" t="s">
        <v>30</v>
      </c>
      <c r="N15" t="s">
        <v>137</v>
      </c>
      <c r="O15" t="s">
        <v>138</v>
      </c>
      <c r="P15" t="s">
        <v>139</v>
      </c>
      <c r="Q15" t="s">
        <v>140</v>
      </c>
      <c r="R15">
        <v>2686.98</v>
      </c>
      <c r="S15">
        <v>4</v>
      </c>
      <c r="T15">
        <v>0.25</v>
      </c>
      <c r="U15">
        <v>100.71</v>
      </c>
    </row>
    <row r="16" spans="1:23">
      <c r="A16">
        <v>1600</v>
      </c>
      <c r="B16" t="s">
        <v>141</v>
      </c>
      <c r="C16" s="1">
        <v>45381</v>
      </c>
      <c r="D16" s="1">
        <v>45387</v>
      </c>
      <c r="E16" t="s">
        <v>22</v>
      </c>
      <c r="F16" t="s">
        <v>142</v>
      </c>
      <c r="G16" t="s">
        <v>24</v>
      </c>
      <c r="H16" t="s">
        <v>51</v>
      </c>
      <c r="I16" t="s">
        <v>26</v>
      </c>
      <c r="J16" t="s">
        <v>109</v>
      </c>
      <c r="K16" t="s">
        <v>110</v>
      </c>
      <c r="L16" t="s">
        <v>103</v>
      </c>
      <c r="M16" t="s">
        <v>30</v>
      </c>
      <c r="N16" t="s">
        <v>143</v>
      </c>
      <c r="O16" t="s">
        <v>144</v>
      </c>
      <c r="P16" t="s">
        <v>56</v>
      </c>
      <c r="Q16" t="s">
        <v>57</v>
      </c>
      <c r="R16">
        <v>5990.08</v>
      </c>
      <c r="S16">
        <v>1</v>
      </c>
      <c r="T16">
        <v>0.2</v>
      </c>
      <c r="U16">
        <v>146.47</v>
      </c>
    </row>
    <row r="17" spans="1:21">
      <c r="A17">
        <v>1335</v>
      </c>
      <c r="B17" t="s">
        <v>145</v>
      </c>
      <c r="C17" s="1">
        <v>45534</v>
      </c>
      <c r="D17" s="1">
        <v>45536</v>
      </c>
      <c r="E17" t="s">
        <v>69</v>
      </c>
      <c r="F17" t="s">
        <v>146</v>
      </c>
      <c r="G17" t="s">
        <v>147</v>
      </c>
      <c r="H17" t="s">
        <v>51</v>
      </c>
      <c r="I17" t="s">
        <v>26</v>
      </c>
      <c r="J17" t="s">
        <v>109</v>
      </c>
      <c r="K17" t="s">
        <v>110</v>
      </c>
      <c r="L17" t="s">
        <v>41</v>
      </c>
      <c r="M17" t="s">
        <v>30</v>
      </c>
      <c r="N17" t="s">
        <v>148</v>
      </c>
      <c r="O17" t="s">
        <v>138</v>
      </c>
      <c r="P17" t="s">
        <v>121</v>
      </c>
      <c r="Q17" t="s">
        <v>122</v>
      </c>
      <c r="R17">
        <v>3087.01</v>
      </c>
      <c r="S17">
        <v>5</v>
      </c>
      <c r="T17">
        <v>0</v>
      </c>
      <c r="U17">
        <v>551.05999999999995</v>
      </c>
    </row>
    <row r="18" spans="1:21">
      <c r="A18">
        <v>1255</v>
      </c>
      <c r="B18" t="s">
        <v>149</v>
      </c>
      <c r="C18" s="1">
        <v>45334</v>
      </c>
      <c r="D18" s="1">
        <v>45339</v>
      </c>
      <c r="E18" t="s">
        <v>22</v>
      </c>
      <c r="F18" t="s">
        <v>36</v>
      </c>
      <c r="G18" t="s">
        <v>147</v>
      </c>
      <c r="H18" t="s">
        <v>25</v>
      </c>
      <c r="I18" t="s">
        <v>26</v>
      </c>
      <c r="J18" t="s">
        <v>39</v>
      </c>
      <c r="K18" t="s">
        <v>40</v>
      </c>
      <c r="L18" t="s">
        <v>92</v>
      </c>
      <c r="M18" t="s">
        <v>42</v>
      </c>
      <c r="N18" t="s">
        <v>150</v>
      </c>
      <c r="O18" t="s">
        <v>55</v>
      </c>
      <c r="P18" t="s">
        <v>98</v>
      </c>
      <c r="Q18" t="s">
        <v>99</v>
      </c>
      <c r="R18">
        <v>13035.13</v>
      </c>
      <c r="S18">
        <v>2</v>
      </c>
      <c r="T18">
        <v>0.05</v>
      </c>
      <c r="U18">
        <v>1849.55</v>
      </c>
    </row>
    <row r="19" spans="1:21">
      <c r="A19">
        <v>1638</v>
      </c>
      <c r="B19" t="s">
        <v>151</v>
      </c>
      <c r="C19" s="1">
        <v>45647</v>
      </c>
      <c r="D19" s="1">
        <v>45652</v>
      </c>
      <c r="E19" t="s">
        <v>22</v>
      </c>
      <c r="F19" t="s">
        <v>152</v>
      </c>
      <c r="G19" t="s">
        <v>71</v>
      </c>
      <c r="H19" t="s">
        <v>153</v>
      </c>
      <c r="I19" t="s">
        <v>26</v>
      </c>
      <c r="J19" t="s">
        <v>90</v>
      </c>
      <c r="K19" t="s">
        <v>91</v>
      </c>
      <c r="L19" t="s">
        <v>154</v>
      </c>
      <c r="M19" t="s">
        <v>74</v>
      </c>
      <c r="N19" t="s">
        <v>155</v>
      </c>
      <c r="O19" t="s">
        <v>138</v>
      </c>
      <c r="P19" t="s">
        <v>156</v>
      </c>
      <c r="Q19" t="s">
        <v>157</v>
      </c>
      <c r="R19">
        <v>284.11</v>
      </c>
      <c r="S19">
        <v>1</v>
      </c>
      <c r="T19">
        <v>0.25</v>
      </c>
      <c r="U19">
        <v>8.5500000000000007</v>
      </c>
    </row>
    <row r="20" spans="1:21">
      <c r="A20">
        <v>1219</v>
      </c>
      <c r="B20" t="s">
        <v>158</v>
      </c>
      <c r="C20" s="1">
        <v>45560</v>
      </c>
      <c r="D20" s="1">
        <v>45561</v>
      </c>
      <c r="E20" t="s">
        <v>22</v>
      </c>
      <c r="F20" t="s">
        <v>159</v>
      </c>
      <c r="G20" t="s">
        <v>125</v>
      </c>
      <c r="H20" t="s">
        <v>51</v>
      </c>
      <c r="I20" t="s">
        <v>26</v>
      </c>
      <c r="J20" t="s">
        <v>160</v>
      </c>
      <c r="K20" t="s">
        <v>161</v>
      </c>
      <c r="L20" t="s">
        <v>41</v>
      </c>
      <c r="M20" t="s">
        <v>127</v>
      </c>
      <c r="N20" t="s">
        <v>162</v>
      </c>
      <c r="O20" t="s">
        <v>138</v>
      </c>
      <c r="P20" t="s">
        <v>121</v>
      </c>
      <c r="Q20" t="s">
        <v>122</v>
      </c>
      <c r="R20">
        <v>3633.4</v>
      </c>
      <c r="S20">
        <v>6</v>
      </c>
      <c r="T20">
        <v>0</v>
      </c>
      <c r="U20">
        <v>843.62</v>
      </c>
    </row>
    <row r="21" spans="1:21">
      <c r="A21">
        <v>1537</v>
      </c>
      <c r="B21" t="s">
        <v>163</v>
      </c>
      <c r="C21" s="1">
        <v>45524</v>
      </c>
      <c r="D21" s="1">
        <v>45528</v>
      </c>
      <c r="E21" t="s">
        <v>22</v>
      </c>
      <c r="F21" t="s">
        <v>164</v>
      </c>
      <c r="G21" t="s">
        <v>165</v>
      </c>
      <c r="H21" t="s">
        <v>108</v>
      </c>
      <c r="I21" t="s">
        <v>26</v>
      </c>
      <c r="J21" t="s">
        <v>166</v>
      </c>
      <c r="K21" t="s">
        <v>132</v>
      </c>
      <c r="L21" t="s">
        <v>41</v>
      </c>
      <c r="M21" t="s">
        <v>42</v>
      </c>
      <c r="N21" t="s">
        <v>167</v>
      </c>
      <c r="O21" t="s">
        <v>83</v>
      </c>
      <c r="P21" t="s">
        <v>33</v>
      </c>
      <c r="Q21" t="s">
        <v>34</v>
      </c>
      <c r="R21">
        <v>2075.89</v>
      </c>
      <c r="S21">
        <v>2</v>
      </c>
      <c r="T21">
        <v>0.2</v>
      </c>
      <c r="U21">
        <v>189.06</v>
      </c>
    </row>
    <row r="22" spans="1:21">
      <c r="A22">
        <v>1351</v>
      </c>
      <c r="B22" t="s">
        <v>168</v>
      </c>
      <c r="C22" s="1">
        <v>45484</v>
      </c>
      <c r="D22" s="1">
        <v>45490</v>
      </c>
      <c r="E22" t="s">
        <v>48</v>
      </c>
      <c r="F22" t="s">
        <v>49</v>
      </c>
      <c r="G22" t="s">
        <v>136</v>
      </c>
      <c r="H22" t="s">
        <v>51</v>
      </c>
      <c r="I22" t="s">
        <v>26</v>
      </c>
      <c r="J22" t="s">
        <v>166</v>
      </c>
      <c r="K22" t="s">
        <v>132</v>
      </c>
      <c r="L22" t="s">
        <v>169</v>
      </c>
      <c r="M22" t="s">
        <v>170</v>
      </c>
      <c r="N22" t="s">
        <v>171</v>
      </c>
      <c r="O22" t="s">
        <v>44</v>
      </c>
      <c r="P22" t="s">
        <v>45</v>
      </c>
      <c r="Q22" t="s">
        <v>46</v>
      </c>
      <c r="R22">
        <v>144750.85999999999</v>
      </c>
      <c r="S22">
        <v>4</v>
      </c>
      <c r="T22">
        <v>0</v>
      </c>
      <c r="U22">
        <v>12354.53</v>
      </c>
    </row>
    <row r="23" spans="1:21">
      <c r="A23">
        <v>1723</v>
      </c>
      <c r="B23" t="s">
        <v>172</v>
      </c>
      <c r="C23" s="1">
        <v>45485</v>
      </c>
      <c r="D23" s="1">
        <v>45490</v>
      </c>
      <c r="E23" t="s">
        <v>69</v>
      </c>
      <c r="F23" t="s">
        <v>173</v>
      </c>
      <c r="G23" t="s">
        <v>174</v>
      </c>
      <c r="H23" t="s">
        <v>25</v>
      </c>
      <c r="I23" t="s">
        <v>26</v>
      </c>
      <c r="J23" t="s">
        <v>115</v>
      </c>
      <c r="K23" t="s">
        <v>116</v>
      </c>
      <c r="L23" t="s">
        <v>92</v>
      </c>
      <c r="M23" t="s">
        <v>127</v>
      </c>
      <c r="N23" t="s">
        <v>175</v>
      </c>
      <c r="O23" t="s">
        <v>138</v>
      </c>
      <c r="P23" t="s">
        <v>156</v>
      </c>
      <c r="Q23" t="s">
        <v>157</v>
      </c>
      <c r="R23">
        <v>1529.06</v>
      </c>
      <c r="S23">
        <v>4</v>
      </c>
      <c r="T23">
        <v>0.05</v>
      </c>
      <c r="U23">
        <v>214.77</v>
      </c>
    </row>
    <row r="24" spans="1:21">
      <c r="A24">
        <v>1431</v>
      </c>
      <c r="B24" t="s">
        <v>176</v>
      </c>
      <c r="C24" s="1">
        <v>45452</v>
      </c>
      <c r="D24" s="1">
        <v>45455</v>
      </c>
      <c r="E24" t="s">
        <v>69</v>
      </c>
      <c r="F24" t="s">
        <v>177</v>
      </c>
      <c r="G24" t="s">
        <v>114</v>
      </c>
      <c r="H24" t="s">
        <v>51</v>
      </c>
      <c r="I24" t="s">
        <v>26</v>
      </c>
      <c r="J24" t="s">
        <v>61</v>
      </c>
      <c r="K24" t="s">
        <v>62</v>
      </c>
      <c r="L24" t="s">
        <v>63</v>
      </c>
      <c r="M24" t="s">
        <v>30</v>
      </c>
      <c r="N24" t="s">
        <v>178</v>
      </c>
      <c r="O24" t="s">
        <v>144</v>
      </c>
      <c r="P24" t="s">
        <v>56</v>
      </c>
      <c r="Q24" t="s">
        <v>57</v>
      </c>
      <c r="R24">
        <v>36835.300000000003</v>
      </c>
      <c r="S24">
        <v>7</v>
      </c>
      <c r="T24">
        <v>0.3</v>
      </c>
      <c r="U24">
        <v>-1259.1199999999999</v>
      </c>
    </row>
    <row r="25" spans="1:21">
      <c r="A25">
        <v>1287</v>
      </c>
      <c r="B25" t="s">
        <v>179</v>
      </c>
      <c r="C25" s="1">
        <v>45571</v>
      </c>
      <c r="D25" s="1">
        <v>45573</v>
      </c>
      <c r="E25" t="s">
        <v>69</v>
      </c>
      <c r="F25" t="s">
        <v>180</v>
      </c>
      <c r="G25" t="s">
        <v>71</v>
      </c>
      <c r="H25" t="s">
        <v>51</v>
      </c>
      <c r="I25" t="s">
        <v>26</v>
      </c>
      <c r="J25" t="s">
        <v>72</v>
      </c>
      <c r="K25" t="s">
        <v>73</v>
      </c>
      <c r="L25" t="s">
        <v>29</v>
      </c>
      <c r="M25" t="s">
        <v>74</v>
      </c>
      <c r="N25" t="s">
        <v>181</v>
      </c>
      <c r="O25" t="s">
        <v>138</v>
      </c>
      <c r="P25" t="s">
        <v>182</v>
      </c>
      <c r="Q25" t="s">
        <v>183</v>
      </c>
      <c r="R25">
        <v>3186.37</v>
      </c>
      <c r="S25">
        <v>8</v>
      </c>
      <c r="T25">
        <v>0.1</v>
      </c>
      <c r="U25">
        <v>456.42</v>
      </c>
    </row>
    <row r="26" spans="1:21">
      <c r="A26">
        <v>1592</v>
      </c>
      <c r="B26" t="s">
        <v>184</v>
      </c>
      <c r="C26" s="1">
        <v>45587</v>
      </c>
      <c r="D26" s="1">
        <v>45592</v>
      </c>
      <c r="E26" t="s">
        <v>69</v>
      </c>
      <c r="F26" t="s">
        <v>185</v>
      </c>
      <c r="G26" t="s">
        <v>37</v>
      </c>
      <c r="H26" t="s">
        <v>51</v>
      </c>
      <c r="I26" t="s">
        <v>26</v>
      </c>
      <c r="J26" t="s">
        <v>72</v>
      </c>
      <c r="K26" t="s">
        <v>73</v>
      </c>
      <c r="L26" t="s">
        <v>186</v>
      </c>
      <c r="M26" t="s">
        <v>127</v>
      </c>
      <c r="N26" t="s">
        <v>187</v>
      </c>
      <c r="O26" t="s">
        <v>188</v>
      </c>
      <c r="P26" t="s">
        <v>189</v>
      </c>
      <c r="Q26" t="s">
        <v>190</v>
      </c>
      <c r="R26">
        <v>5626.92</v>
      </c>
      <c r="S26">
        <v>1</v>
      </c>
      <c r="T26">
        <v>0.05</v>
      </c>
    </row>
    <row r="27" spans="1:21">
      <c r="A27">
        <v>1435</v>
      </c>
      <c r="B27" t="s">
        <v>191</v>
      </c>
      <c r="C27" s="1">
        <v>45493</v>
      </c>
      <c r="D27" s="1">
        <v>45499</v>
      </c>
      <c r="E27" t="s">
        <v>69</v>
      </c>
      <c r="F27" t="s">
        <v>192</v>
      </c>
      <c r="G27" t="s">
        <v>50</v>
      </c>
      <c r="H27" t="s">
        <v>51</v>
      </c>
      <c r="I27" t="s">
        <v>26</v>
      </c>
      <c r="J27" t="s">
        <v>27</v>
      </c>
      <c r="K27" t="s">
        <v>28</v>
      </c>
      <c r="L27" t="s">
        <v>29</v>
      </c>
      <c r="M27" t="s">
        <v>42</v>
      </c>
      <c r="N27" t="s">
        <v>193</v>
      </c>
      <c r="O27" t="s">
        <v>55</v>
      </c>
      <c r="P27" t="s">
        <v>98</v>
      </c>
      <c r="Q27" t="s">
        <v>99</v>
      </c>
      <c r="R27">
        <v>16249.12</v>
      </c>
      <c r="S27">
        <v>3</v>
      </c>
      <c r="T27">
        <v>0.2</v>
      </c>
      <c r="U27">
        <v>596.21</v>
      </c>
    </row>
    <row r="28" spans="1:21">
      <c r="A28">
        <v>1382</v>
      </c>
      <c r="B28" t="s">
        <v>194</v>
      </c>
      <c r="C28" s="1">
        <v>45576</v>
      </c>
      <c r="D28" s="1">
        <v>45579</v>
      </c>
      <c r="E28" t="s">
        <v>69</v>
      </c>
      <c r="F28" t="s">
        <v>195</v>
      </c>
      <c r="G28" t="s">
        <v>114</v>
      </c>
      <c r="H28" t="s">
        <v>51</v>
      </c>
      <c r="I28" t="s">
        <v>26</v>
      </c>
      <c r="J28" t="s">
        <v>160</v>
      </c>
      <c r="K28" t="s">
        <v>161</v>
      </c>
      <c r="L28" t="s">
        <v>117</v>
      </c>
      <c r="M28" t="s">
        <v>74</v>
      </c>
      <c r="N28" t="s">
        <v>196</v>
      </c>
      <c r="O28" t="s">
        <v>138</v>
      </c>
      <c r="P28" t="s">
        <v>121</v>
      </c>
      <c r="Q28" t="s">
        <v>122</v>
      </c>
      <c r="R28">
        <v>530.27</v>
      </c>
      <c r="S28">
        <v>1</v>
      </c>
      <c r="T28">
        <v>0.15</v>
      </c>
      <c r="U28">
        <v>60.98</v>
      </c>
    </row>
    <row r="29" spans="1:21">
      <c r="A29">
        <v>1369</v>
      </c>
      <c r="B29" t="s">
        <v>197</v>
      </c>
      <c r="C29" s="1">
        <v>45473</v>
      </c>
      <c r="D29" s="1">
        <v>45479</v>
      </c>
      <c r="E29" t="s">
        <v>48</v>
      </c>
      <c r="F29" t="s">
        <v>198</v>
      </c>
      <c r="G29" t="s">
        <v>136</v>
      </c>
      <c r="H29" t="s">
        <v>25</v>
      </c>
      <c r="I29" t="s">
        <v>26</v>
      </c>
      <c r="J29" t="s">
        <v>131</v>
      </c>
      <c r="K29" t="s">
        <v>132</v>
      </c>
      <c r="L29" t="s">
        <v>63</v>
      </c>
      <c r="M29" t="s">
        <v>81</v>
      </c>
      <c r="N29" t="s">
        <v>199</v>
      </c>
      <c r="O29" t="s">
        <v>44</v>
      </c>
      <c r="P29" t="s">
        <v>45</v>
      </c>
      <c r="Q29" t="s">
        <v>46</v>
      </c>
      <c r="R29">
        <v>28304.39</v>
      </c>
      <c r="S29">
        <v>1</v>
      </c>
      <c r="T29">
        <v>0.2</v>
      </c>
      <c r="U29">
        <v>-655.7</v>
      </c>
    </row>
    <row r="30" spans="1:21">
      <c r="A30">
        <v>1702</v>
      </c>
      <c r="B30" t="s">
        <v>200</v>
      </c>
      <c r="C30" s="1">
        <v>45522</v>
      </c>
      <c r="D30" s="1">
        <v>45527</v>
      </c>
      <c r="E30" t="s">
        <v>69</v>
      </c>
      <c r="F30" t="s">
        <v>59</v>
      </c>
      <c r="G30" t="s">
        <v>78</v>
      </c>
      <c r="H30" t="s">
        <v>153</v>
      </c>
      <c r="I30" t="s">
        <v>26</v>
      </c>
      <c r="J30" t="s">
        <v>160</v>
      </c>
      <c r="K30" t="s">
        <v>161</v>
      </c>
      <c r="L30" t="s">
        <v>29</v>
      </c>
      <c r="M30" t="s">
        <v>74</v>
      </c>
      <c r="N30" t="s">
        <v>201</v>
      </c>
      <c r="O30" t="s">
        <v>83</v>
      </c>
      <c r="P30" t="s">
        <v>33</v>
      </c>
      <c r="Q30" t="s">
        <v>34</v>
      </c>
      <c r="R30">
        <v>3888.64</v>
      </c>
      <c r="S30">
        <v>3</v>
      </c>
      <c r="T30">
        <v>0</v>
      </c>
      <c r="U30">
        <v>1087.07</v>
      </c>
    </row>
    <row r="31" spans="1:21">
      <c r="A31">
        <v>1175</v>
      </c>
      <c r="B31" t="s">
        <v>202</v>
      </c>
      <c r="C31" s="1">
        <v>45318</v>
      </c>
      <c r="D31" s="1">
        <v>45323</v>
      </c>
      <c r="E31" t="s">
        <v>69</v>
      </c>
      <c r="F31" t="s">
        <v>203</v>
      </c>
      <c r="G31" t="s">
        <v>136</v>
      </c>
      <c r="H31" t="s">
        <v>89</v>
      </c>
      <c r="I31" t="s">
        <v>26</v>
      </c>
      <c r="J31" t="s">
        <v>160</v>
      </c>
      <c r="K31" t="s">
        <v>161</v>
      </c>
      <c r="L31" t="s">
        <v>63</v>
      </c>
      <c r="M31" t="s">
        <v>74</v>
      </c>
      <c r="N31" t="s">
        <v>204</v>
      </c>
      <c r="O31" t="s">
        <v>65</v>
      </c>
      <c r="P31" t="s">
        <v>56</v>
      </c>
      <c r="Q31" t="s">
        <v>57</v>
      </c>
      <c r="R31">
        <v>10583.33</v>
      </c>
      <c r="S31">
        <v>2</v>
      </c>
      <c r="T31">
        <v>0.25</v>
      </c>
      <c r="U31">
        <v>-28.12</v>
      </c>
    </row>
    <row r="32" spans="1:21">
      <c r="A32">
        <v>1471</v>
      </c>
      <c r="B32" t="s">
        <v>205</v>
      </c>
      <c r="C32" s="1">
        <v>45332</v>
      </c>
      <c r="D32" s="1">
        <v>45336</v>
      </c>
      <c r="E32" t="s">
        <v>22</v>
      </c>
      <c r="F32" t="s">
        <v>203</v>
      </c>
      <c r="G32" t="s">
        <v>136</v>
      </c>
      <c r="H32" t="s">
        <v>108</v>
      </c>
      <c r="I32" t="s">
        <v>26</v>
      </c>
      <c r="J32" t="s">
        <v>131</v>
      </c>
      <c r="K32" t="s">
        <v>132</v>
      </c>
      <c r="L32" t="s">
        <v>186</v>
      </c>
      <c r="M32" t="s">
        <v>127</v>
      </c>
      <c r="N32" t="s">
        <v>206</v>
      </c>
      <c r="O32" t="s">
        <v>44</v>
      </c>
      <c r="P32" t="s">
        <v>207</v>
      </c>
      <c r="Q32" t="s">
        <v>208</v>
      </c>
      <c r="R32">
        <v>35084.1</v>
      </c>
      <c r="S32">
        <v>1</v>
      </c>
      <c r="T32">
        <v>0.3</v>
      </c>
      <c r="U32">
        <v>-3062.93</v>
      </c>
    </row>
    <row r="33" spans="1:21">
      <c r="A33">
        <v>1581</v>
      </c>
      <c r="B33" t="s">
        <v>209</v>
      </c>
      <c r="C33" s="1">
        <v>45504</v>
      </c>
      <c r="D33" s="1">
        <v>45506</v>
      </c>
      <c r="E33" t="s">
        <v>48</v>
      </c>
      <c r="F33" t="s">
        <v>198</v>
      </c>
      <c r="G33" t="s">
        <v>60</v>
      </c>
      <c r="H33" t="s">
        <v>51</v>
      </c>
      <c r="I33" t="s">
        <v>26</v>
      </c>
      <c r="J33" t="s">
        <v>79</v>
      </c>
      <c r="K33" t="s">
        <v>80</v>
      </c>
      <c r="L33" t="s">
        <v>29</v>
      </c>
      <c r="M33" t="s">
        <v>30</v>
      </c>
      <c r="N33" t="s">
        <v>210</v>
      </c>
      <c r="O33" t="s">
        <v>44</v>
      </c>
      <c r="P33" t="s">
        <v>211</v>
      </c>
      <c r="Q33" t="s">
        <v>212</v>
      </c>
      <c r="R33">
        <v>1199.43</v>
      </c>
      <c r="S33">
        <v>1</v>
      </c>
      <c r="T33">
        <v>0.05</v>
      </c>
      <c r="U33">
        <v>75.709999999999994</v>
      </c>
    </row>
    <row r="34" spans="1:21">
      <c r="A34">
        <v>1156</v>
      </c>
      <c r="B34" t="s">
        <v>213</v>
      </c>
      <c r="C34" s="1">
        <v>45471</v>
      </c>
      <c r="D34" s="1">
        <v>45475</v>
      </c>
      <c r="E34" t="s">
        <v>22</v>
      </c>
      <c r="F34" t="s">
        <v>214</v>
      </c>
      <c r="G34" t="s">
        <v>88</v>
      </c>
      <c r="H34" t="s">
        <v>25</v>
      </c>
      <c r="I34" t="s">
        <v>26</v>
      </c>
      <c r="J34" t="s">
        <v>115</v>
      </c>
      <c r="K34" t="s">
        <v>116</v>
      </c>
      <c r="L34" t="s">
        <v>215</v>
      </c>
      <c r="M34" t="s">
        <v>170</v>
      </c>
      <c r="N34" t="s">
        <v>216</v>
      </c>
      <c r="O34" t="s">
        <v>138</v>
      </c>
      <c r="P34" t="s">
        <v>182</v>
      </c>
      <c r="Q34" t="s">
        <v>183</v>
      </c>
      <c r="R34">
        <v>623.85</v>
      </c>
      <c r="S34">
        <v>2</v>
      </c>
      <c r="T34">
        <v>0.3</v>
      </c>
      <c r="U34">
        <v>2.46</v>
      </c>
    </row>
    <row r="35" spans="1:21">
      <c r="A35">
        <v>1121</v>
      </c>
      <c r="B35" t="s">
        <v>217</v>
      </c>
      <c r="C35" s="1">
        <v>45315</v>
      </c>
      <c r="D35" s="1">
        <v>45317</v>
      </c>
      <c r="E35" t="s">
        <v>101</v>
      </c>
      <c r="F35" t="s">
        <v>146</v>
      </c>
      <c r="G35" t="s">
        <v>218</v>
      </c>
      <c r="H35" t="s">
        <v>25</v>
      </c>
      <c r="I35" t="s">
        <v>26</v>
      </c>
      <c r="J35" t="s">
        <v>131</v>
      </c>
      <c r="K35" t="s">
        <v>132</v>
      </c>
      <c r="L35" t="s">
        <v>169</v>
      </c>
      <c r="M35" t="s">
        <v>30</v>
      </c>
      <c r="N35" t="s">
        <v>219</v>
      </c>
      <c r="O35" t="s">
        <v>55</v>
      </c>
      <c r="P35" t="s">
        <v>66</v>
      </c>
      <c r="Q35" t="s">
        <v>67</v>
      </c>
      <c r="R35">
        <v>23202.51</v>
      </c>
      <c r="S35">
        <v>3</v>
      </c>
      <c r="T35">
        <v>0.15</v>
      </c>
      <c r="U35">
        <v>1779.29</v>
      </c>
    </row>
    <row r="36" spans="1:21">
      <c r="A36">
        <v>1353</v>
      </c>
      <c r="B36" t="s">
        <v>220</v>
      </c>
      <c r="C36" s="1">
        <v>45507</v>
      </c>
      <c r="D36" s="1">
        <v>45513</v>
      </c>
      <c r="E36" t="s">
        <v>22</v>
      </c>
      <c r="F36" t="s">
        <v>221</v>
      </c>
      <c r="G36" t="s">
        <v>136</v>
      </c>
      <c r="H36" t="s">
        <v>25</v>
      </c>
      <c r="I36" t="s">
        <v>26</v>
      </c>
      <c r="J36" t="s">
        <v>166</v>
      </c>
      <c r="K36" t="s">
        <v>132</v>
      </c>
      <c r="L36" t="s">
        <v>63</v>
      </c>
      <c r="M36" t="s">
        <v>170</v>
      </c>
      <c r="N36" t="s">
        <v>222</v>
      </c>
      <c r="O36" t="s">
        <v>44</v>
      </c>
      <c r="P36" t="s">
        <v>211</v>
      </c>
      <c r="Q36" t="s">
        <v>223</v>
      </c>
      <c r="R36">
        <v>4269.34</v>
      </c>
      <c r="S36">
        <v>3</v>
      </c>
      <c r="T36">
        <v>0.15</v>
      </c>
      <c r="U36">
        <v>66.44</v>
      </c>
    </row>
    <row r="37" spans="1:21">
      <c r="A37">
        <v>1399</v>
      </c>
      <c r="B37" t="s">
        <v>224</v>
      </c>
      <c r="C37" s="1">
        <v>45452</v>
      </c>
      <c r="D37" s="1">
        <v>45454</v>
      </c>
      <c r="E37" t="s">
        <v>69</v>
      </c>
      <c r="F37" t="s">
        <v>225</v>
      </c>
      <c r="G37" t="s">
        <v>24</v>
      </c>
      <c r="H37" t="s">
        <v>51</v>
      </c>
      <c r="I37" t="s">
        <v>26</v>
      </c>
      <c r="J37" t="s">
        <v>226</v>
      </c>
      <c r="K37" t="s">
        <v>110</v>
      </c>
      <c r="L37" t="s">
        <v>29</v>
      </c>
      <c r="M37" t="s">
        <v>42</v>
      </c>
      <c r="N37" t="s">
        <v>227</v>
      </c>
      <c r="O37" t="s">
        <v>83</v>
      </c>
      <c r="P37" t="s">
        <v>84</v>
      </c>
      <c r="Q37" t="s">
        <v>85</v>
      </c>
      <c r="R37">
        <v>6842.49</v>
      </c>
      <c r="S37">
        <v>2</v>
      </c>
      <c r="T37">
        <v>0</v>
      </c>
      <c r="U37">
        <v>1766.33</v>
      </c>
    </row>
    <row r="38" spans="1:21">
      <c r="A38">
        <v>1232</v>
      </c>
      <c r="B38" t="s">
        <v>228</v>
      </c>
      <c r="C38" s="1">
        <v>45521</v>
      </c>
      <c r="D38" s="1">
        <v>45526</v>
      </c>
      <c r="E38" t="s">
        <v>101</v>
      </c>
      <c r="F38" t="s">
        <v>173</v>
      </c>
      <c r="G38" t="s">
        <v>229</v>
      </c>
      <c r="H38" t="s">
        <v>51</v>
      </c>
      <c r="I38" t="s">
        <v>26</v>
      </c>
      <c r="J38" t="s">
        <v>27</v>
      </c>
      <c r="K38" t="s">
        <v>28</v>
      </c>
      <c r="L38" t="s">
        <v>41</v>
      </c>
      <c r="M38" t="s">
        <v>42</v>
      </c>
      <c r="N38" t="s">
        <v>230</v>
      </c>
      <c r="O38" t="s">
        <v>55</v>
      </c>
      <c r="P38" t="s">
        <v>66</v>
      </c>
      <c r="Q38" t="s">
        <v>67</v>
      </c>
      <c r="R38">
        <v>6625.97</v>
      </c>
      <c r="S38">
        <v>1</v>
      </c>
      <c r="T38">
        <v>0.25</v>
      </c>
      <c r="U38">
        <v>-17.260000000000002</v>
      </c>
    </row>
    <row r="39" spans="1:21">
      <c r="A39">
        <v>1716</v>
      </c>
      <c r="B39" t="s">
        <v>231</v>
      </c>
      <c r="C39" s="1">
        <v>45335</v>
      </c>
      <c r="D39" s="1">
        <v>45338</v>
      </c>
      <c r="E39" t="s">
        <v>48</v>
      </c>
      <c r="F39" t="s">
        <v>232</v>
      </c>
      <c r="G39" t="s">
        <v>147</v>
      </c>
      <c r="H39" t="s">
        <v>51</v>
      </c>
      <c r="I39" t="s">
        <v>26</v>
      </c>
      <c r="J39" t="s">
        <v>166</v>
      </c>
      <c r="K39" t="s">
        <v>132</v>
      </c>
      <c r="L39" t="s">
        <v>154</v>
      </c>
      <c r="M39" t="s">
        <v>118</v>
      </c>
      <c r="N39" t="s">
        <v>233</v>
      </c>
      <c r="O39" t="s">
        <v>83</v>
      </c>
      <c r="P39" t="s">
        <v>84</v>
      </c>
      <c r="Q39" t="s">
        <v>85</v>
      </c>
      <c r="R39">
        <v>15884.13</v>
      </c>
      <c r="S39">
        <v>5</v>
      </c>
      <c r="T39">
        <v>0</v>
      </c>
      <c r="U39">
        <v>4002</v>
      </c>
    </row>
    <row r="40" spans="1:21">
      <c r="A40">
        <v>1683</v>
      </c>
      <c r="B40" t="s">
        <v>234</v>
      </c>
      <c r="C40" s="1">
        <v>45375</v>
      </c>
      <c r="D40" s="1">
        <v>45381</v>
      </c>
      <c r="E40" t="s">
        <v>101</v>
      </c>
      <c r="F40" t="s">
        <v>235</v>
      </c>
      <c r="G40" t="s">
        <v>50</v>
      </c>
      <c r="H40" t="s">
        <v>51</v>
      </c>
      <c r="I40" t="s">
        <v>26</v>
      </c>
      <c r="J40" t="s">
        <v>166</v>
      </c>
      <c r="K40" t="s">
        <v>132</v>
      </c>
      <c r="L40" t="s">
        <v>186</v>
      </c>
      <c r="M40" t="s">
        <v>74</v>
      </c>
      <c r="N40" t="s">
        <v>236</v>
      </c>
      <c r="P40" t="s">
        <v>207</v>
      </c>
      <c r="Q40" t="s">
        <v>208</v>
      </c>
      <c r="R40">
        <v>45848.58</v>
      </c>
      <c r="S40">
        <v>1</v>
      </c>
      <c r="T40">
        <v>0.15</v>
      </c>
      <c r="U40">
        <v>467.53</v>
      </c>
    </row>
    <row r="41" spans="1:21">
      <c r="A41">
        <v>1686</v>
      </c>
      <c r="B41" t="s">
        <v>237</v>
      </c>
      <c r="C41" s="1">
        <v>45640</v>
      </c>
      <c r="D41" s="1">
        <v>45646</v>
      </c>
      <c r="E41" t="s">
        <v>22</v>
      </c>
      <c r="F41" t="s">
        <v>238</v>
      </c>
      <c r="G41" t="s">
        <v>174</v>
      </c>
      <c r="H41" t="s">
        <v>51</v>
      </c>
      <c r="I41" t="s">
        <v>26</v>
      </c>
      <c r="J41" t="s">
        <v>39</v>
      </c>
      <c r="K41" t="s">
        <v>40</v>
      </c>
      <c r="L41" t="s">
        <v>41</v>
      </c>
      <c r="M41" t="s">
        <v>127</v>
      </c>
      <c r="N41" t="s">
        <v>239</v>
      </c>
      <c r="O41" t="s">
        <v>240</v>
      </c>
      <c r="P41" t="s">
        <v>156</v>
      </c>
      <c r="Q41" t="s">
        <v>157</v>
      </c>
      <c r="R41">
        <v>694.72</v>
      </c>
      <c r="S41">
        <v>2</v>
      </c>
      <c r="T41">
        <v>0.15</v>
      </c>
      <c r="U41">
        <v>59.85</v>
      </c>
    </row>
    <row r="42" spans="1:21">
      <c r="A42">
        <v>1423</v>
      </c>
      <c r="B42" t="s">
        <v>241</v>
      </c>
      <c r="C42" s="1">
        <v>45603</v>
      </c>
      <c r="D42" s="1">
        <v>45604</v>
      </c>
      <c r="E42" t="s">
        <v>101</v>
      </c>
      <c r="F42" t="s">
        <v>242</v>
      </c>
      <c r="G42" t="s">
        <v>37</v>
      </c>
      <c r="H42" t="s">
        <v>51</v>
      </c>
      <c r="I42" t="s">
        <v>26</v>
      </c>
      <c r="J42" t="s">
        <v>109</v>
      </c>
      <c r="K42" t="s">
        <v>110</v>
      </c>
      <c r="L42" t="s">
        <v>117</v>
      </c>
      <c r="M42" t="s">
        <v>81</v>
      </c>
      <c r="N42" t="s">
        <v>243</v>
      </c>
      <c r="O42" t="s">
        <v>44</v>
      </c>
      <c r="P42" t="s">
        <v>45</v>
      </c>
      <c r="Q42" t="s">
        <v>46</v>
      </c>
      <c r="R42">
        <v>33976.300000000003</v>
      </c>
      <c r="S42">
        <v>1</v>
      </c>
      <c r="T42">
        <v>0</v>
      </c>
      <c r="U42">
        <v>3577.85</v>
      </c>
    </row>
    <row r="43" spans="1:21">
      <c r="A43">
        <v>1372</v>
      </c>
      <c r="B43" t="s">
        <v>244</v>
      </c>
      <c r="C43" s="1">
        <v>45575</v>
      </c>
      <c r="D43" s="1">
        <v>45579</v>
      </c>
      <c r="E43" t="s">
        <v>101</v>
      </c>
      <c r="F43" t="s">
        <v>77</v>
      </c>
      <c r="G43" t="s">
        <v>136</v>
      </c>
      <c r="H43" t="s">
        <v>51</v>
      </c>
      <c r="I43" t="s">
        <v>26</v>
      </c>
      <c r="J43" t="s">
        <v>79</v>
      </c>
      <c r="K43" t="s">
        <v>80</v>
      </c>
      <c r="L43" t="s">
        <v>92</v>
      </c>
      <c r="M43" t="s">
        <v>81</v>
      </c>
      <c r="N43" t="s">
        <v>245</v>
      </c>
      <c r="O43" t="s">
        <v>138</v>
      </c>
      <c r="P43" t="s">
        <v>121</v>
      </c>
      <c r="Q43" t="s">
        <v>122</v>
      </c>
      <c r="R43">
        <v>2027.25</v>
      </c>
      <c r="S43">
        <v>3</v>
      </c>
      <c r="T43">
        <v>0</v>
      </c>
      <c r="U43">
        <v>406</v>
      </c>
    </row>
    <row r="44" spans="1:21">
      <c r="A44">
        <v>1067</v>
      </c>
      <c r="B44" t="s">
        <v>246</v>
      </c>
      <c r="C44" s="1">
        <v>45421</v>
      </c>
      <c r="D44" s="1">
        <v>45425</v>
      </c>
      <c r="E44" t="s">
        <v>22</v>
      </c>
      <c r="F44" t="s">
        <v>247</v>
      </c>
      <c r="G44" t="s">
        <v>50</v>
      </c>
      <c r="H44" t="s">
        <v>51</v>
      </c>
      <c r="I44" t="s">
        <v>26</v>
      </c>
      <c r="J44" t="s">
        <v>39</v>
      </c>
      <c r="K44" t="s">
        <v>40</v>
      </c>
      <c r="L44" t="s">
        <v>29</v>
      </c>
      <c r="M44" t="s">
        <v>118</v>
      </c>
      <c r="N44" t="s">
        <v>248</v>
      </c>
      <c r="O44" t="s">
        <v>138</v>
      </c>
      <c r="P44" t="s">
        <v>182</v>
      </c>
      <c r="Q44" t="s">
        <v>183</v>
      </c>
      <c r="R44">
        <v>422.63</v>
      </c>
      <c r="S44">
        <v>1</v>
      </c>
      <c r="T44">
        <v>0</v>
      </c>
      <c r="U44">
        <v>77.66</v>
      </c>
    </row>
    <row r="45" spans="1:21">
      <c r="A45">
        <v>1291</v>
      </c>
      <c r="B45" t="s">
        <v>249</v>
      </c>
      <c r="C45" s="1">
        <v>45441</v>
      </c>
      <c r="D45" s="1">
        <v>45444</v>
      </c>
      <c r="E45" t="s">
        <v>48</v>
      </c>
      <c r="F45" t="s">
        <v>77</v>
      </c>
      <c r="G45" t="s">
        <v>147</v>
      </c>
      <c r="H45" t="s">
        <v>51</v>
      </c>
      <c r="I45" t="s">
        <v>26</v>
      </c>
      <c r="J45" t="s">
        <v>79</v>
      </c>
      <c r="K45" t="s">
        <v>80</v>
      </c>
      <c r="L45" t="s">
        <v>29</v>
      </c>
      <c r="M45" t="s">
        <v>81</v>
      </c>
      <c r="N45" t="s">
        <v>250</v>
      </c>
      <c r="O45" t="s">
        <v>44</v>
      </c>
      <c r="P45" t="s">
        <v>207</v>
      </c>
      <c r="Q45" t="s">
        <v>208</v>
      </c>
      <c r="R45">
        <v>325458.06</v>
      </c>
      <c r="S45">
        <v>7</v>
      </c>
      <c r="T45">
        <v>0.1</v>
      </c>
      <c r="U45">
        <v>18160.8</v>
      </c>
    </row>
    <row r="46" spans="1:21">
      <c r="A46">
        <v>1745</v>
      </c>
      <c r="B46" t="s">
        <v>251</v>
      </c>
      <c r="C46" s="1">
        <v>45466</v>
      </c>
      <c r="D46" s="1">
        <v>45468</v>
      </c>
      <c r="E46" t="s">
        <v>101</v>
      </c>
      <c r="F46" t="s">
        <v>146</v>
      </c>
      <c r="G46" t="s">
        <v>174</v>
      </c>
      <c r="H46" t="s">
        <v>38</v>
      </c>
      <c r="I46" t="s">
        <v>26</v>
      </c>
      <c r="J46" t="s">
        <v>27</v>
      </c>
      <c r="K46" t="s">
        <v>28</v>
      </c>
      <c r="L46" t="s">
        <v>41</v>
      </c>
      <c r="M46" t="s">
        <v>81</v>
      </c>
      <c r="N46" t="s">
        <v>252</v>
      </c>
      <c r="O46" t="s">
        <v>83</v>
      </c>
      <c r="P46" t="s">
        <v>33</v>
      </c>
      <c r="Q46" t="s">
        <v>34</v>
      </c>
      <c r="R46">
        <v>1100.03</v>
      </c>
      <c r="S46">
        <v>1</v>
      </c>
      <c r="T46">
        <v>0.2</v>
      </c>
      <c r="U46">
        <v>128.62</v>
      </c>
    </row>
    <row r="47" spans="1:21">
      <c r="A47">
        <v>1473</v>
      </c>
      <c r="B47" t="s">
        <v>253</v>
      </c>
      <c r="C47" s="1">
        <v>45583</v>
      </c>
      <c r="D47" s="1">
        <v>45589</v>
      </c>
      <c r="E47" t="s">
        <v>69</v>
      </c>
      <c r="F47" t="s">
        <v>142</v>
      </c>
      <c r="G47" t="s">
        <v>24</v>
      </c>
      <c r="H47" t="s">
        <v>51</v>
      </c>
      <c r="I47" t="s">
        <v>26</v>
      </c>
      <c r="J47" t="s">
        <v>72</v>
      </c>
      <c r="K47" t="s">
        <v>73</v>
      </c>
      <c r="L47" t="s">
        <v>29</v>
      </c>
      <c r="M47" t="s">
        <v>81</v>
      </c>
      <c r="N47" t="s">
        <v>199</v>
      </c>
      <c r="O47" t="s">
        <v>138</v>
      </c>
      <c r="P47" t="s">
        <v>121</v>
      </c>
      <c r="Q47" t="s">
        <v>122</v>
      </c>
      <c r="R47">
        <v>557.52</v>
      </c>
      <c r="S47">
        <v>1</v>
      </c>
      <c r="T47">
        <v>0.1</v>
      </c>
      <c r="U47">
        <v>56.86</v>
      </c>
    </row>
    <row r="48" spans="1:21">
      <c r="A48">
        <v>1725</v>
      </c>
      <c r="B48" t="s">
        <v>254</v>
      </c>
      <c r="C48" s="1">
        <v>45427</v>
      </c>
      <c r="D48" s="1">
        <v>45432</v>
      </c>
      <c r="E48" t="s">
        <v>101</v>
      </c>
      <c r="F48" t="s">
        <v>255</v>
      </c>
      <c r="G48" t="s">
        <v>37</v>
      </c>
      <c r="H48" t="s">
        <v>51</v>
      </c>
      <c r="I48" t="s">
        <v>26</v>
      </c>
      <c r="J48" t="s">
        <v>39</v>
      </c>
      <c r="K48" t="s">
        <v>40</v>
      </c>
      <c r="L48" t="s">
        <v>29</v>
      </c>
      <c r="M48" t="s">
        <v>81</v>
      </c>
      <c r="N48" t="s">
        <v>256</v>
      </c>
      <c r="O48" t="s">
        <v>44</v>
      </c>
      <c r="P48" t="s">
        <v>45</v>
      </c>
      <c r="Q48" t="s">
        <v>46</v>
      </c>
      <c r="R48">
        <v>86762.2</v>
      </c>
      <c r="S48">
        <v>3</v>
      </c>
      <c r="T48">
        <v>0.25</v>
      </c>
      <c r="U48">
        <v>-4972.3599999999997</v>
      </c>
    </row>
    <row r="49" spans="1:21">
      <c r="A49">
        <v>1200</v>
      </c>
      <c r="B49" t="s">
        <v>257</v>
      </c>
      <c r="C49" s="1">
        <v>45524</v>
      </c>
      <c r="D49" s="1">
        <v>45526</v>
      </c>
      <c r="E49" t="s">
        <v>101</v>
      </c>
      <c r="F49" t="s">
        <v>192</v>
      </c>
      <c r="G49" t="s">
        <v>114</v>
      </c>
      <c r="H49" t="s">
        <v>108</v>
      </c>
      <c r="I49" t="s">
        <v>26</v>
      </c>
      <c r="J49" t="s">
        <v>39</v>
      </c>
      <c r="K49" t="s">
        <v>40</v>
      </c>
      <c r="L49" t="s">
        <v>41</v>
      </c>
      <c r="M49" t="s">
        <v>170</v>
      </c>
      <c r="N49" t="s">
        <v>258</v>
      </c>
      <c r="O49" t="s">
        <v>44</v>
      </c>
      <c r="P49" t="s">
        <v>45</v>
      </c>
      <c r="Q49" t="s">
        <v>46</v>
      </c>
      <c r="R49">
        <v>74890.03</v>
      </c>
      <c r="S49">
        <v>2</v>
      </c>
      <c r="T49">
        <v>0</v>
      </c>
      <c r="U49">
        <v>9286.35</v>
      </c>
    </row>
    <row r="50" spans="1:21">
      <c r="A50">
        <v>1609</v>
      </c>
      <c r="B50" t="s">
        <v>259</v>
      </c>
      <c r="C50" s="1">
        <v>45468</v>
      </c>
      <c r="D50" s="1">
        <v>45470</v>
      </c>
      <c r="E50" t="s">
        <v>48</v>
      </c>
      <c r="F50" t="s">
        <v>260</v>
      </c>
      <c r="G50" t="s">
        <v>136</v>
      </c>
      <c r="H50" t="s">
        <v>38</v>
      </c>
      <c r="I50" t="s">
        <v>26</v>
      </c>
      <c r="J50" t="s">
        <v>226</v>
      </c>
      <c r="K50" t="s">
        <v>110</v>
      </c>
      <c r="L50" t="s">
        <v>92</v>
      </c>
      <c r="M50" t="s">
        <v>170</v>
      </c>
      <c r="N50" t="s">
        <v>219</v>
      </c>
      <c r="O50" t="s">
        <v>44</v>
      </c>
      <c r="P50" t="s">
        <v>211</v>
      </c>
      <c r="Q50" t="s">
        <v>212</v>
      </c>
      <c r="R50">
        <v>3583.41</v>
      </c>
      <c r="S50">
        <v>4</v>
      </c>
      <c r="T50">
        <v>0.2</v>
      </c>
      <c r="U50">
        <v>-78.14</v>
      </c>
    </row>
    <row r="51" spans="1:21">
      <c r="A51">
        <v>1233</v>
      </c>
      <c r="B51" t="s">
        <v>261</v>
      </c>
      <c r="C51" s="1">
        <v>45298</v>
      </c>
      <c r="D51" s="1">
        <v>45301</v>
      </c>
      <c r="E51" t="s">
        <v>101</v>
      </c>
      <c r="F51" t="s">
        <v>262</v>
      </c>
      <c r="G51" t="s">
        <v>147</v>
      </c>
      <c r="H51" t="s">
        <v>25</v>
      </c>
      <c r="I51" t="s">
        <v>26</v>
      </c>
      <c r="J51" t="s">
        <v>131</v>
      </c>
      <c r="K51" t="s">
        <v>132</v>
      </c>
      <c r="L51" t="s">
        <v>263</v>
      </c>
      <c r="M51" t="s">
        <v>81</v>
      </c>
      <c r="N51" t="s">
        <v>264</v>
      </c>
      <c r="O51" t="s">
        <v>138</v>
      </c>
      <c r="P51" t="s">
        <v>139</v>
      </c>
      <c r="Q51" t="s">
        <v>140</v>
      </c>
      <c r="R51">
        <v>1530.38</v>
      </c>
      <c r="S51">
        <v>2</v>
      </c>
      <c r="T51">
        <v>0.25</v>
      </c>
      <c r="U51">
        <v>53.8</v>
      </c>
    </row>
    <row r="52" spans="1:21">
      <c r="A52">
        <v>1034</v>
      </c>
      <c r="B52" t="s">
        <v>265</v>
      </c>
      <c r="C52" s="1">
        <v>45462</v>
      </c>
      <c r="D52" s="1">
        <v>45466</v>
      </c>
      <c r="E52" t="s">
        <v>69</v>
      </c>
      <c r="F52" t="s">
        <v>266</v>
      </c>
      <c r="G52" t="s">
        <v>60</v>
      </c>
      <c r="H52" t="s">
        <v>51</v>
      </c>
      <c r="I52" t="s">
        <v>26</v>
      </c>
      <c r="J52" t="s">
        <v>27</v>
      </c>
      <c r="K52" t="s">
        <v>28</v>
      </c>
      <c r="L52" t="s">
        <v>41</v>
      </c>
      <c r="M52" t="s">
        <v>118</v>
      </c>
      <c r="N52" t="s">
        <v>267</v>
      </c>
      <c r="O52" t="s">
        <v>83</v>
      </c>
      <c r="P52" t="s">
        <v>84</v>
      </c>
      <c r="Q52" t="s">
        <v>85</v>
      </c>
      <c r="R52">
        <v>5730.69</v>
      </c>
      <c r="S52">
        <v>2</v>
      </c>
      <c r="T52">
        <v>0.05</v>
      </c>
      <c r="U52">
        <v>1434.76</v>
      </c>
    </row>
    <row r="53" spans="1:21">
      <c r="A53">
        <v>1606</v>
      </c>
      <c r="B53" t="s">
        <v>268</v>
      </c>
      <c r="C53" s="1">
        <v>45526</v>
      </c>
      <c r="D53" s="1">
        <v>45529</v>
      </c>
      <c r="E53" t="s">
        <v>69</v>
      </c>
      <c r="F53" t="s">
        <v>177</v>
      </c>
      <c r="G53" t="s">
        <v>147</v>
      </c>
      <c r="H53" t="s">
        <v>25</v>
      </c>
      <c r="I53" t="s">
        <v>26</v>
      </c>
      <c r="J53" t="s">
        <v>226</v>
      </c>
      <c r="K53" t="s">
        <v>110</v>
      </c>
      <c r="L53" t="s">
        <v>215</v>
      </c>
      <c r="M53" t="s">
        <v>30</v>
      </c>
      <c r="N53" t="s">
        <v>269</v>
      </c>
      <c r="O53" t="s">
        <v>138</v>
      </c>
      <c r="P53" t="s">
        <v>156</v>
      </c>
      <c r="Q53" t="s">
        <v>157</v>
      </c>
      <c r="R53">
        <v>525.72</v>
      </c>
      <c r="S53">
        <v>2</v>
      </c>
      <c r="T53">
        <v>0.3</v>
      </c>
      <c r="U53">
        <v>2.56</v>
      </c>
    </row>
    <row r="54" spans="1:21">
      <c r="A54">
        <v>1078</v>
      </c>
      <c r="B54" t="s">
        <v>270</v>
      </c>
      <c r="C54" s="1">
        <v>45628</v>
      </c>
      <c r="D54" s="1">
        <v>45633</v>
      </c>
      <c r="E54" t="s">
        <v>101</v>
      </c>
      <c r="F54" t="s">
        <v>271</v>
      </c>
      <c r="G54" t="s">
        <v>229</v>
      </c>
      <c r="H54" t="s">
        <v>108</v>
      </c>
      <c r="I54" t="s">
        <v>26</v>
      </c>
      <c r="J54" t="s">
        <v>27</v>
      </c>
      <c r="K54" t="s">
        <v>28</v>
      </c>
      <c r="M54" t="s">
        <v>170</v>
      </c>
      <c r="N54" t="s">
        <v>272</v>
      </c>
      <c r="O54" t="s">
        <v>55</v>
      </c>
      <c r="P54" t="s">
        <v>98</v>
      </c>
      <c r="Q54" t="s">
        <v>99</v>
      </c>
      <c r="R54">
        <v>34486.53</v>
      </c>
      <c r="S54">
        <v>5</v>
      </c>
      <c r="T54">
        <v>0</v>
      </c>
      <c r="U54">
        <v>4806.2</v>
      </c>
    </row>
    <row r="55" spans="1:21">
      <c r="A55">
        <v>1659</v>
      </c>
      <c r="B55" t="s">
        <v>273</v>
      </c>
      <c r="C55" s="1">
        <v>45621</v>
      </c>
      <c r="D55" s="1">
        <v>45622</v>
      </c>
      <c r="E55" t="s">
        <v>101</v>
      </c>
      <c r="F55" t="s">
        <v>274</v>
      </c>
      <c r="G55" t="s">
        <v>229</v>
      </c>
      <c r="H55" t="s">
        <v>25</v>
      </c>
      <c r="I55" t="s">
        <v>26</v>
      </c>
      <c r="J55" t="s">
        <v>115</v>
      </c>
      <c r="K55" t="s">
        <v>116</v>
      </c>
      <c r="L55" t="s">
        <v>41</v>
      </c>
      <c r="M55" t="s">
        <v>127</v>
      </c>
      <c r="N55" t="s">
        <v>275</v>
      </c>
      <c r="O55" t="s">
        <v>83</v>
      </c>
      <c r="P55" t="s">
        <v>84</v>
      </c>
      <c r="Q55" t="s">
        <v>85</v>
      </c>
      <c r="R55">
        <v>12211.37</v>
      </c>
      <c r="S55">
        <v>4</v>
      </c>
      <c r="T55">
        <v>0.05</v>
      </c>
      <c r="U55">
        <v>2963.52</v>
      </c>
    </row>
    <row r="56" spans="1:21">
      <c r="A56">
        <v>1182</v>
      </c>
      <c r="B56" t="s">
        <v>276</v>
      </c>
      <c r="C56" s="1">
        <v>45323</v>
      </c>
      <c r="D56" s="1">
        <v>45329</v>
      </c>
      <c r="E56" t="s">
        <v>69</v>
      </c>
      <c r="F56" t="s">
        <v>277</v>
      </c>
      <c r="G56" t="s">
        <v>107</v>
      </c>
      <c r="H56" t="s">
        <v>153</v>
      </c>
      <c r="I56" t="s">
        <v>26</v>
      </c>
      <c r="J56" t="s">
        <v>72</v>
      </c>
      <c r="K56" t="s">
        <v>73</v>
      </c>
      <c r="L56" t="s">
        <v>63</v>
      </c>
      <c r="M56" t="s">
        <v>81</v>
      </c>
      <c r="N56" t="s">
        <v>278</v>
      </c>
      <c r="O56" t="s">
        <v>55</v>
      </c>
      <c r="P56" t="s">
        <v>98</v>
      </c>
      <c r="Q56" t="s">
        <v>99</v>
      </c>
      <c r="R56">
        <v>13350.23</v>
      </c>
      <c r="S56">
        <v>3</v>
      </c>
      <c r="T56">
        <v>0.3</v>
      </c>
      <c r="U56">
        <v>-477.92</v>
      </c>
    </row>
    <row r="57" spans="1:21">
      <c r="A57">
        <v>1480</v>
      </c>
      <c r="B57" t="s">
        <v>279</v>
      </c>
      <c r="C57" s="1">
        <v>45596</v>
      </c>
      <c r="D57" s="1">
        <v>45602</v>
      </c>
      <c r="E57" t="s">
        <v>48</v>
      </c>
      <c r="F57" t="s">
        <v>280</v>
      </c>
      <c r="G57" t="s">
        <v>24</v>
      </c>
      <c r="H57" t="s">
        <v>25</v>
      </c>
      <c r="I57" t="s">
        <v>26</v>
      </c>
      <c r="J57" t="s">
        <v>166</v>
      </c>
      <c r="K57" t="s">
        <v>132</v>
      </c>
      <c r="L57" t="s">
        <v>29</v>
      </c>
      <c r="M57" t="s">
        <v>74</v>
      </c>
      <c r="N57" t="s">
        <v>281</v>
      </c>
      <c r="O57" t="s">
        <v>138</v>
      </c>
      <c r="P57" t="s">
        <v>182</v>
      </c>
      <c r="Q57" t="s">
        <v>183</v>
      </c>
      <c r="R57">
        <v>1703.89</v>
      </c>
      <c r="S57">
        <v>4</v>
      </c>
      <c r="T57">
        <v>0</v>
      </c>
      <c r="U57">
        <v>381.34</v>
      </c>
    </row>
    <row r="58" spans="1:21">
      <c r="A58">
        <v>1211</v>
      </c>
      <c r="B58" t="s">
        <v>282</v>
      </c>
      <c r="C58" s="1">
        <v>45505</v>
      </c>
      <c r="D58" s="1">
        <v>45510</v>
      </c>
      <c r="E58" t="s">
        <v>69</v>
      </c>
      <c r="F58" t="s">
        <v>262</v>
      </c>
      <c r="G58" t="s">
        <v>107</v>
      </c>
      <c r="H58" t="s">
        <v>25</v>
      </c>
      <c r="I58" t="s">
        <v>26</v>
      </c>
      <c r="J58" t="s">
        <v>160</v>
      </c>
      <c r="K58" t="s">
        <v>161</v>
      </c>
      <c r="L58" t="s">
        <v>63</v>
      </c>
      <c r="M58" t="s">
        <v>30</v>
      </c>
      <c r="N58" t="s">
        <v>196</v>
      </c>
      <c r="O58" t="s">
        <v>94</v>
      </c>
      <c r="P58" t="s">
        <v>211</v>
      </c>
      <c r="Q58" t="s">
        <v>212</v>
      </c>
      <c r="R58">
        <v>5651.92</v>
      </c>
      <c r="S58">
        <v>6</v>
      </c>
      <c r="T58">
        <v>0.25</v>
      </c>
      <c r="U58">
        <v>-339.69</v>
      </c>
    </row>
    <row r="59" spans="1:21">
      <c r="A59">
        <v>1551</v>
      </c>
      <c r="B59" t="s">
        <v>283</v>
      </c>
      <c r="C59" s="1">
        <v>45571</v>
      </c>
      <c r="D59" s="1">
        <v>45576</v>
      </c>
      <c r="E59" t="s">
        <v>48</v>
      </c>
      <c r="F59" t="s">
        <v>280</v>
      </c>
      <c r="G59" t="s">
        <v>229</v>
      </c>
      <c r="H59" t="s">
        <v>38</v>
      </c>
      <c r="I59" t="s">
        <v>26</v>
      </c>
      <c r="J59" t="s">
        <v>61</v>
      </c>
      <c r="K59" t="s">
        <v>62</v>
      </c>
      <c r="L59" t="s">
        <v>29</v>
      </c>
      <c r="M59" t="s">
        <v>81</v>
      </c>
      <c r="N59" t="s">
        <v>206</v>
      </c>
      <c r="O59" t="s">
        <v>83</v>
      </c>
      <c r="P59" t="s">
        <v>33</v>
      </c>
      <c r="Q59" t="s">
        <v>34</v>
      </c>
      <c r="R59">
        <v>2927.15</v>
      </c>
      <c r="S59">
        <v>3</v>
      </c>
      <c r="T59">
        <v>0.25</v>
      </c>
      <c r="U59">
        <v>316.2</v>
      </c>
    </row>
    <row r="60" spans="1:21">
      <c r="A60">
        <v>1677</v>
      </c>
      <c r="B60" t="s">
        <v>284</v>
      </c>
      <c r="C60" s="1">
        <v>45590</v>
      </c>
      <c r="D60" s="1">
        <v>45596</v>
      </c>
      <c r="E60" t="s">
        <v>101</v>
      </c>
      <c r="F60" t="s">
        <v>285</v>
      </c>
      <c r="G60" t="s">
        <v>229</v>
      </c>
      <c r="H60" t="s">
        <v>25</v>
      </c>
      <c r="I60" t="s">
        <v>26</v>
      </c>
      <c r="J60" t="s">
        <v>115</v>
      </c>
      <c r="K60" t="s">
        <v>116</v>
      </c>
      <c r="L60" t="s">
        <v>29</v>
      </c>
      <c r="M60" t="s">
        <v>30</v>
      </c>
      <c r="N60" t="s">
        <v>286</v>
      </c>
      <c r="O60" t="s">
        <v>44</v>
      </c>
      <c r="P60" t="s">
        <v>211</v>
      </c>
      <c r="Q60" t="s">
        <v>223</v>
      </c>
      <c r="R60">
        <v>8555.14</v>
      </c>
      <c r="S60">
        <v>6</v>
      </c>
      <c r="T60">
        <v>0.2</v>
      </c>
      <c r="U60">
        <v>-190.37</v>
      </c>
    </row>
    <row r="61" spans="1:21">
      <c r="A61">
        <v>1011</v>
      </c>
      <c r="B61" t="s">
        <v>287</v>
      </c>
      <c r="C61" s="1">
        <v>45487</v>
      </c>
      <c r="D61" s="1">
        <v>45492</v>
      </c>
      <c r="E61" t="s">
        <v>101</v>
      </c>
      <c r="F61" t="s">
        <v>288</v>
      </c>
      <c r="G61" t="s">
        <v>78</v>
      </c>
      <c r="H61" t="s">
        <v>25</v>
      </c>
      <c r="I61" t="s">
        <v>26</v>
      </c>
      <c r="J61" t="s">
        <v>166</v>
      </c>
      <c r="K61" t="s">
        <v>132</v>
      </c>
      <c r="L61" t="s">
        <v>41</v>
      </c>
      <c r="M61" t="s">
        <v>81</v>
      </c>
      <c r="N61" t="s">
        <v>289</v>
      </c>
      <c r="O61" t="s">
        <v>83</v>
      </c>
      <c r="P61" t="s">
        <v>84</v>
      </c>
      <c r="Q61" t="s">
        <v>85</v>
      </c>
      <c r="R61">
        <v>7328.85</v>
      </c>
      <c r="S61">
        <v>3</v>
      </c>
      <c r="T61">
        <v>0.25</v>
      </c>
      <c r="U61">
        <v>525.67999999999995</v>
      </c>
    </row>
    <row r="62" spans="1:21">
      <c r="A62">
        <v>1261</v>
      </c>
      <c r="B62" t="s">
        <v>290</v>
      </c>
      <c r="C62" s="1">
        <v>45638</v>
      </c>
      <c r="D62" s="1">
        <v>45642</v>
      </c>
      <c r="E62" t="s">
        <v>101</v>
      </c>
      <c r="F62" t="s">
        <v>291</v>
      </c>
      <c r="G62" t="s">
        <v>114</v>
      </c>
      <c r="H62" t="s">
        <v>38</v>
      </c>
      <c r="I62" t="s">
        <v>26</v>
      </c>
      <c r="J62" t="s">
        <v>166</v>
      </c>
      <c r="K62" t="s">
        <v>132</v>
      </c>
      <c r="L62" t="s">
        <v>63</v>
      </c>
      <c r="M62" t="s">
        <v>81</v>
      </c>
      <c r="N62" t="s">
        <v>292</v>
      </c>
      <c r="O62" t="s">
        <v>293</v>
      </c>
      <c r="P62" t="s">
        <v>211</v>
      </c>
      <c r="Q62" t="s">
        <v>223</v>
      </c>
      <c r="R62">
        <v>3288.8</v>
      </c>
      <c r="S62">
        <v>2</v>
      </c>
      <c r="T62">
        <v>0.1</v>
      </c>
      <c r="U62">
        <v>139.18</v>
      </c>
    </row>
    <row r="63" spans="1:21">
      <c r="A63">
        <v>1082</v>
      </c>
      <c r="B63" t="s">
        <v>294</v>
      </c>
      <c r="C63" s="1">
        <v>45389</v>
      </c>
      <c r="D63" s="1">
        <v>45394</v>
      </c>
      <c r="E63" t="s">
        <v>69</v>
      </c>
      <c r="F63" t="s">
        <v>295</v>
      </c>
      <c r="G63" t="s">
        <v>50</v>
      </c>
      <c r="H63" t="s">
        <v>51</v>
      </c>
      <c r="I63" t="s">
        <v>26</v>
      </c>
      <c r="J63" t="s">
        <v>39</v>
      </c>
      <c r="K63" t="s">
        <v>40</v>
      </c>
      <c r="L63" t="s">
        <v>63</v>
      </c>
      <c r="M63" t="s">
        <v>127</v>
      </c>
      <c r="N63" t="s">
        <v>269</v>
      </c>
      <c r="O63" t="s">
        <v>240</v>
      </c>
      <c r="P63" t="s">
        <v>182</v>
      </c>
      <c r="Q63" t="s">
        <v>183</v>
      </c>
      <c r="R63">
        <v>1034.1300000000001</v>
      </c>
      <c r="S63">
        <v>3</v>
      </c>
      <c r="T63">
        <v>0.25</v>
      </c>
      <c r="U63">
        <v>39.47</v>
      </c>
    </row>
    <row r="64" spans="1:21">
      <c r="A64">
        <v>1032</v>
      </c>
      <c r="B64" t="s">
        <v>296</v>
      </c>
      <c r="C64" s="1">
        <v>45512</v>
      </c>
      <c r="D64" s="1">
        <v>45514</v>
      </c>
      <c r="E64" t="s">
        <v>22</v>
      </c>
      <c r="F64" t="s">
        <v>124</v>
      </c>
      <c r="G64" t="s">
        <v>174</v>
      </c>
      <c r="H64" t="s">
        <v>51</v>
      </c>
      <c r="I64" t="s">
        <v>26</v>
      </c>
      <c r="J64" t="s">
        <v>166</v>
      </c>
      <c r="K64" t="s">
        <v>132</v>
      </c>
      <c r="L64" t="s">
        <v>41</v>
      </c>
      <c r="M64" t="s">
        <v>42</v>
      </c>
      <c r="N64" t="s">
        <v>297</v>
      </c>
      <c r="O64" t="s">
        <v>138</v>
      </c>
      <c r="P64" t="s">
        <v>121</v>
      </c>
      <c r="Q64" t="s">
        <v>122</v>
      </c>
      <c r="R64">
        <v>1299.96</v>
      </c>
      <c r="S64">
        <v>2</v>
      </c>
      <c r="T64">
        <v>0.05</v>
      </c>
      <c r="U64">
        <v>202.15</v>
      </c>
    </row>
    <row r="65" spans="1:21">
      <c r="A65">
        <v>1628</v>
      </c>
      <c r="B65" t="s">
        <v>298</v>
      </c>
      <c r="C65" s="1">
        <v>45405</v>
      </c>
      <c r="D65" s="1">
        <v>45407</v>
      </c>
      <c r="E65" t="s">
        <v>69</v>
      </c>
      <c r="F65" t="s">
        <v>23</v>
      </c>
      <c r="G65" t="s">
        <v>107</v>
      </c>
      <c r="H65" t="s">
        <v>153</v>
      </c>
      <c r="I65" t="s">
        <v>26</v>
      </c>
      <c r="J65" t="s">
        <v>27</v>
      </c>
      <c r="K65" t="s">
        <v>28</v>
      </c>
      <c r="L65" t="s">
        <v>63</v>
      </c>
      <c r="M65" t="s">
        <v>30</v>
      </c>
      <c r="N65" t="s">
        <v>299</v>
      </c>
      <c r="O65" t="s">
        <v>55</v>
      </c>
      <c r="P65" t="s">
        <v>56</v>
      </c>
      <c r="Q65" t="s">
        <v>57</v>
      </c>
      <c r="R65">
        <v>14827.54</v>
      </c>
      <c r="S65">
        <v>2</v>
      </c>
      <c r="T65">
        <v>0</v>
      </c>
      <c r="U65">
        <v>2289.7399999999998</v>
      </c>
    </row>
    <row r="66" spans="1:21">
      <c r="A66">
        <v>1432</v>
      </c>
      <c r="B66" t="s">
        <v>300</v>
      </c>
      <c r="C66" s="1">
        <v>45412</v>
      </c>
      <c r="D66" s="1">
        <v>45418</v>
      </c>
      <c r="E66" t="s">
        <v>69</v>
      </c>
      <c r="F66" t="s">
        <v>301</v>
      </c>
      <c r="G66" t="s">
        <v>78</v>
      </c>
      <c r="H66" t="s">
        <v>302</v>
      </c>
      <c r="I66" t="s">
        <v>26</v>
      </c>
      <c r="J66" t="s">
        <v>90</v>
      </c>
      <c r="K66" t="s">
        <v>91</v>
      </c>
      <c r="L66" t="s">
        <v>92</v>
      </c>
      <c r="M66" t="s">
        <v>30</v>
      </c>
      <c r="N66" t="s">
        <v>303</v>
      </c>
      <c r="O66" t="s">
        <v>188</v>
      </c>
      <c r="P66" t="s">
        <v>189</v>
      </c>
      <c r="Q66" t="s">
        <v>190</v>
      </c>
      <c r="R66">
        <v>15721.11</v>
      </c>
      <c r="S66">
        <v>3</v>
      </c>
      <c r="T66">
        <v>0.1</v>
      </c>
      <c r="U66">
        <v>991.61</v>
      </c>
    </row>
    <row r="67" spans="1:21">
      <c r="A67">
        <v>1579</v>
      </c>
      <c r="B67" t="s">
        <v>304</v>
      </c>
      <c r="C67" s="1">
        <v>45346</v>
      </c>
      <c r="D67" s="1">
        <v>45347</v>
      </c>
      <c r="E67" t="s">
        <v>101</v>
      </c>
      <c r="F67" t="s">
        <v>146</v>
      </c>
      <c r="G67" t="s">
        <v>147</v>
      </c>
      <c r="H67" t="s">
        <v>51</v>
      </c>
      <c r="I67" t="s">
        <v>26</v>
      </c>
      <c r="J67" t="s">
        <v>27</v>
      </c>
      <c r="K67" t="s">
        <v>28</v>
      </c>
      <c r="L67" t="s">
        <v>92</v>
      </c>
      <c r="M67" t="s">
        <v>74</v>
      </c>
      <c r="N67" t="s">
        <v>305</v>
      </c>
      <c r="O67" t="s">
        <v>44</v>
      </c>
      <c r="P67" t="s">
        <v>45</v>
      </c>
      <c r="Q67" t="s">
        <v>46</v>
      </c>
      <c r="R67">
        <v>34033.57</v>
      </c>
      <c r="S67">
        <v>1</v>
      </c>
      <c r="T67">
        <v>0</v>
      </c>
      <c r="U67">
        <v>4456.62</v>
      </c>
    </row>
    <row r="68" spans="1:21">
      <c r="A68">
        <v>1166</v>
      </c>
      <c r="B68" t="s">
        <v>306</v>
      </c>
      <c r="C68" s="1">
        <v>45332</v>
      </c>
      <c r="D68" s="1">
        <v>45335</v>
      </c>
      <c r="E68" t="s">
        <v>69</v>
      </c>
      <c r="F68" t="s">
        <v>255</v>
      </c>
      <c r="G68" t="s">
        <v>136</v>
      </c>
      <c r="H68" t="s">
        <v>108</v>
      </c>
      <c r="I68" t="s">
        <v>26</v>
      </c>
      <c r="J68" t="s">
        <v>166</v>
      </c>
      <c r="K68" t="s">
        <v>132</v>
      </c>
      <c r="L68" t="s">
        <v>215</v>
      </c>
      <c r="M68" t="s">
        <v>30</v>
      </c>
      <c r="N68" t="s">
        <v>307</v>
      </c>
      <c r="O68" t="s">
        <v>55</v>
      </c>
      <c r="P68" t="s">
        <v>56</v>
      </c>
      <c r="Q68" t="s">
        <v>57</v>
      </c>
      <c r="R68">
        <v>5978.97</v>
      </c>
      <c r="S68">
        <v>1</v>
      </c>
      <c r="T68">
        <v>0.15</v>
      </c>
      <c r="U68">
        <v>421.86</v>
      </c>
    </row>
    <row r="69" spans="1:21">
      <c r="A69">
        <v>1292</v>
      </c>
      <c r="B69" t="s">
        <v>308</v>
      </c>
      <c r="C69" s="1">
        <v>45395</v>
      </c>
      <c r="D69" s="1">
        <v>45397</v>
      </c>
      <c r="E69" t="s">
        <v>22</v>
      </c>
      <c r="F69" t="s">
        <v>309</v>
      </c>
      <c r="G69" t="s">
        <v>50</v>
      </c>
      <c r="H69" t="s">
        <v>310</v>
      </c>
      <c r="I69" t="s">
        <v>26</v>
      </c>
      <c r="J69" t="s">
        <v>160</v>
      </c>
      <c r="K69" t="s">
        <v>161</v>
      </c>
      <c r="L69" t="s">
        <v>92</v>
      </c>
      <c r="M69" t="s">
        <v>118</v>
      </c>
      <c r="N69" t="s">
        <v>311</v>
      </c>
      <c r="O69" t="s">
        <v>55</v>
      </c>
      <c r="P69" t="s">
        <v>56</v>
      </c>
      <c r="Q69" t="s">
        <v>57</v>
      </c>
      <c r="R69">
        <v>14382.99</v>
      </c>
      <c r="S69">
        <v>2</v>
      </c>
      <c r="T69">
        <v>0</v>
      </c>
      <c r="U69">
        <v>2104.23</v>
      </c>
    </row>
    <row r="70" spans="1:21">
      <c r="A70">
        <v>1468</v>
      </c>
      <c r="B70" t="s">
        <v>312</v>
      </c>
      <c r="C70" s="1">
        <v>45560</v>
      </c>
      <c r="D70" s="1">
        <v>45566</v>
      </c>
      <c r="E70" t="s">
        <v>101</v>
      </c>
      <c r="F70" t="s">
        <v>49</v>
      </c>
      <c r="G70" t="s">
        <v>136</v>
      </c>
      <c r="H70" t="s">
        <v>108</v>
      </c>
      <c r="I70" t="s">
        <v>26</v>
      </c>
      <c r="J70" t="s">
        <v>131</v>
      </c>
      <c r="K70" t="s">
        <v>132</v>
      </c>
      <c r="L70" t="s">
        <v>154</v>
      </c>
      <c r="M70" t="s">
        <v>170</v>
      </c>
      <c r="N70" t="s">
        <v>313</v>
      </c>
      <c r="O70" t="s">
        <v>138</v>
      </c>
      <c r="P70" t="s">
        <v>156</v>
      </c>
      <c r="Q70" t="s">
        <v>157</v>
      </c>
      <c r="R70">
        <v>1620.17</v>
      </c>
      <c r="S70">
        <v>5</v>
      </c>
      <c r="T70">
        <v>0.1</v>
      </c>
      <c r="U70">
        <v>193.82</v>
      </c>
    </row>
    <row r="71" spans="1:21">
      <c r="A71">
        <v>1297</v>
      </c>
      <c r="B71" t="s">
        <v>314</v>
      </c>
      <c r="C71" s="1">
        <v>45303</v>
      </c>
      <c r="D71" s="1">
        <v>45304</v>
      </c>
      <c r="E71" t="s">
        <v>69</v>
      </c>
      <c r="F71" t="s">
        <v>315</v>
      </c>
      <c r="G71" t="s">
        <v>125</v>
      </c>
      <c r="H71" t="s">
        <v>89</v>
      </c>
      <c r="I71" t="s">
        <v>26</v>
      </c>
      <c r="J71" t="s">
        <v>90</v>
      </c>
      <c r="K71" t="s">
        <v>91</v>
      </c>
      <c r="L71" t="s">
        <v>29</v>
      </c>
      <c r="M71" t="s">
        <v>127</v>
      </c>
      <c r="N71" t="s">
        <v>316</v>
      </c>
      <c r="O71" t="s">
        <v>293</v>
      </c>
      <c r="P71" t="s">
        <v>45</v>
      </c>
      <c r="Q71" t="s">
        <v>46</v>
      </c>
      <c r="R71">
        <v>68335.259999999995</v>
      </c>
      <c r="S71">
        <v>2</v>
      </c>
      <c r="T71">
        <v>0</v>
      </c>
      <c r="U71">
        <v>6936.83</v>
      </c>
    </row>
    <row r="72" spans="1:21">
      <c r="A72">
        <v>1066</v>
      </c>
      <c r="B72" t="s">
        <v>317</v>
      </c>
      <c r="C72" s="1">
        <v>45649</v>
      </c>
      <c r="D72" s="1">
        <v>45651</v>
      </c>
      <c r="E72" t="s">
        <v>101</v>
      </c>
      <c r="F72" t="s">
        <v>173</v>
      </c>
      <c r="G72" t="s">
        <v>88</v>
      </c>
      <c r="H72" t="s">
        <v>51</v>
      </c>
      <c r="I72" t="s">
        <v>26</v>
      </c>
      <c r="J72" t="s">
        <v>52</v>
      </c>
      <c r="K72" t="s">
        <v>52</v>
      </c>
      <c r="L72" t="s">
        <v>169</v>
      </c>
      <c r="M72" t="s">
        <v>170</v>
      </c>
      <c r="N72" t="s">
        <v>318</v>
      </c>
      <c r="O72" t="s">
        <v>44</v>
      </c>
      <c r="P72" t="s">
        <v>211</v>
      </c>
      <c r="Q72" t="s">
        <v>212</v>
      </c>
      <c r="R72" t="s">
        <v>319</v>
      </c>
      <c r="S72">
        <v>8</v>
      </c>
      <c r="T72">
        <v>0.15</v>
      </c>
      <c r="U72">
        <v>86.67</v>
      </c>
    </row>
    <row r="73" spans="1:21">
      <c r="A73">
        <v>1507</v>
      </c>
      <c r="B73" t="s">
        <v>320</v>
      </c>
      <c r="C73" s="1">
        <v>45493</v>
      </c>
      <c r="D73" s="1">
        <v>45497</v>
      </c>
      <c r="E73" t="s">
        <v>48</v>
      </c>
      <c r="F73" t="s">
        <v>260</v>
      </c>
      <c r="G73" t="s">
        <v>229</v>
      </c>
      <c r="H73" t="s">
        <v>51</v>
      </c>
      <c r="I73" t="s">
        <v>26</v>
      </c>
      <c r="J73" t="s">
        <v>52</v>
      </c>
      <c r="K73" t="s">
        <v>52</v>
      </c>
      <c r="L73" t="s">
        <v>92</v>
      </c>
      <c r="M73" t="s">
        <v>118</v>
      </c>
      <c r="N73" t="s">
        <v>321</v>
      </c>
      <c r="O73" t="s">
        <v>44</v>
      </c>
      <c r="P73" t="s">
        <v>45</v>
      </c>
      <c r="Q73" t="s">
        <v>46</v>
      </c>
      <c r="R73">
        <v>109889.68</v>
      </c>
      <c r="S73">
        <v>3</v>
      </c>
      <c r="T73">
        <v>0.05</v>
      </c>
      <c r="U73">
        <v>6555.23</v>
      </c>
    </row>
    <row r="74" spans="1:21">
      <c r="A74">
        <v>1491</v>
      </c>
      <c r="B74" t="s">
        <v>322</v>
      </c>
      <c r="C74" s="1">
        <v>45326</v>
      </c>
      <c r="D74" s="1">
        <v>45330</v>
      </c>
      <c r="E74" t="s">
        <v>48</v>
      </c>
      <c r="F74" t="s">
        <v>221</v>
      </c>
      <c r="G74" t="s">
        <v>88</v>
      </c>
      <c r="H74" t="s">
        <v>25</v>
      </c>
      <c r="I74" t="s">
        <v>26</v>
      </c>
      <c r="J74" t="s">
        <v>27</v>
      </c>
      <c r="K74" t="s">
        <v>28</v>
      </c>
      <c r="L74" t="s">
        <v>63</v>
      </c>
      <c r="M74" t="s">
        <v>127</v>
      </c>
      <c r="N74" t="s">
        <v>93</v>
      </c>
      <c r="O74" t="s">
        <v>83</v>
      </c>
      <c r="P74" t="s">
        <v>33</v>
      </c>
      <c r="Q74" t="s">
        <v>34</v>
      </c>
      <c r="R74">
        <v>1362.87</v>
      </c>
      <c r="S74">
        <v>1</v>
      </c>
      <c r="T74">
        <v>0</v>
      </c>
      <c r="U74">
        <v>386.87</v>
      </c>
    </row>
    <row r="75" spans="1:21">
      <c r="A75">
        <v>1197</v>
      </c>
      <c r="B75" t="s">
        <v>323</v>
      </c>
      <c r="C75" s="1">
        <v>45602</v>
      </c>
      <c r="D75" s="1">
        <v>45605</v>
      </c>
      <c r="E75" t="s">
        <v>101</v>
      </c>
      <c r="F75" t="s">
        <v>324</v>
      </c>
      <c r="G75" t="s">
        <v>136</v>
      </c>
      <c r="H75" t="s">
        <v>108</v>
      </c>
      <c r="I75" t="s">
        <v>26</v>
      </c>
      <c r="J75" t="s">
        <v>72</v>
      </c>
      <c r="K75" t="s">
        <v>73</v>
      </c>
      <c r="L75" t="s">
        <v>29</v>
      </c>
      <c r="M75" t="s">
        <v>127</v>
      </c>
      <c r="N75" t="s">
        <v>325</v>
      </c>
      <c r="O75" t="s">
        <v>44</v>
      </c>
      <c r="P75" t="s">
        <v>211</v>
      </c>
      <c r="Q75" t="s">
        <v>223</v>
      </c>
      <c r="R75">
        <v>3702.6</v>
      </c>
      <c r="S75">
        <v>3</v>
      </c>
      <c r="T75">
        <v>0.3</v>
      </c>
      <c r="U75">
        <v>-358.22</v>
      </c>
    </row>
    <row r="76" spans="1:21">
      <c r="A76">
        <v>1463</v>
      </c>
      <c r="B76" t="s">
        <v>326</v>
      </c>
      <c r="C76" s="1">
        <v>45322</v>
      </c>
      <c r="D76" s="1">
        <v>45325</v>
      </c>
      <c r="E76" t="s">
        <v>69</v>
      </c>
      <c r="F76" t="s">
        <v>324</v>
      </c>
      <c r="G76" t="s">
        <v>136</v>
      </c>
      <c r="H76" t="s">
        <v>126</v>
      </c>
      <c r="I76" t="s">
        <v>26</v>
      </c>
      <c r="J76" t="s">
        <v>226</v>
      </c>
      <c r="K76" t="s">
        <v>110</v>
      </c>
      <c r="L76" t="s">
        <v>41</v>
      </c>
      <c r="M76" t="s">
        <v>30</v>
      </c>
      <c r="N76" t="s">
        <v>327</v>
      </c>
      <c r="O76" t="s">
        <v>328</v>
      </c>
      <c r="P76" t="s">
        <v>189</v>
      </c>
      <c r="Q76" t="s">
        <v>190</v>
      </c>
      <c r="R76">
        <v>22922.39</v>
      </c>
      <c r="S76">
        <v>4</v>
      </c>
      <c r="T76">
        <v>0</v>
      </c>
      <c r="U76">
        <v>2268.41</v>
      </c>
    </row>
    <row r="77" spans="1:21">
      <c r="A77">
        <v>1266</v>
      </c>
      <c r="B77" t="s">
        <v>329</v>
      </c>
      <c r="C77" s="1">
        <v>45432</v>
      </c>
      <c r="D77" s="1">
        <v>45433</v>
      </c>
      <c r="E77" t="s">
        <v>48</v>
      </c>
      <c r="F77" t="s">
        <v>330</v>
      </c>
      <c r="G77" t="s">
        <v>50</v>
      </c>
      <c r="H77" t="s">
        <v>51</v>
      </c>
      <c r="I77" t="s">
        <v>26</v>
      </c>
      <c r="J77" t="s">
        <v>160</v>
      </c>
      <c r="K77" t="s">
        <v>161</v>
      </c>
      <c r="L77" t="s">
        <v>63</v>
      </c>
      <c r="M77" t="s">
        <v>81</v>
      </c>
      <c r="N77" t="s">
        <v>331</v>
      </c>
      <c r="O77" t="s">
        <v>188</v>
      </c>
      <c r="P77" t="s">
        <v>189</v>
      </c>
      <c r="Q77" t="s">
        <v>190</v>
      </c>
      <c r="R77">
        <v>17357.560000000001</v>
      </c>
      <c r="S77">
        <v>3</v>
      </c>
      <c r="T77">
        <v>0.05</v>
      </c>
      <c r="U77">
        <v>2115.21</v>
      </c>
    </row>
    <row r="78" spans="1:21">
      <c r="A78">
        <v>1450</v>
      </c>
      <c r="B78" t="s">
        <v>332</v>
      </c>
      <c r="C78" s="1">
        <v>45560</v>
      </c>
      <c r="D78" s="1">
        <v>45566</v>
      </c>
      <c r="E78" t="s">
        <v>48</v>
      </c>
      <c r="F78" t="s">
        <v>333</v>
      </c>
      <c r="G78" t="s">
        <v>174</v>
      </c>
      <c r="H78" t="s">
        <v>25</v>
      </c>
      <c r="I78" t="s">
        <v>26</v>
      </c>
      <c r="J78" t="s">
        <v>39</v>
      </c>
      <c r="K78" t="s">
        <v>40</v>
      </c>
      <c r="L78" t="s">
        <v>334</v>
      </c>
      <c r="M78" t="s">
        <v>170</v>
      </c>
      <c r="N78" t="s">
        <v>335</v>
      </c>
      <c r="O78" t="s">
        <v>138</v>
      </c>
      <c r="P78" t="s">
        <v>156</v>
      </c>
      <c r="Q78" t="s">
        <v>157</v>
      </c>
      <c r="R78">
        <v>1576.76</v>
      </c>
      <c r="S78">
        <v>6</v>
      </c>
      <c r="T78">
        <v>0.25</v>
      </c>
      <c r="U78">
        <v>46.87</v>
      </c>
    </row>
    <row r="79" spans="1:21">
      <c r="A79">
        <v>1228</v>
      </c>
      <c r="B79" t="s">
        <v>336</v>
      </c>
      <c r="C79" s="1">
        <v>45548</v>
      </c>
      <c r="D79" s="1">
        <v>45554</v>
      </c>
      <c r="E79" t="s">
        <v>48</v>
      </c>
      <c r="F79" t="s">
        <v>337</v>
      </c>
      <c r="G79" t="s">
        <v>50</v>
      </c>
      <c r="H79" t="s">
        <v>25</v>
      </c>
      <c r="I79" t="s">
        <v>26</v>
      </c>
      <c r="J79" t="s">
        <v>226</v>
      </c>
      <c r="K79" t="s">
        <v>110</v>
      </c>
      <c r="L79" t="s">
        <v>29</v>
      </c>
      <c r="M79" t="s">
        <v>30</v>
      </c>
      <c r="N79" t="s">
        <v>338</v>
      </c>
      <c r="O79" t="s">
        <v>65</v>
      </c>
      <c r="P79" t="s">
        <v>98</v>
      </c>
      <c r="Q79" t="s">
        <v>99</v>
      </c>
      <c r="R79">
        <v>6001.87</v>
      </c>
      <c r="S79">
        <v>1</v>
      </c>
      <c r="T79">
        <v>0</v>
      </c>
      <c r="U79">
        <v>956.76</v>
      </c>
    </row>
    <row r="80" spans="1:21">
      <c r="A80">
        <v>1165</v>
      </c>
      <c r="B80" t="s">
        <v>339</v>
      </c>
      <c r="D80" s="1">
        <v>45518</v>
      </c>
      <c r="E80" t="s">
        <v>22</v>
      </c>
      <c r="F80" t="s">
        <v>340</v>
      </c>
      <c r="G80" t="s">
        <v>50</v>
      </c>
      <c r="H80" t="s">
        <v>89</v>
      </c>
      <c r="I80" t="s">
        <v>26</v>
      </c>
      <c r="J80" t="s">
        <v>61</v>
      </c>
      <c r="K80" t="s">
        <v>62</v>
      </c>
      <c r="L80" t="s">
        <v>92</v>
      </c>
      <c r="M80" t="s">
        <v>42</v>
      </c>
      <c r="N80" t="s">
        <v>341</v>
      </c>
      <c r="O80" t="s">
        <v>83</v>
      </c>
      <c r="P80" t="s">
        <v>84</v>
      </c>
      <c r="Q80" t="s">
        <v>85</v>
      </c>
      <c r="R80">
        <v>9002.68</v>
      </c>
      <c r="S80">
        <v>3</v>
      </c>
      <c r="T80">
        <v>0.05</v>
      </c>
      <c r="U80">
        <v>1711.1</v>
      </c>
    </row>
    <row r="81" spans="1:21">
      <c r="A81">
        <v>1077</v>
      </c>
      <c r="B81" t="s">
        <v>342</v>
      </c>
      <c r="C81" s="1">
        <v>45573</v>
      </c>
      <c r="D81" s="1">
        <v>45574</v>
      </c>
      <c r="E81" t="s">
        <v>101</v>
      </c>
      <c r="F81" t="s">
        <v>185</v>
      </c>
      <c r="G81" t="s">
        <v>174</v>
      </c>
      <c r="H81" t="s">
        <v>25</v>
      </c>
      <c r="I81" t="s">
        <v>26</v>
      </c>
      <c r="J81" t="s">
        <v>226</v>
      </c>
      <c r="K81" t="s">
        <v>110</v>
      </c>
      <c r="L81" t="s">
        <v>215</v>
      </c>
      <c r="M81" t="s">
        <v>42</v>
      </c>
      <c r="N81" t="s">
        <v>343</v>
      </c>
      <c r="O81" t="s">
        <v>55</v>
      </c>
      <c r="P81" t="s">
        <v>98</v>
      </c>
      <c r="Q81" t="s">
        <v>99</v>
      </c>
      <c r="R81">
        <v>9054.56</v>
      </c>
      <c r="S81">
        <v>2</v>
      </c>
      <c r="T81">
        <v>0.25</v>
      </c>
      <c r="U81">
        <v>-22.52</v>
      </c>
    </row>
    <row r="82" spans="1:21">
      <c r="A82">
        <v>1742</v>
      </c>
      <c r="B82" t="s">
        <v>344</v>
      </c>
      <c r="C82" s="1">
        <v>45626</v>
      </c>
      <c r="D82" s="1">
        <v>45628</v>
      </c>
      <c r="E82" t="s">
        <v>22</v>
      </c>
      <c r="F82" t="s">
        <v>345</v>
      </c>
      <c r="G82" t="s">
        <v>71</v>
      </c>
      <c r="H82" t="s">
        <v>25</v>
      </c>
      <c r="I82" t="s">
        <v>26</v>
      </c>
      <c r="J82" t="s">
        <v>346</v>
      </c>
      <c r="K82" t="s">
        <v>132</v>
      </c>
      <c r="L82" t="s">
        <v>29</v>
      </c>
      <c r="M82" t="s">
        <v>42</v>
      </c>
      <c r="N82" t="s">
        <v>347</v>
      </c>
      <c r="O82" t="s">
        <v>94</v>
      </c>
      <c r="P82" t="s">
        <v>207</v>
      </c>
      <c r="Q82" t="s">
        <v>208</v>
      </c>
      <c r="R82">
        <v>311602.39</v>
      </c>
      <c r="T82">
        <v>0.15</v>
      </c>
      <c r="U82">
        <v>2932.49</v>
      </c>
    </row>
    <row r="83" spans="1:21">
      <c r="A83">
        <v>1073</v>
      </c>
      <c r="B83" t="s">
        <v>348</v>
      </c>
      <c r="C83" s="1">
        <v>45516</v>
      </c>
      <c r="D83" s="1">
        <v>45517</v>
      </c>
      <c r="E83" t="s">
        <v>101</v>
      </c>
      <c r="F83" t="s">
        <v>23</v>
      </c>
      <c r="G83" t="s">
        <v>78</v>
      </c>
      <c r="H83" t="s">
        <v>51</v>
      </c>
      <c r="I83" t="s">
        <v>26</v>
      </c>
      <c r="J83" t="s">
        <v>131</v>
      </c>
      <c r="K83" t="s">
        <v>132</v>
      </c>
      <c r="L83" t="s">
        <v>29</v>
      </c>
      <c r="M83" t="s">
        <v>42</v>
      </c>
      <c r="N83" t="s">
        <v>349</v>
      </c>
      <c r="O83" t="s">
        <v>293</v>
      </c>
      <c r="P83" t="s">
        <v>207</v>
      </c>
      <c r="Q83" t="s">
        <v>208</v>
      </c>
      <c r="R83">
        <v>85356.78</v>
      </c>
      <c r="S83">
        <v>2</v>
      </c>
      <c r="T83">
        <v>0.15</v>
      </c>
      <c r="U83">
        <v>819.9</v>
      </c>
    </row>
    <row r="84" spans="1:21">
      <c r="A84">
        <v>1300</v>
      </c>
      <c r="B84" t="s">
        <v>350</v>
      </c>
      <c r="C84" s="1">
        <v>45502</v>
      </c>
      <c r="D84" s="1">
        <v>45507</v>
      </c>
      <c r="E84" t="s">
        <v>101</v>
      </c>
      <c r="F84" t="s">
        <v>345</v>
      </c>
      <c r="G84" t="s">
        <v>50</v>
      </c>
      <c r="H84" t="s">
        <v>25</v>
      </c>
      <c r="I84" t="s">
        <v>26</v>
      </c>
      <c r="J84" t="s">
        <v>79</v>
      </c>
      <c r="K84" t="s">
        <v>80</v>
      </c>
      <c r="L84" t="s">
        <v>215</v>
      </c>
      <c r="M84" t="s">
        <v>118</v>
      </c>
      <c r="N84" t="s">
        <v>351</v>
      </c>
      <c r="O84" t="s">
        <v>138</v>
      </c>
      <c r="P84" t="s">
        <v>139</v>
      </c>
      <c r="Q84" t="s">
        <v>140</v>
      </c>
      <c r="R84">
        <v>1896.78</v>
      </c>
      <c r="S84">
        <v>3</v>
      </c>
      <c r="T84">
        <v>0.3</v>
      </c>
      <c r="U84">
        <v>7.31</v>
      </c>
    </row>
    <row r="85" spans="1:21">
      <c r="A85">
        <v>1653</v>
      </c>
      <c r="B85" t="s">
        <v>352</v>
      </c>
      <c r="C85" s="1">
        <v>45513</v>
      </c>
      <c r="D85" s="1">
        <v>45519</v>
      </c>
      <c r="E85" t="s">
        <v>48</v>
      </c>
      <c r="F85" t="s">
        <v>59</v>
      </c>
      <c r="G85" t="s">
        <v>37</v>
      </c>
      <c r="H85" t="s">
        <v>51</v>
      </c>
      <c r="I85" t="s">
        <v>26</v>
      </c>
      <c r="J85" t="s">
        <v>226</v>
      </c>
      <c r="K85" t="s">
        <v>110</v>
      </c>
      <c r="L85" t="s">
        <v>29</v>
      </c>
      <c r="M85" t="s">
        <v>42</v>
      </c>
      <c r="N85" t="s">
        <v>353</v>
      </c>
      <c r="O85" t="s">
        <v>83</v>
      </c>
      <c r="P85" t="s">
        <v>84</v>
      </c>
      <c r="Q85" t="s">
        <v>85</v>
      </c>
      <c r="R85">
        <v>14054.92</v>
      </c>
      <c r="S85">
        <v>5</v>
      </c>
      <c r="T85">
        <v>0.15</v>
      </c>
      <c r="U85">
        <v>2540.94</v>
      </c>
    </row>
    <row r="86" spans="1:21">
      <c r="A86">
        <v>1370</v>
      </c>
      <c r="B86" t="s">
        <v>354</v>
      </c>
      <c r="C86" s="1">
        <v>45346</v>
      </c>
      <c r="D86" s="1">
        <v>45349</v>
      </c>
      <c r="E86" t="s">
        <v>69</v>
      </c>
      <c r="F86" t="s">
        <v>355</v>
      </c>
      <c r="G86" t="s">
        <v>50</v>
      </c>
      <c r="H86" t="s">
        <v>51</v>
      </c>
      <c r="I86" t="s">
        <v>26</v>
      </c>
      <c r="J86" t="s">
        <v>346</v>
      </c>
      <c r="K86" t="s">
        <v>132</v>
      </c>
      <c r="L86" t="s">
        <v>29</v>
      </c>
      <c r="M86" t="s">
        <v>30</v>
      </c>
      <c r="N86" t="s">
        <v>356</v>
      </c>
      <c r="O86" t="s">
        <v>357</v>
      </c>
      <c r="P86" t="s">
        <v>189</v>
      </c>
      <c r="Q86" t="s">
        <v>190</v>
      </c>
      <c r="R86">
        <v>4307.6400000000003</v>
      </c>
      <c r="S86">
        <v>1</v>
      </c>
      <c r="T86">
        <v>0.25</v>
      </c>
      <c r="U86">
        <v>-131.38</v>
      </c>
    </row>
    <row r="87" spans="1:21">
      <c r="A87">
        <v>1064</v>
      </c>
      <c r="B87" t="s">
        <v>358</v>
      </c>
      <c r="C87" s="1">
        <v>45453</v>
      </c>
      <c r="D87" s="1">
        <v>45454</v>
      </c>
      <c r="E87" t="s">
        <v>69</v>
      </c>
      <c r="F87" t="s">
        <v>355</v>
      </c>
      <c r="G87" t="s">
        <v>107</v>
      </c>
      <c r="H87" t="s">
        <v>310</v>
      </c>
      <c r="I87" t="s">
        <v>26</v>
      </c>
      <c r="J87" t="s">
        <v>39</v>
      </c>
      <c r="K87" t="s">
        <v>40</v>
      </c>
      <c r="L87" t="s">
        <v>334</v>
      </c>
      <c r="M87" t="s">
        <v>42</v>
      </c>
      <c r="N87" t="s">
        <v>359</v>
      </c>
      <c r="O87" t="s">
        <v>65</v>
      </c>
      <c r="P87" t="s">
        <v>66</v>
      </c>
      <c r="Q87" t="s">
        <v>67</v>
      </c>
      <c r="R87">
        <v>8039.25</v>
      </c>
      <c r="S87">
        <v>1</v>
      </c>
      <c r="T87">
        <v>0.1</v>
      </c>
      <c r="U87">
        <v>901.48</v>
      </c>
    </row>
    <row r="88" spans="1:21">
      <c r="A88">
        <v>1650</v>
      </c>
      <c r="B88" t="s">
        <v>360</v>
      </c>
      <c r="C88" s="1">
        <v>45542</v>
      </c>
      <c r="D88" s="1">
        <v>45543</v>
      </c>
      <c r="E88" t="s">
        <v>69</v>
      </c>
      <c r="F88" t="s">
        <v>361</v>
      </c>
      <c r="G88" t="s">
        <v>165</v>
      </c>
      <c r="H88" t="s">
        <v>25</v>
      </c>
      <c r="I88" t="s">
        <v>26</v>
      </c>
      <c r="J88" t="s">
        <v>226</v>
      </c>
      <c r="K88" t="s">
        <v>110</v>
      </c>
      <c r="L88" t="s">
        <v>63</v>
      </c>
      <c r="M88" t="s">
        <v>30</v>
      </c>
      <c r="N88" t="s">
        <v>362</v>
      </c>
      <c r="O88" t="s">
        <v>55</v>
      </c>
      <c r="P88" t="s">
        <v>98</v>
      </c>
      <c r="Q88" t="s">
        <v>99</v>
      </c>
      <c r="R88">
        <v>13079.41</v>
      </c>
      <c r="S88">
        <v>2</v>
      </c>
      <c r="T88">
        <v>0</v>
      </c>
      <c r="U88">
        <v>2308.75</v>
      </c>
    </row>
    <row r="89" spans="1:21">
      <c r="A89">
        <v>1466</v>
      </c>
      <c r="B89" t="s">
        <v>363</v>
      </c>
      <c r="C89" s="1">
        <v>45327</v>
      </c>
      <c r="D89" s="1">
        <v>45332</v>
      </c>
      <c r="E89" t="s">
        <v>69</v>
      </c>
      <c r="F89" t="s">
        <v>260</v>
      </c>
      <c r="G89" t="s">
        <v>78</v>
      </c>
      <c r="H89" t="s">
        <v>51</v>
      </c>
      <c r="I89" t="s">
        <v>26</v>
      </c>
      <c r="J89" t="s">
        <v>226</v>
      </c>
      <c r="K89" t="s">
        <v>110</v>
      </c>
      <c r="L89" t="s">
        <v>117</v>
      </c>
      <c r="M89" t="s">
        <v>170</v>
      </c>
      <c r="N89" t="s">
        <v>364</v>
      </c>
      <c r="O89" t="s">
        <v>83</v>
      </c>
      <c r="P89" t="s">
        <v>33</v>
      </c>
      <c r="Q89" t="s">
        <v>34</v>
      </c>
      <c r="R89">
        <v>6266.27</v>
      </c>
      <c r="S89">
        <v>5</v>
      </c>
      <c r="T89">
        <v>0.05</v>
      </c>
      <c r="U89">
        <v>1591.15</v>
      </c>
    </row>
    <row r="90" spans="1:21">
      <c r="A90">
        <v>1050</v>
      </c>
      <c r="B90" t="s">
        <v>365</v>
      </c>
      <c r="C90" s="1">
        <v>45567</v>
      </c>
      <c r="D90" s="1">
        <v>45573</v>
      </c>
      <c r="E90" t="s">
        <v>69</v>
      </c>
      <c r="F90" t="s">
        <v>135</v>
      </c>
      <c r="G90" t="s">
        <v>107</v>
      </c>
      <c r="H90" t="s">
        <v>25</v>
      </c>
      <c r="I90" t="s">
        <v>26</v>
      </c>
      <c r="J90" t="s">
        <v>226</v>
      </c>
      <c r="K90" t="s">
        <v>110</v>
      </c>
      <c r="L90" t="s">
        <v>63</v>
      </c>
      <c r="M90" t="s">
        <v>118</v>
      </c>
      <c r="N90" t="s">
        <v>366</v>
      </c>
      <c r="O90" t="s">
        <v>55</v>
      </c>
      <c r="P90" t="s">
        <v>66</v>
      </c>
      <c r="Q90" t="s">
        <v>67</v>
      </c>
      <c r="R90">
        <v>29454.639999999999</v>
      </c>
      <c r="S90">
        <v>5</v>
      </c>
      <c r="T90">
        <v>0.25</v>
      </c>
      <c r="U90">
        <v>-59.2</v>
      </c>
    </row>
    <row r="91" spans="1:21">
      <c r="A91">
        <v>1363</v>
      </c>
      <c r="B91" t="s">
        <v>367</v>
      </c>
      <c r="C91" s="1">
        <v>45634</v>
      </c>
      <c r="D91" s="1">
        <v>45637</v>
      </c>
      <c r="E91" t="s">
        <v>22</v>
      </c>
      <c r="F91" t="s">
        <v>235</v>
      </c>
      <c r="G91" t="s">
        <v>125</v>
      </c>
      <c r="H91" t="s">
        <v>108</v>
      </c>
      <c r="I91" t="s">
        <v>26</v>
      </c>
      <c r="J91" t="s">
        <v>346</v>
      </c>
      <c r="K91" t="s">
        <v>132</v>
      </c>
      <c r="L91" t="s">
        <v>92</v>
      </c>
      <c r="M91" t="s">
        <v>118</v>
      </c>
      <c r="N91" t="s">
        <v>368</v>
      </c>
      <c r="O91" t="s">
        <v>83</v>
      </c>
      <c r="P91" t="s">
        <v>33</v>
      </c>
      <c r="Q91" t="s">
        <v>34</v>
      </c>
      <c r="R91">
        <v>3825.04</v>
      </c>
      <c r="S91">
        <v>3</v>
      </c>
      <c r="T91">
        <v>0.1</v>
      </c>
      <c r="U91">
        <v>828.58</v>
      </c>
    </row>
    <row r="92" spans="1:21">
      <c r="A92">
        <v>1193</v>
      </c>
      <c r="B92" t="s">
        <v>369</v>
      </c>
      <c r="C92" s="1">
        <v>45464</v>
      </c>
      <c r="D92" s="1">
        <v>45467</v>
      </c>
      <c r="E92" t="s">
        <v>69</v>
      </c>
      <c r="F92" t="s">
        <v>370</v>
      </c>
      <c r="G92" t="s">
        <v>114</v>
      </c>
      <c r="H92" t="s">
        <v>89</v>
      </c>
      <c r="I92" t="s">
        <v>26</v>
      </c>
      <c r="J92" t="s">
        <v>160</v>
      </c>
      <c r="K92" t="s">
        <v>161</v>
      </c>
      <c r="L92" t="s">
        <v>29</v>
      </c>
      <c r="M92" t="s">
        <v>127</v>
      </c>
      <c r="N92" t="s">
        <v>371</v>
      </c>
      <c r="O92" t="s">
        <v>138</v>
      </c>
      <c r="P92" t="s">
        <v>182</v>
      </c>
      <c r="Q92" t="s">
        <v>183</v>
      </c>
      <c r="R92">
        <v>1867.7</v>
      </c>
      <c r="S92">
        <v>4</v>
      </c>
      <c r="T92">
        <v>0</v>
      </c>
      <c r="U92">
        <v>430.22</v>
      </c>
    </row>
    <row r="93" spans="1:21">
      <c r="A93">
        <v>1102</v>
      </c>
      <c r="B93" t="s">
        <v>372</v>
      </c>
      <c r="C93" s="1">
        <v>45592</v>
      </c>
      <c r="D93" s="1">
        <v>45598</v>
      </c>
      <c r="E93" t="s">
        <v>69</v>
      </c>
      <c r="F93" t="s">
        <v>373</v>
      </c>
      <c r="G93" t="s">
        <v>37</v>
      </c>
      <c r="H93" t="s">
        <v>108</v>
      </c>
      <c r="I93" t="s">
        <v>26</v>
      </c>
      <c r="J93" t="s">
        <v>226</v>
      </c>
      <c r="K93" t="s">
        <v>110</v>
      </c>
      <c r="L93" t="s">
        <v>41</v>
      </c>
      <c r="M93" t="s">
        <v>127</v>
      </c>
      <c r="N93" t="s">
        <v>256</v>
      </c>
      <c r="O93" t="s">
        <v>240</v>
      </c>
      <c r="P93" t="s">
        <v>156</v>
      </c>
      <c r="Q93" t="s">
        <v>157</v>
      </c>
      <c r="R93">
        <v>1078.28</v>
      </c>
      <c r="S93">
        <v>4</v>
      </c>
      <c r="T93">
        <v>0.25</v>
      </c>
      <c r="U93">
        <v>48.49</v>
      </c>
    </row>
    <row r="94" spans="1:21">
      <c r="A94">
        <v>1376</v>
      </c>
      <c r="B94" t="s">
        <v>374</v>
      </c>
      <c r="C94" s="1">
        <v>45579</v>
      </c>
      <c r="D94" s="1">
        <v>45583</v>
      </c>
      <c r="E94" t="s">
        <v>101</v>
      </c>
      <c r="F94" t="s">
        <v>375</v>
      </c>
      <c r="G94" t="s">
        <v>24</v>
      </c>
      <c r="H94" t="s">
        <v>51</v>
      </c>
      <c r="I94" t="s">
        <v>26</v>
      </c>
      <c r="J94" t="s">
        <v>160</v>
      </c>
      <c r="K94" t="s">
        <v>161</v>
      </c>
      <c r="L94" t="s">
        <v>215</v>
      </c>
      <c r="M94" t="s">
        <v>127</v>
      </c>
      <c r="N94" t="s">
        <v>376</v>
      </c>
      <c r="O94" t="s">
        <v>138</v>
      </c>
      <c r="P94" t="s">
        <v>156</v>
      </c>
      <c r="Q94" t="s">
        <v>157</v>
      </c>
      <c r="R94">
        <v>285.37</v>
      </c>
      <c r="S94">
        <v>1</v>
      </c>
      <c r="T94">
        <v>0.2</v>
      </c>
      <c r="U94">
        <v>24.37</v>
      </c>
    </row>
    <row r="95" spans="1:21">
      <c r="A95">
        <v>1245</v>
      </c>
      <c r="B95" t="s">
        <v>377</v>
      </c>
      <c r="C95" s="1">
        <v>45397</v>
      </c>
      <c r="D95" s="1">
        <v>45402</v>
      </c>
      <c r="E95" t="s">
        <v>101</v>
      </c>
      <c r="F95" t="s">
        <v>378</v>
      </c>
      <c r="G95" t="s">
        <v>165</v>
      </c>
      <c r="H95" t="s">
        <v>153</v>
      </c>
      <c r="I95" t="s">
        <v>26</v>
      </c>
      <c r="J95" t="s">
        <v>61</v>
      </c>
      <c r="K95" t="s">
        <v>62</v>
      </c>
      <c r="L95" t="s">
        <v>41</v>
      </c>
      <c r="M95" t="s">
        <v>118</v>
      </c>
      <c r="N95" t="s">
        <v>379</v>
      </c>
      <c r="O95" t="s">
        <v>83</v>
      </c>
      <c r="P95" t="s">
        <v>33</v>
      </c>
      <c r="Q95" t="s">
        <v>34</v>
      </c>
      <c r="R95">
        <v>2101.25</v>
      </c>
      <c r="S95">
        <v>2</v>
      </c>
      <c r="T95">
        <v>0.3</v>
      </c>
      <c r="U95">
        <v>138.12</v>
      </c>
    </row>
    <row r="96" spans="1:21">
      <c r="A96">
        <v>1251</v>
      </c>
      <c r="B96" t="s">
        <v>380</v>
      </c>
      <c r="C96" s="1">
        <v>45606</v>
      </c>
      <c r="D96" s="1">
        <v>45611</v>
      </c>
      <c r="E96" t="s">
        <v>22</v>
      </c>
      <c r="F96" t="s">
        <v>375</v>
      </c>
      <c r="G96" t="s">
        <v>60</v>
      </c>
      <c r="H96" t="s">
        <v>51</v>
      </c>
      <c r="I96" t="s">
        <v>26</v>
      </c>
      <c r="J96" t="s">
        <v>39</v>
      </c>
      <c r="K96" t="s">
        <v>40</v>
      </c>
      <c r="L96" t="s">
        <v>63</v>
      </c>
      <c r="M96" t="s">
        <v>74</v>
      </c>
      <c r="N96" t="s">
        <v>381</v>
      </c>
      <c r="O96" t="s">
        <v>138</v>
      </c>
      <c r="P96" t="s">
        <v>139</v>
      </c>
      <c r="Q96" t="s">
        <v>140</v>
      </c>
      <c r="R96">
        <v>3332.41</v>
      </c>
      <c r="S96">
        <v>4</v>
      </c>
      <c r="T96">
        <v>0.15</v>
      </c>
      <c r="U96">
        <v>347.74</v>
      </c>
    </row>
    <row r="97" spans="1:21">
      <c r="A97">
        <v>1008</v>
      </c>
      <c r="B97" t="s">
        <v>382</v>
      </c>
      <c r="C97" s="1">
        <v>45453</v>
      </c>
      <c r="D97" s="1">
        <v>45457</v>
      </c>
      <c r="E97" t="s">
        <v>48</v>
      </c>
      <c r="F97" t="s">
        <v>164</v>
      </c>
      <c r="G97" t="s">
        <v>107</v>
      </c>
      <c r="H97" t="s">
        <v>25</v>
      </c>
      <c r="I97" t="s">
        <v>26</v>
      </c>
      <c r="J97" t="s">
        <v>61</v>
      </c>
      <c r="K97" t="s">
        <v>62</v>
      </c>
      <c r="L97" t="s">
        <v>63</v>
      </c>
      <c r="M97" t="s">
        <v>30</v>
      </c>
      <c r="N97" t="s">
        <v>383</v>
      </c>
      <c r="O97" t="s">
        <v>83</v>
      </c>
      <c r="P97" t="s">
        <v>84</v>
      </c>
      <c r="Q97" t="s">
        <v>85</v>
      </c>
      <c r="R97">
        <v>3037.09</v>
      </c>
      <c r="S97">
        <v>1</v>
      </c>
      <c r="T97">
        <v>0</v>
      </c>
      <c r="U97">
        <v>639.08000000000004</v>
      </c>
    </row>
    <row r="98" spans="1:21">
      <c r="A98">
        <v>1546</v>
      </c>
      <c r="B98" t="s">
        <v>384</v>
      </c>
      <c r="C98" s="1">
        <v>45307</v>
      </c>
      <c r="D98" s="1">
        <v>45309</v>
      </c>
      <c r="E98" t="s">
        <v>101</v>
      </c>
      <c r="F98" t="s">
        <v>324</v>
      </c>
      <c r="G98" t="s">
        <v>114</v>
      </c>
      <c r="H98" t="s">
        <v>108</v>
      </c>
      <c r="I98" t="s">
        <v>26</v>
      </c>
      <c r="J98" t="s">
        <v>52</v>
      </c>
      <c r="K98" t="s">
        <v>52</v>
      </c>
      <c r="L98" t="s">
        <v>29</v>
      </c>
      <c r="M98" t="s">
        <v>81</v>
      </c>
      <c r="N98" t="s">
        <v>385</v>
      </c>
      <c r="O98" t="s">
        <v>188</v>
      </c>
      <c r="P98" t="s">
        <v>189</v>
      </c>
      <c r="Q98" t="s">
        <v>386</v>
      </c>
      <c r="R98">
        <v>2002.47</v>
      </c>
      <c r="S98">
        <v>1</v>
      </c>
      <c r="T98">
        <v>0.15</v>
      </c>
      <c r="U98">
        <v>69.95</v>
      </c>
    </row>
    <row r="99" spans="1:21">
      <c r="A99">
        <v>1024</v>
      </c>
      <c r="B99" t="s">
        <v>387</v>
      </c>
      <c r="C99" s="1">
        <v>45321</v>
      </c>
      <c r="D99" s="1">
        <v>45326</v>
      </c>
      <c r="E99" t="s">
        <v>22</v>
      </c>
      <c r="F99" t="s">
        <v>388</v>
      </c>
      <c r="G99" t="s">
        <v>60</v>
      </c>
      <c r="H99" t="s">
        <v>389</v>
      </c>
      <c r="I99" t="s">
        <v>26</v>
      </c>
      <c r="J99" t="s">
        <v>346</v>
      </c>
      <c r="K99" t="s">
        <v>132</v>
      </c>
      <c r="L99" t="s">
        <v>41</v>
      </c>
      <c r="M99" t="s">
        <v>170</v>
      </c>
      <c r="N99" t="s">
        <v>390</v>
      </c>
      <c r="O99" t="s">
        <v>293</v>
      </c>
      <c r="P99" t="s">
        <v>207</v>
      </c>
      <c r="Q99" t="s">
        <v>208</v>
      </c>
      <c r="R99" t="s">
        <v>391</v>
      </c>
      <c r="S99">
        <v>3</v>
      </c>
      <c r="T99">
        <v>0.05</v>
      </c>
      <c r="U99">
        <v>11251.26</v>
      </c>
    </row>
    <row r="100" spans="1:21">
      <c r="A100">
        <v>1623</v>
      </c>
      <c r="B100" t="s">
        <v>392</v>
      </c>
      <c r="C100" s="1">
        <v>45316</v>
      </c>
      <c r="D100" s="1">
        <v>45319</v>
      </c>
      <c r="E100" t="s">
        <v>48</v>
      </c>
      <c r="F100" t="s">
        <v>288</v>
      </c>
      <c r="G100" t="s">
        <v>125</v>
      </c>
      <c r="H100" t="s">
        <v>51</v>
      </c>
      <c r="I100" t="s">
        <v>26</v>
      </c>
      <c r="J100" t="s">
        <v>226</v>
      </c>
      <c r="K100" t="s">
        <v>110</v>
      </c>
      <c r="L100" t="s">
        <v>41</v>
      </c>
      <c r="M100" t="s">
        <v>170</v>
      </c>
      <c r="N100" t="s">
        <v>393</v>
      </c>
      <c r="O100" t="s">
        <v>44</v>
      </c>
      <c r="P100" t="s">
        <v>211</v>
      </c>
      <c r="Q100" t="s">
        <v>212</v>
      </c>
      <c r="R100">
        <v>2000.19</v>
      </c>
      <c r="S100">
        <v>2</v>
      </c>
      <c r="T100">
        <v>0.2</v>
      </c>
      <c r="U100">
        <v>-42.53</v>
      </c>
    </row>
    <row r="101" spans="1:21">
      <c r="A101">
        <v>1222</v>
      </c>
      <c r="B101" t="s">
        <v>394</v>
      </c>
      <c r="C101" s="1">
        <v>45346</v>
      </c>
      <c r="D101" s="1">
        <v>45347</v>
      </c>
      <c r="E101" t="s">
        <v>69</v>
      </c>
      <c r="F101" t="s">
        <v>395</v>
      </c>
      <c r="G101" t="s">
        <v>107</v>
      </c>
      <c r="H101" t="s">
        <v>51</v>
      </c>
      <c r="I101" t="s">
        <v>26</v>
      </c>
      <c r="J101" t="s">
        <v>160</v>
      </c>
      <c r="K101" t="s">
        <v>161</v>
      </c>
      <c r="L101" t="s">
        <v>63</v>
      </c>
      <c r="M101" t="s">
        <v>127</v>
      </c>
      <c r="N101" t="s">
        <v>396</v>
      </c>
      <c r="O101" t="s">
        <v>120</v>
      </c>
      <c r="P101" t="s">
        <v>156</v>
      </c>
      <c r="Q101" t="s">
        <v>157</v>
      </c>
      <c r="R101">
        <v>2476.17</v>
      </c>
      <c r="S101">
        <v>7</v>
      </c>
      <c r="T101">
        <v>0.05</v>
      </c>
      <c r="U101">
        <v>387.93</v>
      </c>
    </row>
    <row r="102" spans="1:21">
      <c r="A102">
        <v>1236</v>
      </c>
      <c r="B102" t="s">
        <v>397</v>
      </c>
      <c r="C102" s="1">
        <v>45462</v>
      </c>
      <c r="D102" s="1">
        <v>45467</v>
      </c>
      <c r="E102" t="s">
        <v>101</v>
      </c>
      <c r="F102" t="s">
        <v>398</v>
      </c>
      <c r="G102" t="s">
        <v>88</v>
      </c>
      <c r="H102" t="s">
        <v>38</v>
      </c>
      <c r="I102" t="s">
        <v>26</v>
      </c>
      <c r="J102" t="s">
        <v>72</v>
      </c>
      <c r="K102" t="s">
        <v>73</v>
      </c>
      <c r="L102" t="s">
        <v>117</v>
      </c>
      <c r="M102" t="s">
        <v>118</v>
      </c>
      <c r="N102" t="s">
        <v>143</v>
      </c>
      <c r="O102" t="s">
        <v>138</v>
      </c>
      <c r="P102" t="s">
        <v>182</v>
      </c>
      <c r="Q102" t="s">
        <v>183</v>
      </c>
      <c r="R102">
        <v>622.30999999999995</v>
      </c>
      <c r="S102">
        <v>2</v>
      </c>
      <c r="T102">
        <v>0.25</v>
      </c>
      <c r="U102">
        <v>28.82</v>
      </c>
    </row>
    <row r="103" spans="1:21">
      <c r="A103">
        <v>1324</v>
      </c>
      <c r="B103" t="s">
        <v>399</v>
      </c>
      <c r="C103" s="1">
        <v>45596</v>
      </c>
      <c r="D103" s="1">
        <v>45599</v>
      </c>
      <c r="E103" t="s">
        <v>48</v>
      </c>
      <c r="F103" t="s">
        <v>333</v>
      </c>
      <c r="G103" t="s">
        <v>24</v>
      </c>
      <c r="H103" t="s">
        <v>108</v>
      </c>
      <c r="I103" t="s">
        <v>26</v>
      </c>
      <c r="J103" t="s">
        <v>109</v>
      </c>
      <c r="K103" t="s">
        <v>110</v>
      </c>
      <c r="L103" t="s">
        <v>53</v>
      </c>
      <c r="M103" t="s">
        <v>74</v>
      </c>
      <c r="N103" t="s">
        <v>400</v>
      </c>
      <c r="O103" t="s">
        <v>44</v>
      </c>
      <c r="P103" t="s">
        <v>45</v>
      </c>
      <c r="Q103" t="s">
        <v>46</v>
      </c>
      <c r="R103">
        <v>69424.28</v>
      </c>
      <c r="S103">
        <v>2</v>
      </c>
      <c r="T103">
        <v>0.05</v>
      </c>
      <c r="U103">
        <v>5862.2</v>
      </c>
    </row>
    <row r="104" spans="1:21">
      <c r="A104">
        <v>1421</v>
      </c>
      <c r="B104" t="s">
        <v>401</v>
      </c>
      <c r="C104" s="1">
        <v>45629</v>
      </c>
      <c r="D104" s="1">
        <v>45630</v>
      </c>
      <c r="E104" t="s">
        <v>69</v>
      </c>
      <c r="F104" t="s">
        <v>260</v>
      </c>
      <c r="G104" t="s">
        <v>147</v>
      </c>
      <c r="H104" t="s">
        <v>389</v>
      </c>
      <c r="I104" t="s">
        <v>26</v>
      </c>
      <c r="J104" t="s">
        <v>79</v>
      </c>
      <c r="K104" t="s">
        <v>80</v>
      </c>
      <c r="L104" t="s">
        <v>103</v>
      </c>
      <c r="M104" t="s">
        <v>74</v>
      </c>
      <c r="N104" t="s">
        <v>402</v>
      </c>
      <c r="P104" t="s">
        <v>56</v>
      </c>
      <c r="Q104" t="s">
        <v>57</v>
      </c>
      <c r="R104">
        <v>12614.26</v>
      </c>
      <c r="S104">
        <v>2</v>
      </c>
      <c r="T104">
        <v>0.05</v>
      </c>
      <c r="U104">
        <v>1739.83</v>
      </c>
    </row>
    <row r="105" spans="1:21">
      <c r="A105">
        <v>1307</v>
      </c>
      <c r="B105" t="s">
        <v>403</v>
      </c>
      <c r="C105" s="1">
        <v>45358</v>
      </c>
      <c r="D105" s="1">
        <v>45361</v>
      </c>
      <c r="E105" t="s">
        <v>69</v>
      </c>
      <c r="F105" t="s">
        <v>404</v>
      </c>
      <c r="G105" t="s">
        <v>147</v>
      </c>
      <c r="H105" t="s">
        <v>51</v>
      </c>
      <c r="I105" t="s">
        <v>26</v>
      </c>
      <c r="J105" t="s">
        <v>346</v>
      </c>
      <c r="K105" t="s">
        <v>132</v>
      </c>
      <c r="L105" t="s">
        <v>215</v>
      </c>
      <c r="M105" t="s">
        <v>74</v>
      </c>
      <c r="N105" t="s">
        <v>405</v>
      </c>
      <c r="O105" t="s">
        <v>138</v>
      </c>
      <c r="P105" t="s">
        <v>121</v>
      </c>
      <c r="Q105" t="s">
        <v>122</v>
      </c>
      <c r="R105">
        <v>1193.94</v>
      </c>
      <c r="S105">
        <v>2</v>
      </c>
      <c r="T105">
        <v>0.1</v>
      </c>
      <c r="U105">
        <v>127.48</v>
      </c>
    </row>
    <row r="106" spans="1:21">
      <c r="A106">
        <v>1159</v>
      </c>
      <c r="B106" t="s">
        <v>406</v>
      </c>
      <c r="C106" s="1">
        <v>45585</v>
      </c>
      <c r="D106" s="1">
        <v>45587</v>
      </c>
      <c r="E106" t="s">
        <v>48</v>
      </c>
      <c r="F106" t="s">
        <v>238</v>
      </c>
      <c r="G106" t="s">
        <v>174</v>
      </c>
      <c r="H106" t="s">
        <v>302</v>
      </c>
      <c r="I106" t="s">
        <v>26</v>
      </c>
      <c r="J106" t="s">
        <v>90</v>
      </c>
      <c r="K106" t="s">
        <v>91</v>
      </c>
      <c r="L106" t="s">
        <v>63</v>
      </c>
      <c r="M106" t="s">
        <v>30</v>
      </c>
      <c r="N106" t="s">
        <v>407</v>
      </c>
      <c r="O106" t="s">
        <v>240</v>
      </c>
      <c r="P106" t="s">
        <v>182</v>
      </c>
      <c r="Q106" t="s">
        <v>183</v>
      </c>
      <c r="R106">
        <v>886.89</v>
      </c>
      <c r="S106">
        <v>2</v>
      </c>
      <c r="T106">
        <v>0</v>
      </c>
      <c r="U106">
        <v>148.4</v>
      </c>
    </row>
    <row r="107" spans="1:21">
      <c r="A107">
        <v>1119</v>
      </c>
      <c r="B107" t="s">
        <v>408</v>
      </c>
      <c r="C107" s="1">
        <v>45318</v>
      </c>
      <c r="D107" s="1">
        <v>45320</v>
      </c>
      <c r="E107" t="s">
        <v>69</v>
      </c>
      <c r="F107" t="s">
        <v>106</v>
      </c>
      <c r="G107" t="s">
        <v>114</v>
      </c>
      <c r="H107" t="s">
        <v>25</v>
      </c>
      <c r="I107" t="s">
        <v>26</v>
      </c>
      <c r="J107" t="s">
        <v>226</v>
      </c>
      <c r="K107" t="s">
        <v>110</v>
      </c>
      <c r="L107" t="s">
        <v>41</v>
      </c>
      <c r="M107" t="s">
        <v>81</v>
      </c>
      <c r="N107" t="s">
        <v>409</v>
      </c>
      <c r="O107" t="s">
        <v>55</v>
      </c>
      <c r="P107" t="s">
        <v>66</v>
      </c>
      <c r="Q107" t="s">
        <v>67</v>
      </c>
      <c r="R107">
        <v>32807.4</v>
      </c>
      <c r="S107">
        <v>4</v>
      </c>
      <c r="T107">
        <v>0</v>
      </c>
      <c r="U107">
        <v>4000.71</v>
      </c>
    </row>
    <row r="108" spans="1:21">
      <c r="A108">
        <v>1087</v>
      </c>
      <c r="B108" t="s">
        <v>410</v>
      </c>
      <c r="C108" s="1">
        <v>45611</v>
      </c>
      <c r="D108" s="1">
        <v>45617</v>
      </c>
      <c r="E108" t="s">
        <v>101</v>
      </c>
      <c r="F108" t="s">
        <v>411</v>
      </c>
      <c r="G108" t="s">
        <v>50</v>
      </c>
      <c r="H108" t="s">
        <v>38</v>
      </c>
      <c r="I108" t="s">
        <v>26</v>
      </c>
      <c r="J108" t="s">
        <v>166</v>
      </c>
      <c r="K108" t="s">
        <v>132</v>
      </c>
      <c r="L108" t="s">
        <v>63</v>
      </c>
      <c r="M108" t="s">
        <v>127</v>
      </c>
      <c r="N108" t="s">
        <v>412</v>
      </c>
      <c r="O108" t="s">
        <v>44</v>
      </c>
      <c r="P108" t="s">
        <v>45</v>
      </c>
      <c r="Q108" t="s">
        <v>46</v>
      </c>
      <c r="R108">
        <v>201990.07</v>
      </c>
      <c r="S108">
        <v>7</v>
      </c>
      <c r="T108">
        <v>0.2</v>
      </c>
      <c r="U108">
        <v>-3487.35</v>
      </c>
    </row>
    <row r="109" spans="1:21">
      <c r="A109">
        <v>1749</v>
      </c>
      <c r="B109" t="s">
        <v>413</v>
      </c>
      <c r="C109" s="1">
        <v>45390</v>
      </c>
      <c r="D109" s="1">
        <v>45391</v>
      </c>
      <c r="E109" t="s">
        <v>48</v>
      </c>
      <c r="F109" t="s">
        <v>414</v>
      </c>
      <c r="G109" t="s">
        <v>24</v>
      </c>
      <c r="H109" t="s">
        <v>25</v>
      </c>
      <c r="I109" t="s">
        <v>26</v>
      </c>
      <c r="J109" t="s">
        <v>160</v>
      </c>
      <c r="K109" t="s">
        <v>161</v>
      </c>
      <c r="L109" t="s">
        <v>92</v>
      </c>
      <c r="M109" t="s">
        <v>30</v>
      </c>
      <c r="N109" t="s">
        <v>415</v>
      </c>
      <c r="O109" t="s">
        <v>44</v>
      </c>
      <c r="P109" t="s">
        <v>207</v>
      </c>
      <c r="Q109" t="s">
        <v>208</v>
      </c>
      <c r="R109">
        <v>169581.31</v>
      </c>
      <c r="S109">
        <v>4</v>
      </c>
      <c r="T109">
        <v>0.2</v>
      </c>
      <c r="U109">
        <v>-3329.72</v>
      </c>
    </row>
    <row r="110" spans="1:21">
      <c r="A110">
        <v>1003</v>
      </c>
      <c r="B110" t="s">
        <v>416</v>
      </c>
      <c r="C110" s="1">
        <v>45434</v>
      </c>
      <c r="D110" s="1">
        <v>45436</v>
      </c>
      <c r="E110" t="s">
        <v>69</v>
      </c>
      <c r="F110" t="s">
        <v>417</v>
      </c>
      <c r="G110" t="s">
        <v>174</v>
      </c>
      <c r="H110" t="s">
        <v>89</v>
      </c>
      <c r="I110" t="s">
        <v>26</v>
      </c>
      <c r="J110" t="s">
        <v>346</v>
      </c>
      <c r="K110" t="s">
        <v>132</v>
      </c>
      <c r="L110" t="s">
        <v>41</v>
      </c>
      <c r="M110" t="s">
        <v>74</v>
      </c>
      <c r="N110" t="s">
        <v>418</v>
      </c>
      <c r="O110" t="s">
        <v>83</v>
      </c>
      <c r="P110" t="s">
        <v>84</v>
      </c>
      <c r="Q110" t="s">
        <v>85</v>
      </c>
      <c r="R110">
        <v>9676.42</v>
      </c>
      <c r="S110">
        <v>4</v>
      </c>
      <c r="T110">
        <v>0.2</v>
      </c>
      <c r="U110">
        <v>961.45</v>
      </c>
    </row>
    <row r="111" spans="1:21">
      <c r="A111">
        <v>1553</v>
      </c>
      <c r="B111" t="s">
        <v>419</v>
      </c>
      <c r="C111" s="1">
        <v>45605</v>
      </c>
      <c r="D111" s="1">
        <v>45606</v>
      </c>
      <c r="E111" t="s">
        <v>48</v>
      </c>
      <c r="F111" t="s">
        <v>420</v>
      </c>
      <c r="G111" t="s">
        <v>147</v>
      </c>
      <c r="H111" t="s">
        <v>25</v>
      </c>
      <c r="I111" t="s">
        <v>26</v>
      </c>
      <c r="J111" t="s">
        <v>90</v>
      </c>
      <c r="K111" t="s">
        <v>91</v>
      </c>
      <c r="L111" t="s">
        <v>169</v>
      </c>
      <c r="M111" t="s">
        <v>118</v>
      </c>
      <c r="N111" t="s">
        <v>421</v>
      </c>
      <c r="O111" t="s">
        <v>32</v>
      </c>
      <c r="P111" t="s">
        <v>33</v>
      </c>
      <c r="Q111" t="s">
        <v>34</v>
      </c>
      <c r="R111">
        <v>5136.92</v>
      </c>
      <c r="S111">
        <v>4</v>
      </c>
      <c r="T111">
        <v>0.15</v>
      </c>
      <c r="U111">
        <v>655.65</v>
      </c>
    </row>
    <row r="112" spans="1:21">
      <c r="A112">
        <v>1652</v>
      </c>
      <c r="B112" t="s">
        <v>422</v>
      </c>
      <c r="C112" s="1">
        <v>45595</v>
      </c>
      <c r="D112" s="1">
        <v>45598</v>
      </c>
      <c r="E112" t="s">
        <v>48</v>
      </c>
      <c r="F112" t="s">
        <v>164</v>
      </c>
      <c r="G112" t="s">
        <v>114</v>
      </c>
      <c r="H112" t="s">
        <v>25</v>
      </c>
      <c r="I112" t="s">
        <v>26</v>
      </c>
      <c r="J112" t="s">
        <v>27</v>
      </c>
      <c r="K112" t="s">
        <v>28</v>
      </c>
      <c r="L112" t="s">
        <v>29</v>
      </c>
      <c r="M112" t="s">
        <v>118</v>
      </c>
      <c r="N112" t="s">
        <v>299</v>
      </c>
      <c r="O112" t="s">
        <v>293</v>
      </c>
      <c r="P112" t="s">
        <v>211</v>
      </c>
      <c r="Q112" t="s">
        <v>223</v>
      </c>
      <c r="R112">
        <v>11696.77</v>
      </c>
      <c r="S112">
        <v>7</v>
      </c>
      <c r="T112">
        <v>0</v>
      </c>
      <c r="U112">
        <v>1313.21</v>
      </c>
    </row>
    <row r="113" spans="1:21">
      <c r="A113">
        <v>1031</v>
      </c>
      <c r="B113" t="s">
        <v>423</v>
      </c>
      <c r="C113" s="1">
        <v>45574</v>
      </c>
      <c r="D113" s="1">
        <v>45580</v>
      </c>
      <c r="E113" t="s">
        <v>101</v>
      </c>
      <c r="F113" t="s">
        <v>142</v>
      </c>
      <c r="G113" t="s">
        <v>229</v>
      </c>
      <c r="H113" t="s">
        <v>25</v>
      </c>
      <c r="I113" t="s">
        <v>26</v>
      </c>
      <c r="J113" t="s">
        <v>27</v>
      </c>
      <c r="K113" t="s">
        <v>28</v>
      </c>
      <c r="L113" t="s">
        <v>41</v>
      </c>
      <c r="M113" t="s">
        <v>74</v>
      </c>
      <c r="N113" t="s">
        <v>424</v>
      </c>
      <c r="O113" t="s">
        <v>44</v>
      </c>
      <c r="P113" t="s">
        <v>211</v>
      </c>
      <c r="Q113" t="s">
        <v>212</v>
      </c>
      <c r="R113">
        <v>1650.08</v>
      </c>
      <c r="S113">
        <v>2</v>
      </c>
      <c r="T113">
        <v>0.3</v>
      </c>
      <c r="U113">
        <v>-124.22</v>
      </c>
    </row>
    <row r="114" spans="1:21">
      <c r="A114">
        <v>1631</v>
      </c>
      <c r="B114" t="s">
        <v>425</v>
      </c>
      <c r="C114" s="1">
        <v>45386</v>
      </c>
      <c r="D114" s="1">
        <v>45392</v>
      </c>
      <c r="E114" t="s">
        <v>48</v>
      </c>
      <c r="F114" t="s">
        <v>426</v>
      </c>
      <c r="G114" t="s">
        <v>50</v>
      </c>
      <c r="H114" t="s">
        <v>302</v>
      </c>
      <c r="I114" t="s">
        <v>26</v>
      </c>
      <c r="J114" t="s">
        <v>27</v>
      </c>
      <c r="K114" t="s">
        <v>28</v>
      </c>
      <c r="L114" t="s">
        <v>154</v>
      </c>
      <c r="M114" t="s">
        <v>127</v>
      </c>
      <c r="N114" t="s">
        <v>178</v>
      </c>
      <c r="O114" t="s">
        <v>44</v>
      </c>
      <c r="P114" t="s">
        <v>45</v>
      </c>
      <c r="Q114" t="s">
        <v>46</v>
      </c>
      <c r="R114">
        <v>31202.46</v>
      </c>
      <c r="S114">
        <v>1</v>
      </c>
      <c r="T114">
        <v>0.1</v>
      </c>
      <c r="U114">
        <v>1613.01</v>
      </c>
    </row>
    <row r="115" spans="1:21">
      <c r="A115">
        <v>1705</v>
      </c>
      <c r="B115" t="s">
        <v>427</v>
      </c>
      <c r="C115" s="1">
        <v>45351</v>
      </c>
      <c r="D115" s="1">
        <v>45355</v>
      </c>
      <c r="E115" t="s">
        <v>48</v>
      </c>
      <c r="F115" t="s">
        <v>260</v>
      </c>
      <c r="G115" t="s">
        <v>24</v>
      </c>
      <c r="H115" t="s">
        <v>153</v>
      </c>
      <c r="I115" t="s">
        <v>26</v>
      </c>
      <c r="J115" t="s">
        <v>52</v>
      </c>
      <c r="K115" t="s">
        <v>52</v>
      </c>
      <c r="L115" t="s">
        <v>29</v>
      </c>
      <c r="M115" t="s">
        <v>74</v>
      </c>
      <c r="N115" t="s">
        <v>428</v>
      </c>
      <c r="O115" t="s">
        <v>44</v>
      </c>
      <c r="P115" t="s">
        <v>45</v>
      </c>
      <c r="Q115" t="s">
        <v>46</v>
      </c>
      <c r="R115">
        <v>76632.45</v>
      </c>
      <c r="S115">
        <v>3</v>
      </c>
      <c r="T115">
        <v>0.3</v>
      </c>
      <c r="U115">
        <v>-7713.17</v>
      </c>
    </row>
    <row r="116" spans="1:21">
      <c r="A116">
        <v>1698</v>
      </c>
      <c r="B116" t="s">
        <v>429</v>
      </c>
      <c r="C116" s="1">
        <v>45298</v>
      </c>
      <c r="D116" s="1">
        <v>45300</v>
      </c>
      <c r="E116" t="s">
        <v>101</v>
      </c>
      <c r="F116" t="s">
        <v>192</v>
      </c>
      <c r="G116" t="s">
        <v>24</v>
      </c>
      <c r="H116" t="s">
        <v>310</v>
      </c>
      <c r="I116" t="s">
        <v>26</v>
      </c>
      <c r="J116" t="s">
        <v>131</v>
      </c>
      <c r="K116" t="s">
        <v>132</v>
      </c>
      <c r="L116" t="s">
        <v>29</v>
      </c>
      <c r="M116" t="s">
        <v>127</v>
      </c>
      <c r="N116" t="s">
        <v>430</v>
      </c>
      <c r="O116" t="s">
        <v>55</v>
      </c>
      <c r="P116" t="s">
        <v>98</v>
      </c>
      <c r="Q116" t="s">
        <v>99</v>
      </c>
      <c r="R116">
        <v>6233.09</v>
      </c>
      <c r="S116">
        <v>1</v>
      </c>
      <c r="T116">
        <v>0</v>
      </c>
      <c r="U116">
        <v>1161.29</v>
      </c>
    </row>
    <row r="117" spans="1:21">
      <c r="A117">
        <v>1212</v>
      </c>
      <c r="B117" t="s">
        <v>431</v>
      </c>
      <c r="C117" s="1">
        <v>45566</v>
      </c>
      <c r="D117" s="1">
        <v>45572</v>
      </c>
      <c r="E117" t="s">
        <v>69</v>
      </c>
      <c r="F117" t="s">
        <v>337</v>
      </c>
      <c r="G117" t="s">
        <v>78</v>
      </c>
      <c r="H117" t="s">
        <v>108</v>
      </c>
      <c r="I117" t="s">
        <v>26</v>
      </c>
      <c r="J117" t="s">
        <v>90</v>
      </c>
      <c r="K117" t="s">
        <v>91</v>
      </c>
      <c r="L117" t="s">
        <v>186</v>
      </c>
      <c r="M117" t="s">
        <v>81</v>
      </c>
      <c r="N117" t="s">
        <v>432</v>
      </c>
      <c r="O117" t="s">
        <v>44</v>
      </c>
      <c r="P117" t="s">
        <v>45</v>
      </c>
      <c r="Q117" t="s">
        <v>46</v>
      </c>
      <c r="R117">
        <v>168226.74</v>
      </c>
      <c r="S117">
        <v>5</v>
      </c>
      <c r="T117">
        <v>0</v>
      </c>
      <c r="U117">
        <v>18453.32</v>
      </c>
    </row>
    <row r="118" spans="1:21">
      <c r="A118">
        <v>1571</v>
      </c>
      <c r="B118" t="s">
        <v>433</v>
      </c>
      <c r="C118" s="1">
        <v>45586</v>
      </c>
      <c r="D118" s="1">
        <v>45587</v>
      </c>
      <c r="E118" t="s">
        <v>101</v>
      </c>
      <c r="F118" t="s">
        <v>434</v>
      </c>
      <c r="G118" t="s">
        <v>37</v>
      </c>
      <c r="H118" t="s">
        <v>38</v>
      </c>
      <c r="I118" t="s">
        <v>26</v>
      </c>
      <c r="J118" t="s">
        <v>109</v>
      </c>
      <c r="K118" t="s">
        <v>110</v>
      </c>
      <c r="L118" t="s">
        <v>29</v>
      </c>
      <c r="M118" t="s">
        <v>127</v>
      </c>
      <c r="N118" t="s">
        <v>435</v>
      </c>
      <c r="O118" t="s">
        <v>55</v>
      </c>
      <c r="P118" t="s">
        <v>66</v>
      </c>
      <c r="Q118" t="s">
        <v>67</v>
      </c>
      <c r="R118">
        <v>13412.35</v>
      </c>
      <c r="S118">
        <v>2</v>
      </c>
      <c r="T118">
        <v>0.25</v>
      </c>
      <c r="U118">
        <v>-30.98</v>
      </c>
    </row>
    <row r="119" spans="1:21">
      <c r="A119">
        <v>1697</v>
      </c>
      <c r="B119" t="s">
        <v>436</v>
      </c>
      <c r="C119" s="1">
        <v>45466</v>
      </c>
      <c r="D119" s="1">
        <v>45468</v>
      </c>
      <c r="E119" t="s">
        <v>69</v>
      </c>
      <c r="F119" t="s">
        <v>437</v>
      </c>
      <c r="G119" t="s">
        <v>50</v>
      </c>
      <c r="H119" t="s">
        <v>25</v>
      </c>
      <c r="I119" t="s">
        <v>26</v>
      </c>
      <c r="J119" t="s">
        <v>160</v>
      </c>
      <c r="K119" t="s">
        <v>161</v>
      </c>
      <c r="L119" t="s">
        <v>63</v>
      </c>
      <c r="M119" t="s">
        <v>127</v>
      </c>
      <c r="N119" t="s">
        <v>438</v>
      </c>
      <c r="O119" t="s">
        <v>138</v>
      </c>
      <c r="P119" t="s">
        <v>182</v>
      </c>
      <c r="Q119" t="s">
        <v>183</v>
      </c>
      <c r="R119">
        <v>724.58</v>
      </c>
      <c r="S119">
        <v>2</v>
      </c>
      <c r="T119">
        <v>0.15</v>
      </c>
      <c r="U119">
        <v>75</v>
      </c>
    </row>
    <row r="120" spans="1:21">
      <c r="A120">
        <v>1437</v>
      </c>
      <c r="B120" t="s">
        <v>439</v>
      </c>
      <c r="C120" s="1">
        <v>45399</v>
      </c>
      <c r="D120" s="1">
        <v>45403</v>
      </c>
      <c r="E120" t="s">
        <v>48</v>
      </c>
      <c r="F120" t="s">
        <v>203</v>
      </c>
      <c r="G120" t="s">
        <v>88</v>
      </c>
      <c r="H120" t="s">
        <v>51</v>
      </c>
      <c r="I120" t="s">
        <v>26</v>
      </c>
      <c r="J120" t="s">
        <v>39</v>
      </c>
      <c r="K120" t="s">
        <v>40</v>
      </c>
      <c r="L120" t="s">
        <v>186</v>
      </c>
      <c r="M120" t="s">
        <v>42</v>
      </c>
      <c r="N120" t="s">
        <v>440</v>
      </c>
      <c r="P120" t="s">
        <v>139</v>
      </c>
      <c r="Q120" t="s">
        <v>140</v>
      </c>
      <c r="R120">
        <v>728.92</v>
      </c>
      <c r="S120">
        <v>1</v>
      </c>
      <c r="T120">
        <v>0.25</v>
      </c>
      <c r="U120">
        <v>26.09</v>
      </c>
    </row>
    <row r="121" spans="1:21">
      <c r="A121">
        <v>1394</v>
      </c>
      <c r="B121" t="s">
        <v>441</v>
      </c>
      <c r="C121" s="1">
        <v>45297</v>
      </c>
      <c r="D121" s="1">
        <v>45302</v>
      </c>
      <c r="E121" t="s">
        <v>69</v>
      </c>
      <c r="F121" t="s">
        <v>442</v>
      </c>
      <c r="G121" t="s">
        <v>229</v>
      </c>
      <c r="H121" t="s">
        <v>108</v>
      </c>
      <c r="I121" t="s">
        <v>26</v>
      </c>
      <c r="J121" t="s">
        <v>115</v>
      </c>
      <c r="K121" t="s">
        <v>116</v>
      </c>
      <c r="L121" t="s">
        <v>169</v>
      </c>
      <c r="M121" t="s">
        <v>170</v>
      </c>
      <c r="N121" t="s">
        <v>443</v>
      </c>
      <c r="O121" t="s">
        <v>138</v>
      </c>
      <c r="P121" t="s">
        <v>156</v>
      </c>
      <c r="Q121" t="s">
        <v>157</v>
      </c>
      <c r="R121">
        <v>2156.39</v>
      </c>
      <c r="S121">
        <v>7</v>
      </c>
      <c r="T121" t="s">
        <v>444</v>
      </c>
      <c r="U121">
        <v>143.46</v>
      </c>
    </row>
    <row r="122" spans="1:21">
      <c r="A122">
        <v>1149</v>
      </c>
      <c r="B122" t="s">
        <v>445</v>
      </c>
      <c r="C122" s="1">
        <v>45532</v>
      </c>
      <c r="D122" s="1">
        <v>45533</v>
      </c>
      <c r="E122" t="s">
        <v>101</v>
      </c>
      <c r="F122" t="s">
        <v>446</v>
      </c>
      <c r="G122" t="s">
        <v>78</v>
      </c>
      <c r="H122" t="s">
        <v>108</v>
      </c>
      <c r="I122" t="s">
        <v>26</v>
      </c>
      <c r="J122" t="s">
        <v>52</v>
      </c>
      <c r="K122" t="s">
        <v>52</v>
      </c>
      <c r="L122" t="s">
        <v>41</v>
      </c>
      <c r="M122" t="s">
        <v>42</v>
      </c>
      <c r="N122" t="s">
        <v>447</v>
      </c>
      <c r="O122" t="s">
        <v>83</v>
      </c>
      <c r="P122" t="s">
        <v>84</v>
      </c>
      <c r="Q122" t="s">
        <v>85</v>
      </c>
      <c r="R122">
        <v>7511.03</v>
      </c>
      <c r="S122">
        <v>3</v>
      </c>
      <c r="T122">
        <v>0.25</v>
      </c>
      <c r="U122">
        <v>563.83000000000004</v>
      </c>
    </row>
    <row r="123" spans="1:21">
      <c r="A123">
        <v>1598</v>
      </c>
      <c r="B123" t="s">
        <v>448</v>
      </c>
      <c r="C123" s="1">
        <v>45645</v>
      </c>
      <c r="D123" s="1">
        <v>45648</v>
      </c>
      <c r="E123" t="s">
        <v>22</v>
      </c>
      <c r="F123" t="s">
        <v>449</v>
      </c>
      <c r="G123" t="s">
        <v>37</v>
      </c>
      <c r="H123" t="s">
        <v>51</v>
      </c>
      <c r="I123" t="s">
        <v>26</v>
      </c>
      <c r="J123" t="s">
        <v>160</v>
      </c>
      <c r="K123" t="s">
        <v>161</v>
      </c>
      <c r="L123" t="s">
        <v>215</v>
      </c>
      <c r="M123" t="s">
        <v>81</v>
      </c>
      <c r="N123" t="s">
        <v>450</v>
      </c>
      <c r="O123" t="s">
        <v>138</v>
      </c>
      <c r="P123" t="s">
        <v>156</v>
      </c>
      <c r="Q123" t="s">
        <v>157</v>
      </c>
      <c r="R123">
        <v>792.86</v>
      </c>
      <c r="S123">
        <v>3</v>
      </c>
      <c r="T123">
        <v>0.25</v>
      </c>
      <c r="U123">
        <v>35.26</v>
      </c>
    </row>
    <row r="124" spans="1:21">
      <c r="A124">
        <v>1736</v>
      </c>
      <c r="B124" t="s">
        <v>451</v>
      </c>
      <c r="C124" s="1">
        <v>45423</v>
      </c>
      <c r="D124" s="1">
        <v>45424</v>
      </c>
      <c r="E124" t="s">
        <v>22</v>
      </c>
      <c r="F124" t="s">
        <v>452</v>
      </c>
      <c r="G124" t="s">
        <v>136</v>
      </c>
      <c r="H124" t="s">
        <v>153</v>
      </c>
      <c r="I124" t="s">
        <v>26</v>
      </c>
      <c r="J124" t="s">
        <v>166</v>
      </c>
      <c r="K124" t="s">
        <v>132</v>
      </c>
      <c r="L124" t="s">
        <v>103</v>
      </c>
      <c r="M124" t="s">
        <v>42</v>
      </c>
      <c r="N124" t="s">
        <v>453</v>
      </c>
      <c r="O124" t="s">
        <v>55</v>
      </c>
      <c r="P124" t="s">
        <v>98</v>
      </c>
      <c r="Q124" t="s">
        <v>99</v>
      </c>
      <c r="R124">
        <v>14554.41</v>
      </c>
      <c r="S124">
        <v>3</v>
      </c>
      <c r="T124">
        <v>0.25</v>
      </c>
      <c r="U124">
        <v>-40.72</v>
      </c>
    </row>
    <row r="125" spans="1:21">
      <c r="A125">
        <v>1248</v>
      </c>
      <c r="B125" t="s">
        <v>454</v>
      </c>
      <c r="C125" s="1">
        <v>45522</v>
      </c>
      <c r="D125" s="1">
        <v>45527</v>
      </c>
      <c r="E125" t="s">
        <v>101</v>
      </c>
      <c r="F125" t="s">
        <v>262</v>
      </c>
      <c r="G125" t="s">
        <v>229</v>
      </c>
      <c r="H125" t="s">
        <v>51</v>
      </c>
      <c r="I125" t="s">
        <v>26</v>
      </c>
      <c r="J125" t="s">
        <v>109</v>
      </c>
      <c r="K125" t="s">
        <v>110</v>
      </c>
      <c r="L125" t="s">
        <v>92</v>
      </c>
      <c r="M125" t="s">
        <v>30</v>
      </c>
      <c r="N125" t="s">
        <v>455</v>
      </c>
      <c r="O125" t="s">
        <v>55</v>
      </c>
      <c r="P125" t="s">
        <v>98</v>
      </c>
      <c r="Q125" t="s">
        <v>99</v>
      </c>
      <c r="R125">
        <v>17179.63</v>
      </c>
      <c r="S125">
        <v>3</v>
      </c>
      <c r="T125">
        <v>0.1</v>
      </c>
      <c r="U125">
        <v>1512.4</v>
      </c>
    </row>
    <row r="126" spans="1:21">
      <c r="A126">
        <v>1357</v>
      </c>
      <c r="B126" t="s">
        <v>456</v>
      </c>
      <c r="C126" s="1">
        <v>45427</v>
      </c>
      <c r="D126" s="1">
        <v>45431</v>
      </c>
      <c r="E126" t="s">
        <v>22</v>
      </c>
      <c r="G126" t="s">
        <v>88</v>
      </c>
      <c r="H126" t="s">
        <v>51</v>
      </c>
      <c r="I126" t="s">
        <v>26</v>
      </c>
      <c r="J126" t="s">
        <v>131</v>
      </c>
      <c r="K126" t="s">
        <v>132</v>
      </c>
      <c r="L126" t="s">
        <v>92</v>
      </c>
      <c r="M126" t="s">
        <v>127</v>
      </c>
      <c r="N126" t="s">
        <v>457</v>
      </c>
      <c r="O126" t="s">
        <v>328</v>
      </c>
      <c r="P126" t="s">
        <v>189</v>
      </c>
      <c r="Q126" t="s">
        <v>190</v>
      </c>
      <c r="R126">
        <v>4907.58</v>
      </c>
      <c r="S126">
        <v>1</v>
      </c>
      <c r="T126">
        <v>0.15</v>
      </c>
      <c r="U126">
        <v>152.47</v>
      </c>
    </row>
    <row r="127" spans="1:21">
      <c r="A127">
        <v>1312</v>
      </c>
      <c r="B127" t="s">
        <v>458</v>
      </c>
      <c r="C127" s="1">
        <v>45654</v>
      </c>
      <c r="D127" s="1">
        <v>45660</v>
      </c>
      <c r="E127" t="s">
        <v>48</v>
      </c>
      <c r="F127" t="s">
        <v>260</v>
      </c>
      <c r="G127" t="s">
        <v>229</v>
      </c>
      <c r="H127" t="s">
        <v>38</v>
      </c>
      <c r="I127" t="s">
        <v>26</v>
      </c>
      <c r="J127" t="s">
        <v>131</v>
      </c>
      <c r="K127" t="s">
        <v>132</v>
      </c>
      <c r="L127" t="s">
        <v>63</v>
      </c>
      <c r="M127" t="s">
        <v>30</v>
      </c>
      <c r="N127" t="s">
        <v>459</v>
      </c>
      <c r="O127" t="s">
        <v>44</v>
      </c>
      <c r="P127" t="s">
        <v>211</v>
      </c>
      <c r="Q127" t="s">
        <v>223</v>
      </c>
      <c r="R127">
        <v>3525.39</v>
      </c>
      <c r="S127">
        <v>2</v>
      </c>
      <c r="T127">
        <v>0</v>
      </c>
      <c r="U127">
        <v>384.79</v>
      </c>
    </row>
    <row r="128" spans="1:21">
      <c r="A128">
        <v>1085</v>
      </c>
      <c r="B128" t="s">
        <v>460</v>
      </c>
      <c r="C128" s="1">
        <v>45489</v>
      </c>
      <c r="D128" s="1">
        <v>45495</v>
      </c>
      <c r="E128" t="s">
        <v>69</v>
      </c>
      <c r="F128" t="s">
        <v>461</v>
      </c>
      <c r="G128" t="s">
        <v>229</v>
      </c>
      <c r="H128" t="s">
        <v>51</v>
      </c>
      <c r="I128" t="s">
        <v>26</v>
      </c>
      <c r="J128" t="s">
        <v>27</v>
      </c>
      <c r="K128" t="s">
        <v>28</v>
      </c>
      <c r="L128" t="s">
        <v>92</v>
      </c>
      <c r="M128" t="s">
        <v>170</v>
      </c>
      <c r="N128" t="s">
        <v>321</v>
      </c>
      <c r="O128" t="s">
        <v>55</v>
      </c>
      <c r="P128" t="s">
        <v>98</v>
      </c>
      <c r="Q128" t="s">
        <v>99</v>
      </c>
      <c r="R128" t="s">
        <v>462</v>
      </c>
      <c r="S128">
        <v>4</v>
      </c>
      <c r="T128">
        <v>0.25</v>
      </c>
      <c r="U128">
        <v>-46.49</v>
      </c>
    </row>
    <row r="129" spans="1:21">
      <c r="A129">
        <v>1327</v>
      </c>
      <c r="B129" t="s">
        <v>463</v>
      </c>
      <c r="C129" s="1">
        <v>45380</v>
      </c>
      <c r="D129" s="1">
        <v>45383</v>
      </c>
      <c r="E129" t="s">
        <v>101</v>
      </c>
      <c r="F129" t="s">
        <v>291</v>
      </c>
      <c r="G129" t="s">
        <v>114</v>
      </c>
      <c r="H129" t="s">
        <v>51</v>
      </c>
      <c r="I129" t="s">
        <v>26</v>
      </c>
      <c r="J129" t="s">
        <v>109</v>
      </c>
      <c r="K129" t="s">
        <v>110</v>
      </c>
      <c r="L129" t="s">
        <v>29</v>
      </c>
      <c r="M129" t="s">
        <v>74</v>
      </c>
      <c r="N129" t="s">
        <v>464</v>
      </c>
      <c r="O129" t="s">
        <v>138</v>
      </c>
      <c r="P129" t="s">
        <v>156</v>
      </c>
      <c r="Q129" t="s">
        <v>157</v>
      </c>
      <c r="R129">
        <v>1155.8399999999999</v>
      </c>
      <c r="S129">
        <v>3</v>
      </c>
      <c r="T129">
        <v>0</v>
      </c>
      <c r="U129">
        <v>259.54000000000002</v>
      </c>
    </row>
    <row r="130" spans="1:21">
      <c r="A130">
        <v>1080</v>
      </c>
      <c r="B130" t="s">
        <v>465</v>
      </c>
      <c r="C130" s="1">
        <v>45655</v>
      </c>
      <c r="D130" s="1">
        <v>45657</v>
      </c>
      <c r="E130" t="s">
        <v>48</v>
      </c>
      <c r="F130" t="s">
        <v>198</v>
      </c>
      <c r="G130" t="s">
        <v>229</v>
      </c>
      <c r="H130" t="s">
        <v>108</v>
      </c>
      <c r="I130" t="s">
        <v>26</v>
      </c>
      <c r="J130" t="s">
        <v>131</v>
      </c>
      <c r="K130" t="s">
        <v>132</v>
      </c>
      <c r="L130" t="s">
        <v>29</v>
      </c>
      <c r="M130" t="s">
        <v>74</v>
      </c>
      <c r="N130" t="s">
        <v>466</v>
      </c>
      <c r="O130" t="s">
        <v>44</v>
      </c>
      <c r="P130" t="s">
        <v>207</v>
      </c>
      <c r="Q130" t="s">
        <v>208</v>
      </c>
      <c r="R130">
        <v>134506.29</v>
      </c>
      <c r="S130">
        <v>3</v>
      </c>
      <c r="T130">
        <v>0.1</v>
      </c>
      <c r="U130">
        <v>6743.46</v>
      </c>
    </row>
    <row r="131" spans="1:21">
      <c r="A131">
        <v>1739</v>
      </c>
      <c r="B131" t="s">
        <v>467</v>
      </c>
      <c r="C131" s="1">
        <v>45350</v>
      </c>
      <c r="D131" s="1">
        <v>45353</v>
      </c>
      <c r="E131" t="s">
        <v>22</v>
      </c>
      <c r="F131" t="s">
        <v>468</v>
      </c>
      <c r="G131" t="s">
        <v>165</v>
      </c>
      <c r="H131" t="s">
        <v>25</v>
      </c>
      <c r="I131" t="s">
        <v>26</v>
      </c>
      <c r="J131" t="s">
        <v>72</v>
      </c>
      <c r="K131" t="s">
        <v>73</v>
      </c>
      <c r="L131" t="s">
        <v>29</v>
      </c>
      <c r="M131" t="s">
        <v>74</v>
      </c>
      <c r="N131" t="s">
        <v>469</v>
      </c>
      <c r="O131" t="s">
        <v>83</v>
      </c>
      <c r="P131" t="s">
        <v>84</v>
      </c>
      <c r="Q131" t="s">
        <v>85</v>
      </c>
      <c r="R131">
        <v>2518.21</v>
      </c>
      <c r="S131">
        <v>1</v>
      </c>
      <c r="T131">
        <v>0.25</v>
      </c>
      <c r="U131">
        <v>249.24</v>
      </c>
    </row>
    <row r="132" spans="1:21">
      <c r="A132">
        <v>1389</v>
      </c>
      <c r="B132" t="s">
        <v>470</v>
      </c>
      <c r="C132" s="1">
        <v>45623</v>
      </c>
      <c r="D132" s="1">
        <v>45624</v>
      </c>
      <c r="E132" t="s">
        <v>69</v>
      </c>
      <c r="F132" t="s">
        <v>426</v>
      </c>
      <c r="G132" t="s">
        <v>165</v>
      </c>
      <c r="H132" t="s">
        <v>310</v>
      </c>
      <c r="I132" t="s">
        <v>26</v>
      </c>
      <c r="J132" t="s">
        <v>109</v>
      </c>
      <c r="K132" t="s">
        <v>110</v>
      </c>
      <c r="L132" t="s">
        <v>63</v>
      </c>
      <c r="M132" t="s">
        <v>74</v>
      </c>
      <c r="N132" t="s">
        <v>471</v>
      </c>
      <c r="O132" t="s">
        <v>357</v>
      </c>
      <c r="P132" t="s">
        <v>189</v>
      </c>
      <c r="Q132" t="s">
        <v>386</v>
      </c>
      <c r="R132">
        <v>4735.57</v>
      </c>
      <c r="S132">
        <v>3</v>
      </c>
      <c r="T132">
        <v>0.25</v>
      </c>
      <c r="U132">
        <v>-171.01</v>
      </c>
    </row>
    <row r="133" spans="1:21">
      <c r="A133">
        <v>1368</v>
      </c>
      <c r="B133" t="s">
        <v>472</v>
      </c>
      <c r="D133" s="1">
        <v>45527</v>
      </c>
      <c r="E133" t="s">
        <v>101</v>
      </c>
      <c r="F133" t="s">
        <v>225</v>
      </c>
      <c r="G133" t="s">
        <v>125</v>
      </c>
      <c r="H133" t="s">
        <v>51</v>
      </c>
      <c r="I133" t="s">
        <v>26</v>
      </c>
      <c r="J133" t="s">
        <v>39</v>
      </c>
      <c r="K133" t="s">
        <v>40</v>
      </c>
      <c r="L133" t="s">
        <v>117</v>
      </c>
      <c r="M133" t="s">
        <v>81</v>
      </c>
      <c r="N133" t="s">
        <v>473</v>
      </c>
      <c r="O133" t="s">
        <v>55</v>
      </c>
      <c r="P133" t="s">
        <v>56</v>
      </c>
      <c r="Q133" t="s">
        <v>57</v>
      </c>
      <c r="R133">
        <v>6333.64</v>
      </c>
      <c r="S133">
        <v>1</v>
      </c>
      <c r="T133">
        <v>0.1</v>
      </c>
      <c r="U133">
        <v>715.18</v>
      </c>
    </row>
    <row r="134" spans="1:21">
      <c r="A134">
        <v>1209</v>
      </c>
      <c r="B134" t="s">
        <v>474</v>
      </c>
      <c r="C134" s="1">
        <v>45576</v>
      </c>
      <c r="D134" s="1">
        <v>45580</v>
      </c>
      <c r="E134" t="s">
        <v>22</v>
      </c>
      <c r="F134" t="s">
        <v>378</v>
      </c>
      <c r="G134" t="s">
        <v>125</v>
      </c>
      <c r="H134" t="s">
        <v>389</v>
      </c>
      <c r="I134" t="s">
        <v>26</v>
      </c>
      <c r="J134" t="s">
        <v>79</v>
      </c>
      <c r="K134" t="s">
        <v>80</v>
      </c>
      <c r="L134" t="s">
        <v>29</v>
      </c>
      <c r="M134" t="s">
        <v>127</v>
      </c>
      <c r="N134" t="s">
        <v>475</v>
      </c>
      <c r="O134" t="s">
        <v>357</v>
      </c>
      <c r="P134" t="s">
        <v>189</v>
      </c>
      <c r="Q134" t="s">
        <v>190</v>
      </c>
      <c r="R134">
        <v>4206.07</v>
      </c>
      <c r="S134">
        <v>1</v>
      </c>
      <c r="T134">
        <v>0.25</v>
      </c>
      <c r="U134">
        <v>-124.99</v>
      </c>
    </row>
    <row r="135" spans="1:21">
      <c r="A135">
        <v>1134</v>
      </c>
      <c r="B135" t="s">
        <v>476</v>
      </c>
      <c r="C135" s="1">
        <v>45462</v>
      </c>
      <c r="D135" s="1">
        <v>45463</v>
      </c>
      <c r="E135" t="s">
        <v>69</v>
      </c>
      <c r="F135" t="s">
        <v>404</v>
      </c>
      <c r="G135" t="s">
        <v>174</v>
      </c>
      <c r="H135" t="s">
        <v>25</v>
      </c>
      <c r="I135" t="s">
        <v>26</v>
      </c>
      <c r="J135" t="s">
        <v>160</v>
      </c>
      <c r="K135" t="s">
        <v>161</v>
      </c>
      <c r="L135" t="s">
        <v>63</v>
      </c>
      <c r="M135" t="s">
        <v>81</v>
      </c>
      <c r="N135" t="s">
        <v>477</v>
      </c>
      <c r="O135" t="s">
        <v>188</v>
      </c>
      <c r="P135" t="s">
        <v>189</v>
      </c>
      <c r="Q135" t="s">
        <v>386</v>
      </c>
      <c r="R135">
        <v>12935.29</v>
      </c>
      <c r="S135">
        <v>6</v>
      </c>
      <c r="T135">
        <v>0.05</v>
      </c>
      <c r="U135">
        <v>1388.88</v>
      </c>
    </row>
    <row r="136" spans="1:21">
      <c r="A136">
        <v>1560</v>
      </c>
      <c r="B136" t="s">
        <v>478</v>
      </c>
      <c r="C136" s="1">
        <v>45496</v>
      </c>
      <c r="D136" s="1">
        <v>45500</v>
      </c>
      <c r="E136" t="s">
        <v>48</v>
      </c>
      <c r="F136" t="s">
        <v>479</v>
      </c>
      <c r="G136" t="s">
        <v>24</v>
      </c>
      <c r="H136" t="s">
        <v>25</v>
      </c>
      <c r="I136" t="s">
        <v>26</v>
      </c>
      <c r="J136" t="s">
        <v>115</v>
      </c>
      <c r="K136" t="s">
        <v>116</v>
      </c>
      <c r="L136" t="s">
        <v>92</v>
      </c>
      <c r="M136" t="s">
        <v>118</v>
      </c>
      <c r="N136" t="s">
        <v>480</v>
      </c>
      <c r="O136" t="s">
        <v>83</v>
      </c>
      <c r="P136" t="s">
        <v>84</v>
      </c>
      <c r="Q136" t="s">
        <v>85</v>
      </c>
      <c r="R136">
        <v>2155.9899999999998</v>
      </c>
      <c r="S136">
        <v>1</v>
      </c>
      <c r="T136">
        <v>0.3</v>
      </c>
      <c r="U136">
        <v>96.61</v>
      </c>
    </row>
    <row r="137" spans="1:21">
      <c r="A137">
        <v>1056</v>
      </c>
      <c r="B137" t="s">
        <v>481</v>
      </c>
      <c r="C137" s="1">
        <v>45495</v>
      </c>
      <c r="D137" s="1">
        <v>45501</v>
      </c>
      <c r="E137" t="s">
        <v>69</v>
      </c>
      <c r="F137" t="s">
        <v>482</v>
      </c>
      <c r="G137" t="s">
        <v>114</v>
      </c>
      <c r="H137" t="s">
        <v>108</v>
      </c>
      <c r="I137" t="s">
        <v>26</v>
      </c>
      <c r="J137" t="s">
        <v>79</v>
      </c>
      <c r="K137" t="s">
        <v>80</v>
      </c>
      <c r="L137" t="s">
        <v>92</v>
      </c>
      <c r="M137" t="s">
        <v>74</v>
      </c>
      <c r="N137" t="s">
        <v>483</v>
      </c>
      <c r="O137" t="s">
        <v>94</v>
      </c>
      <c r="P137" t="s">
        <v>207</v>
      </c>
      <c r="Q137" t="s">
        <v>208</v>
      </c>
      <c r="R137">
        <v>113064.15</v>
      </c>
      <c r="S137">
        <v>3</v>
      </c>
      <c r="T137">
        <v>0.25</v>
      </c>
      <c r="U137">
        <v>-4930.3999999999996</v>
      </c>
    </row>
    <row r="138" spans="1:21">
      <c r="A138">
        <v>1221</v>
      </c>
      <c r="B138" t="s">
        <v>484</v>
      </c>
      <c r="C138" s="1">
        <v>45563</v>
      </c>
      <c r="D138" s="1">
        <v>45569</v>
      </c>
      <c r="E138" t="s">
        <v>48</v>
      </c>
      <c r="F138" t="s">
        <v>420</v>
      </c>
      <c r="G138" t="s">
        <v>78</v>
      </c>
      <c r="H138" t="s">
        <v>51</v>
      </c>
      <c r="I138" t="s">
        <v>26</v>
      </c>
      <c r="J138" t="s">
        <v>346</v>
      </c>
      <c r="K138" t="s">
        <v>132</v>
      </c>
      <c r="L138" t="s">
        <v>41</v>
      </c>
      <c r="M138" t="s">
        <v>170</v>
      </c>
      <c r="N138" t="s">
        <v>485</v>
      </c>
      <c r="O138" t="s">
        <v>44</v>
      </c>
      <c r="P138" t="s">
        <v>207</v>
      </c>
      <c r="Q138" t="s">
        <v>208</v>
      </c>
      <c r="R138">
        <v>97091.7</v>
      </c>
      <c r="S138">
        <v>2</v>
      </c>
      <c r="T138">
        <v>0</v>
      </c>
      <c r="U138">
        <v>13278.76</v>
      </c>
    </row>
    <row r="139" spans="1:21">
      <c r="A139">
        <v>1449</v>
      </c>
      <c r="B139" t="s">
        <v>486</v>
      </c>
      <c r="C139" s="1">
        <v>45572</v>
      </c>
      <c r="D139" s="1">
        <v>45576</v>
      </c>
      <c r="E139" t="s">
        <v>69</v>
      </c>
      <c r="F139" t="s">
        <v>324</v>
      </c>
      <c r="G139" t="s">
        <v>136</v>
      </c>
      <c r="H139" t="s">
        <v>51</v>
      </c>
      <c r="I139" t="s">
        <v>26</v>
      </c>
      <c r="J139" t="s">
        <v>61</v>
      </c>
      <c r="K139" t="s">
        <v>62</v>
      </c>
      <c r="L139" t="s">
        <v>92</v>
      </c>
      <c r="M139" t="s">
        <v>170</v>
      </c>
      <c r="N139" t="s">
        <v>243</v>
      </c>
      <c r="O139" t="s">
        <v>120</v>
      </c>
      <c r="P139" t="s">
        <v>182</v>
      </c>
      <c r="Q139" t="s">
        <v>183</v>
      </c>
      <c r="R139">
        <v>2219.04</v>
      </c>
      <c r="S139">
        <v>6</v>
      </c>
      <c r="T139">
        <v>0.15</v>
      </c>
      <c r="U139">
        <v>272.52999999999997</v>
      </c>
    </row>
    <row r="140" spans="1:21">
      <c r="A140">
        <v>1527</v>
      </c>
      <c r="B140" t="s">
        <v>487</v>
      </c>
      <c r="C140" s="1">
        <v>45381</v>
      </c>
      <c r="D140" s="1">
        <v>45382</v>
      </c>
      <c r="E140" t="s">
        <v>48</v>
      </c>
      <c r="F140" t="s">
        <v>274</v>
      </c>
      <c r="G140" t="s">
        <v>229</v>
      </c>
      <c r="H140" t="s">
        <v>126</v>
      </c>
      <c r="I140" t="s">
        <v>26</v>
      </c>
      <c r="J140" t="s">
        <v>39</v>
      </c>
      <c r="K140" t="s">
        <v>40</v>
      </c>
      <c r="L140" t="s">
        <v>92</v>
      </c>
      <c r="M140" t="s">
        <v>74</v>
      </c>
      <c r="N140" t="s">
        <v>488</v>
      </c>
      <c r="O140" t="s">
        <v>188</v>
      </c>
      <c r="P140" t="s">
        <v>189</v>
      </c>
      <c r="Q140" t="s">
        <v>386</v>
      </c>
      <c r="R140">
        <v>2001.37</v>
      </c>
      <c r="S140">
        <v>1</v>
      </c>
      <c r="T140">
        <v>0.15</v>
      </c>
      <c r="U140">
        <v>74.760000000000005</v>
      </c>
    </row>
    <row r="141" spans="1:21">
      <c r="A141">
        <v>1332</v>
      </c>
      <c r="B141" t="s">
        <v>489</v>
      </c>
      <c r="C141" s="1">
        <v>45432</v>
      </c>
      <c r="D141" s="1">
        <v>45435</v>
      </c>
      <c r="E141" t="s">
        <v>101</v>
      </c>
      <c r="F141" t="s">
        <v>490</v>
      </c>
      <c r="G141" t="s">
        <v>37</v>
      </c>
      <c r="H141" t="s">
        <v>51</v>
      </c>
      <c r="I141" t="s">
        <v>26</v>
      </c>
      <c r="J141" t="s">
        <v>72</v>
      </c>
      <c r="K141" t="s">
        <v>73</v>
      </c>
      <c r="L141" t="s">
        <v>41</v>
      </c>
      <c r="M141" t="s">
        <v>81</v>
      </c>
      <c r="N141" t="s">
        <v>491</v>
      </c>
      <c r="O141" t="s">
        <v>44</v>
      </c>
      <c r="P141" t="s">
        <v>207</v>
      </c>
      <c r="Q141" t="s">
        <v>208</v>
      </c>
      <c r="R141">
        <v>285552.25</v>
      </c>
      <c r="S141">
        <v>6</v>
      </c>
      <c r="T141">
        <v>0.1</v>
      </c>
      <c r="U141">
        <v>11161.55</v>
      </c>
    </row>
    <row r="142" spans="1:21">
      <c r="A142">
        <v>1635</v>
      </c>
      <c r="B142" t="s">
        <v>492</v>
      </c>
      <c r="C142" s="1">
        <v>45577</v>
      </c>
      <c r="D142" s="1">
        <v>45583</v>
      </c>
      <c r="E142" t="s">
        <v>22</v>
      </c>
      <c r="F142" t="s">
        <v>285</v>
      </c>
      <c r="G142" t="s">
        <v>174</v>
      </c>
      <c r="H142" t="s">
        <v>38</v>
      </c>
      <c r="I142" t="s">
        <v>26</v>
      </c>
      <c r="J142" t="s">
        <v>131</v>
      </c>
      <c r="K142" t="s">
        <v>132</v>
      </c>
      <c r="L142" t="s">
        <v>334</v>
      </c>
      <c r="M142" t="s">
        <v>74</v>
      </c>
      <c r="N142" t="s">
        <v>493</v>
      </c>
      <c r="O142" t="s">
        <v>138</v>
      </c>
      <c r="P142" t="s">
        <v>121</v>
      </c>
      <c r="Q142" t="s">
        <v>122</v>
      </c>
      <c r="R142">
        <v>2245.37</v>
      </c>
      <c r="S142">
        <v>4</v>
      </c>
      <c r="T142">
        <v>0.15</v>
      </c>
      <c r="U142">
        <v>206.18</v>
      </c>
    </row>
    <row r="143" spans="1:21">
      <c r="A143">
        <v>1336</v>
      </c>
      <c r="B143" t="s">
        <v>494</v>
      </c>
      <c r="C143" s="1">
        <v>45508</v>
      </c>
      <c r="D143" s="1">
        <v>45512</v>
      </c>
      <c r="E143" t="s">
        <v>48</v>
      </c>
      <c r="F143" t="s">
        <v>192</v>
      </c>
      <c r="G143" t="s">
        <v>78</v>
      </c>
      <c r="H143" t="s">
        <v>108</v>
      </c>
      <c r="I143" t="s">
        <v>26</v>
      </c>
      <c r="J143" t="s">
        <v>79</v>
      </c>
      <c r="K143" t="s">
        <v>80</v>
      </c>
      <c r="L143" t="s">
        <v>92</v>
      </c>
      <c r="M143" t="s">
        <v>118</v>
      </c>
      <c r="N143" t="s">
        <v>495</v>
      </c>
      <c r="O143" t="s">
        <v>83</v>
      </c>
      <c r="P143" t="s">
        <v>84</v>
      </c>
      <c r="Q143" t="s">
        <v>85</v>
      </c>
      <c r="R143">
        <v>10311.41</v>
      </c>
      <c r="S143">
        <v>4</v>
      </c>
      <c r="T143">
        <v>0.15</v>
      </c>
      <c r="U143">
        <v>1884.44</v>
      </c>
    </row>
    <row r="144" spans="1:21">
      <c r="A144">
        <v>1061</v>
      </c>
      <c r="B144" t="s">
        <v>496</v>
      </c>
      <c r="C144" s="1">
        <v>45435</v>
      </c>
      <c r="D144" s="1">
        <v>45440</v>
      </c>
      <c r="E144" t="s">
        <v>48</v>
      </c>
      <c r="F144" t="s">
        <v>142</v>
      </c>
      <c r="G144" t="s">
        <v>229</v>
      </c>
      <c r="H144" t="s">
        <v>51</v>
      </c>
      <c r="I144" t="s">
        <v>26</v>
      </c>
      <c r="J144" t="s">
        <v>166</v>
      </c>
      <c r="K144" t="s">
        <v>132</v>
      </c>
      <c r="L144" t="s">
        <v>92</v>
      </c>
      <c r="M144" t="s">
        <v>74</v>
      </c>
      <c r="N144" t="s">
        <v>497</v>
      </c>
      <c r="O144" t="s">
        <v>120</v>
      </c>
      <c r="P144" t="s">
        <v>182</v>
      </c>
      <c r="Q144" t="s">
        <v>183</v>
      </c>
      <c r="R144">
        <v>1888.54</v>
      </c>
      <c r="S144">
        <v>5</v>
      </c>
      <c r="T144">
        <v>0.2</v>
      </c>
      <c r="U144">
        <v>158.38</v>
      </c>
    </row>
    <row r="145" spans="1:21">
      <c r="A145">
        <v>1334</v>
      </c>
      <c r="B145" t="s">
        <v>498</v>
      </c>
      <c r="C145" s="1">
        <v>45584</v>
      </c>
      <c r="D145" s="1">
        <v>45586</v>
      </c>
      <c r="E145" t="s">
        <v>69</v>
      </c>
      <c r="F145" t="s">
        <v>499</v>
      </c>
      <c r="G145" t="s">
        <v>107</v>
      </c>
      <c r="H145" t="s">
        <v>51</v>
      </c>
      <c r="I145" t="s">
        <v>26</v>
      </c>
      <c r="J145" t="s">
        <v>160</v>
      </c>
      <c r="K145" t="s">
        <v>161</v>
      </c>
      <c r="L145" t="s">
        <v>92</v>
      </c>
      <c r="M145" t="s">
        <v>42</v>
      </c>
      <c r="N145" t="s">
        <v>500</v>
      </c>
      <c r="O145" t="s">
        <v>94</v>
      </c>
      <c r="P145" t="s">
        <v>45</v>
      </c>
      <c r="Q145" t="s">
        <v>46</v>
      </c>
      <c r="R145">
        <v>65619.759999999995</v>
      </c>
      <c r="S145">
        <v>2</v>
      </c>
      <c r="T145">
        <v>0.05</v>
      </c>
      <c r="U145">
        <v>4222.72</v>
      </c>
    </row>
    <row r="146" spans="1:21">
      <c r="A146">
        <v>1504</v>
      </c>
      <c r="B146" t="s">
        <v>501</v>
      </c>
      <c r="C146" s="1">
        <v>45558</v>
      </c>
      <c r="D146" s="1">
        <v>45559</v>
      </c>
      <c r="E146" t="s">
        <v>101</v>
      </c>
      <c r="F146" t="s">
        <v>192</v>
      </c>
      <c r="G146" t="s">
        <v>88</v>
      </c>
      <c r="H146" t="s">
        <v>108</v>
      </c>
      <c r="I146" t="s">
        <v>26</v>
      </c>
      <c r="J146" t="s">
        <v>109</v>
      </c>
      <c r="K146" t="s">
        <v>110</v>
      </c>
      <c r="L146" t="s">
        <v>41</v>
      </c>
      <c r="M146" t="s">
        <v>30</v>
      </c>
      <c r="N146" t="s">
        <v>502</v>
      </c>
      <c r="O146" t="s">
        <v>138</v>
      </c>
      <c r="P146" t="s">
        <v>139</v>
      </c>
      <c r="Q146" t="s">
        <v>140</v>
      </c>
      <c r="R146">
        <v>2937.68</v>
      </c>
      <c r="S146">
        <v>3</v>
      </c>
      <c r="T146">
        <v>0</v>
      </c>
      <c r="U146">
        <v>690.12</v>
      </c>
    </row>
    <row r="147" spans="1:21">
      <c r="A147">
        <v>1621</v>
      </c>
      <c r="B147" t="s">
        <v>503</v>
      </c>
      <c r="C147" s="1">
        <v>45589</v>
      </c>
      <c r="D147" s="1">
        <v>45593</v>
      </c>
      <c r="E147" t="s">
        <v>101</v>
      </c>
      <c r="F147" t="s">
        <v>301</v>
      </c>
      <c r="G147" t="s">
        <v>78</v>
      </c>
      <c r="H147" t="s">
        <v>51</v>
      </c>
      <c r="I147" t="s">
        <v>26</v>
      </c>
      <c r="J147" t="s">
        <v>27</v>
      </c>
      <c r="K147" t="s">
        <v>28</v>
      </c>
      <c r="L147" t="s">
        <v>29</v>
      </c>
      <c r="M147" t="s">
        <v>81</v>
      </c>
      <c r="N147" t="s">
        <v>504</v>
      </c>
      <c r="O147" t="s">
        <v>55</v>
      </c>
      <c r="P147" t="s">
        <v>66</v>
      </c>
      <c r="Q147" t="s">
        <v>67</v>
      </c>
      <c r="R147">
        <v>57608.5</v>
      </c>
      <c r="S147">
        <v>8</v>
      </c>
      <c r="T147">
        <v>0.2</v>
      </c>
      <c r="U147">
        <v>1967.27</v>
      </c>
    </row>
    <row r="148" spans="1:21">
      <c r="A148">
        <v>1328</v>
      </c>
      <c r="B148" t="s">
        <v>505</v>
      </c>
      <c r="C148" s="1">
        <v>45482</v>
      </c>
      <c r="D148" s="1">
        <v>45483</v>
      </c>
      <c r="E148" t="s">
        <v>48</v>
      </c>
      <c r="F148" t="s">
        <v>159</v>
      </c>
      <c r="H148" t="s">
        <v>51</v>
      </c>
      <c r="I148" t="s">
        <v>26</v>
      </c>
      <c r="J148" t="s">
        <v>226</v>
      </c>
      <c r="K148" t="s">
        <v>110</v>
      </c>
      <c r="L148" t="s">
        <v>63</v>
      </c>
      <c r="M148" t="s">
        <v>42</v>
      </c>
      <c r="N148" t="s">
        <v>506</v>
      </c>
      <c r="O148" t="s">
        <v>83</v>
      </c>
      <c r="P148" t="s">
        <v>33</v>
      </c>
      <c r="Q148" t="s">
        <v>34</v>
      </c>
      <c r="R148">
        <v>4707.95</v>
      </c>
      <c r="S148">
        <v>4</v>
      </c>
      <c r="T148">
        <v>0.15</v>
      </c>
      <c r="U148">
        <v>584.27</v>
      </c>
    </row>
    <row r="149" spans="1:21">
      <c r="A149">
        <v>1214</v>
      </c>
      <c r="B149" t="s">
        <v>507</v>
      </c>
      <c r="C149" s="1">
        <v>45648</v>
      </c>
      <c r="D149" s="1">
        <v>45653</v>
      </c>
      <c r="E149" t="s">
        <v>69</v>
      </c>
      <c r="F149" t="s">
        <v>238</v>
      </c>
      <c r="G149" t="s">
        <v>71</v>
      </c>
      <c r="H149" t="s">
        <v>25</v>
      </c>
      <c r="I149" t="s">
        <v>26</v>
      </c>
      <c r="J149" t="s">
        <v>160</v>
      </c>
      <c r="K149" t="s">
        <v>161</v>
      </c>
      <c r="L149" t="s">
        <v>154</v>
      </c>
      <c r="M149" t="s">
        <v>170</v>
      </c>
      <c r="N149" t="s">
        <v>508</v>
      </c>
      <c r="O149" t="s">
        <v>94</v>
      </c>
      <c r="P149" t="s">
        <v>45</v>
      </c>
      <c r="Q149" t="s">
        <v>46</v>
      </c>
      <c r="R149">
        <v>128387.58</v>
      </c>
      <c r="S149">
        <v>4</v>
      </c>
      <c r="T149">
        <v>0.1</v>
      </c>
      <c r="U149">
        <v>6897.41</v>
      </c>
    </row>
    <row r="150" spans="1:21">
      <c r="A150">
        <v>1381</v>
      </c>
      <c r="B150" t="s">
        <v>509</v>
      </c>
      <c r="C150" s="1">
        <v>45391</v>
      </c>
      <c r="D150" s="1">
        <v>45394</v>
      </c>
      <c r="E150" t="s">
        <v>101</v>
      </c>
      <c r="F150" t="s">
        <v>370</v>
      </c>
      <c r="G150" t="s">
        <v>125</v>
      </c>
      <c r="H150" t="s">
        <v>25</v>
      </c>
      <c r="I150" t="s">
        <v>26</v>
      </c>
      <c r="J150" t="s">
        <v>90</v>
      </c>
      <c r="K150" t="s">
        <v>91</v>
      </c>
      <c r="L150" t="s">
        <v>41</v>
      </c>
      <c r="M150" t="s">
        <v>30</v>
      </c>
      <c r="N150" t="s">
        <v>510</v>
      </c>
      <c r="O150" t="s">
        <v>32</v>
      </c>
      <c r="P150" t="s">
        <v>33</v>
      </c>
      <c r="Q150" t="s">
        <v>34</v>
      </c>
      <c r="R150">
        <v>2379.56</v>
      </c>
      <c r="S150">
        <v>2</v>
      </c>
      <c r="T150">
        <v>0.1</v>
      </c>
      <c r="U150">
        <v>398.78</v>
      </c>
    </row>
    <row r="151" spans="1:21">
      <c r="A151">
        <v>1358</v>
      </c>
      <c r="B151" t="s">
        <v>511</v>
      </c>
      <c r="C151" s="1">
        <v>45351</v>
      </c>
      <c r="D151" s="1">
        <v>45352</v>
      </c>
      <c r="E151" t="s">
        <v>22</v>
      </c>
      <c r="F151" t="s">
        <v>512</v>
      </c>
      <c r="G151" t="s">
        <v>88</v>
      </c>
      <c r="H151" t="s">
        <v>51</v>
      </c>
      <c r="I151" t="s">
        <v>26</v>
      </c>
      <c r="J151" t="s">
        <v>61</v>
      </c>
      <c r="K151" t="s">
        <v>62</v>
      </c>
      <c r="L151" t="s">
        <v>92</v>
      </c>
      <c r="M151" t="s">
        <v>81</v>
      </c>
      <c r="N151" t="s">
        <v>513</v>
      </c>
      <c r="O151" t="s">
        <v>55</v>
      </c>
      <c r="P151" t="s">
        <v>66</v>
      </c>
      <c r="Q151" t="s">
        <v>67</v>
      </c>
      <c r="R151">
        <v>24883.38</v>
      </c>
      <c r="S151">
        <v>4</v>
      </c>
      <c r="T151">
        <v>0.25</v>
      </c>
      <c r="U151">
        <v>-75.569999999999993</v>
      </c>
    </row>
    <row r="152" spans="1:21">
      <c r="A152">
        <v>1091</v>
      </c>
      <c r="B152" t="s">
        <v>514</v>
      </c>
      <c r="C152" s="1">
        <v>45410</v>
      </c>
      <c r="D152" s="1">
        <v>45414</v>
      </c>
      <c r="E152" t="s">
        <v>48</v>
      </c>
      <c r="F152" t="s">
        <v>192</v>
      </c>
      <c r="G152" t="s">
        <v>78</v>
      </c>
      <c r="H152" t="s">
        <v>389</v>
      </c>
      <c r="I152" t="s">
        <v>26</v>
      </c>
      <c r="J152" t="s">
        <v>109</v>
      </c>
      <c r="K152" t="s">
        <v>110</v>
      </c>
      <c r="L152" t="s">
        <v>41</v>
      </c>
      <c r="M152" t="s">
        <v>127</v>
      </c>
      <c r="N152" t="s">
        <v>515</v>
      </c>
      <c r="O152" t="s">
        <v>138</v>
      </c>
      <c r="P152" t="s">
        <v>139</v>
      </c>
      <c r="Q152" t="s">
        <v>140</v>
      </c>
      <c r="R152">
        <v>2638.65</v>
      </c>
      <c r="S152">
        <v>3</v>
      </c>
      <c r="T152">
        <v>0.05</v>
      </c>
      <c r="U152">
        <v>356.56</v>
      </c>
    </row>
    <row r="153" spans="1:21">
      <c r="A153">
        <v>1362</v>
      </c>
      <c r="B153" t="s">
        <v>516</v>
      </c>
      <c r="C153" s="1">
        <v>45349</v>
      </c>
      <c r="D153" s="1">
        <v>45353</v>
      </c>
      <c r="E153" t="s">
        <v>101</v>
      </c>
      <c r="F153" t="s">
        <v>517</v>
      </c>
      <c r="G153" t="s">
        <v>50</v>
      </c>
      <c r="H153" t="s">
        <v>302</v>
      </c>
      <c r="I153" t="s">
        <v>26</v>
      </c>
      <c r="J153" t="s">
        <v>61</v>
      </c>
      <c r="K153" t="s">
        <v>62</v>
      </c>
      <c r="L153" t="s">
        <v>63</v>
      </c>
      <c r="M153" t="s">
        <v>81</v>
      </c>
      <c r="N153" t="s">
        <v>518</v>
      </c>
      <c r="O153" t="s">
        <v>83</v>
      </c>
      <c r="P153" t="s">
        <v>33</v>
      </c>
      <c r="Q153" t="s">
        <v>34</v>
      </c>
      <c r="R153">
        <v>912.03</v>
      </c>
      <c r="S153">
        <v>1</v>
      </c>
      <c r="T153">
        <v>0.3</v>
      </c>
      <c r="U153">
        <v>56.21</v>
      </c>
    </row>
    <row r="154" spans="1:21">
      <c r="A154">
        <v>1213</v>
      </c>
      <c r="B154" t="s">
        <v>519</v>
      </c>
      <c r="C154" s="1">
        <v>45537</v>
      </c>
      <c r="D154" s="1">
        <v>45539</v>
      </c>
      <c r="E154" t="s">
        <v>48</v>
      </c>
      <c r="F154" t="s">
        <v>520</v>
      </c>
      <c r="G154" t="s">
        <v>521</v>
      </c>
      <c r="H154" t="s">
        <v>302</v>
      </c>
      <c r="I154" t="s">
        <v>26</v>
      </c>
      <c r="J154" t="s">
        <v>79</v>
      </c>
      <c r="K154" t="s">
        <v>80</v>
      </c>
      <c r="L154" t="s">
        <v>53</v>
      </c>
      <c r="M154" t="s">
        <v>30</v>
      </c>
      <c r="N154" t="s">
        <v>522</v>
      </c>
      <c r="O154" t="s">
        <v>44</v>
      </c>
      <c r="P154" t="s">
        <v>207</v>
      </c>
      <c r="Q154" t="s">
        <v>208</v>
      </c>
      <c r="R154">
        <v>43487</v>
      </c>
      <c r="T154">
        <v>0.1</v>
      </c>
      <c r="U154">
        <v>2005.38</v>
      </c>
    </row>
    <row r="155" spans="1:21">
      <c r="A155">
        <v>1070</v>
      </c>
      <c r="B155" t="s">
        <v>523</v>
      </c>
      <c r="C155" s="1">
        <v>45372</v>
      </c>
      <c r="D155" s="1">
        <v>45374</v>
      </c>
      <c r="E155" t="s">
        <v>69</v>
      </c>
      <c r="F155" t="s">
        <v>198</v>
      </c>
      <c r="G155" t="s">
        <v>50</v>
      </c>
      <c r="H155" t="s">
        <v>153</v>
      </c>
      <c r="I155" t="s">
        <v>26</v>
      </c>
      <c r="J155" t="s">
        <v>131</v>
      </c>
      <c r="K155" t="s">
        <v>132</v>
      </c>
      <c r="L155" t="s">
        <v>154</v>
      </c>
      <c r="M155" t="s">
        <v>74</v>
      </c>
      <c r="N155" t="s">
        <v>524</v>
      </c>
      <c r="O155" t="s">
        <v>83</v>
      </c>
      <c r="P155" t="s">
        <v>84</v>
      </c>
      <c r="Q155" t="s">
        <v>85</v>
      </c>
      <c r="R155">
        <v>3130.18</v>
      </c>
      <c r="S155">
        <v>1</v>
      </c>
      <c r="T155">
        <v>0</v>
      </c>
      <c r="U155">
        <v>967.14</v>
      </c>
    </row>
    <row r="156" spans="1:21">
      <c r="A156">
        <v>1627</v>
      </c>
      <c r="B156" t="s">
        <v>525</v>
      </c>
      <c r="C156" s="1">
        <v>45470</v>
      </c>
      <c r="D156" s="1">
        <v>45473</v>
      </c>
      <c r="E156" t="s">
        <v>48</v>
      </c>
      <c r="F156" t="s">
        <v>526</v>
      </c>
      <c r="G156" t="s">
        <v>88</v>
      </c>
      <c r="H156" t="s">
        <v>25</v>
      </c>
      <c r="I156" t="s">
        <v>26</v>
      </c>
      <c r="J156" t="s">
        <v>131</v>
      </c>
      <c r="K156" t="s">
        <v>132</v>
      </c>
      <c r="L156" t="s">
        <v>29</v>
      </c>
      <c r="M156" t="s">
        <v>170</v>
      </c>
      <c r="N156" t="s">
        <v>527</v>
      </c>
      <c r="O156" t="s">
        <v>44</v>
      </c>
      <c r="P156" t="s">
        <v>45</v>
      </c>
      <c r="Q156" t="s">
        <v>46</v>
      </c>
      <c r="R156">
        <v>141941.92000000001</v>
      </c>
      <c r="S156">
        <v>6</v>
      </c>
      <c r="T156">
        <v>0.3</v>
      </c>
      <c r="U156">
        <v>-9803.98</v>
      </c>
    </row>
    <row r="157" spans="1:21">
      <c r="A157">
        <v>1132</v>
      </c>
      <c r="B157" t="s">
        <v>528</v>
      </c>
      <c r="C157" s="1">
        <v>45516</v>
      </c>
      <c r="D157" s="1">
        <v>45521</v>
      </c>
      <c r="E157" t="s">
        <v>69</v>
      </c>
      <c r="F157" t="s">
        <v>203</v>
      </c>
      <c r="G157" t="s">
        <v>174</v>
      </c>
      <c r="H157" t="s">
        <v>51</v>
      </c>
      <c r="I157" t="s">
        <v>26</v>
      </c>
      <c r="J157" t="s">
        <v>52</v>
      </c>
      <c r="K157" t="s">
        <v>52</v>
      </c>
      <c r="L157" t="s">
        <v>215</v>
      </c>
      <c r="M157" t="s">
        <v>118</v>
      </c>
      <c r="N157" t="s">
        <v>524</v>
      </c>
      <c r="O157" t="s">
        <v>138</v>
      </c>
      <c r="P157" t="s">
        <v>156</v>
      </c>
      <c r="Q157" t="s">
        <v>157</v>
      </c>
      <c r="R157">
        <v>250.68</v>
      </c>
      <c r="S157">
        <v>1</v>
      </c>
      <c r="T157">
        <v>0.3</v>
      </c>
      <c r="U157">
        <v>1.26</v>
      </c>
    </row>
    <row r="158" spans="1:21">
      <c r="A158">
        <v>1045</v>
      </c>
      <c r="B158" t="s">
        <v>529</v>
      </c>
      <c r="C158" s="1">
        <v>45633</v>
      </c>
      <c r="D158" s="1">
        <v>45638</v>
      </c>
      <c r="E158" t="s">
        <v>48</v>
      </c>
      <c r="F158" t="s">
        <v>106</v>
      </c>
      <c r="G158" t="s">
        <v>71</v>
      </c>
      <c r="H158" t="s">
        <v>25</v>
      </c>
      <c r="I158" t="s">
        <v>26</v>
      </c>
      <c r="J158" t="s">
        <v>72</v>
      </c>
      <c r="K158" t="s">
        <v>73</v>
      </c>
      <c r="L158" t="s">
        <v>186</v>
      </c>
      <c r="M158" t="s">
        <v>170</v>
      </c>
      <c r="N158" t="s">
        <v>530</v>
      </c>
      <c r="O158" t="s">
        <v>328</v>
      </c>
      <c r="P158" t="s">
        <v>189</v>
      </c>
      <c r="Q158" t="s">
        <v>190</v>
      </c>
      <c r="R158">
        <v>8623.07</v>
      </c>
      <c r="S158">
        <v>2</v>
      </c>
      <c r="T158">
        <v>0.3</v>
      </c>
      <c r="U158">
        <v>-552.71</v>
      </c>
    </row>
    <row r="159" spans="1:21">
      <c r="A159">
        <v>1071</v>
      </c>
      <c r="B159" t="s">
        <v>531</v>
      </c>
      <c r="C159" s="1">
        <v>45439</v>
      </c>
      <c r="D159" s="1">
        <v>45445</v>
      </c>
      <c r="E159" t="s">
        <v>48</v>
      </c>
      <c r="F159" t="s">
        <v>324</v>
      </c>
      <c r="G159" t="s">
        <v>88</v>
      </c>
      <c r="H159" t="s">
        <v>25</v>
      </c>
      <c r="I159" t="s">
        <v>26</v>
      </c>
      <c r="J159" t="s">
        <v>39</v>
      </c>
      <c r="K159" t="s">
        <v>40</v>
      </c>
      <c r="L159" t="s">
        <v>29</v>
      </c>
      <c r="M159" t="s">
        <v>74</v>
      </c>
      <c r="N159" t="s">
        <v>532</v>
      </c>
      <c r="O159" t="s">
        <v>83</v>
      </c>
      <c r="P159" t="s">
        <v>33</v>
      </c>
      <c r="Q159" t="s">
        <v>34</v>
      </c>
      <c r="R159">
        <v>2706.46</v>
      </c>
      <c r="S159">
        <v>2</v>
      </c>
      <c r="T159">
        <v>0.1</v>
      </c>
      <c r="U159">
        <v>438.55</v>
      </c>
    </row>
    <row r="160" spans="1:21">
      <c r="A160">
        <v>1395</v>
      </c>
      <c r="B160" t="s">
        <v>533</v>
      </c>
      <c r="C160" s="1">
        <v>45468</v>
      </c>
      <c r="D160" s="1">
        <v>45470</v>
      </c>
      <c r="E160" t="s">
        <v>101</v>
      </c>
      <c r="F160" t="s">
        <v>315</v>
      </c>
      <c r="G160" t="s">
        <v>125</v>
      </c>
      <c r="H160" t="s">
        <v>51</v>
      </c>
      <c r="I160" t="s">
        <v>26</v>
      </c>
      <c r="J160" t="s">
        <v>109</v>
      </c>
      <c r="K160" t="s">
        <v>110</v>
      </c>
      <c r="L160" t="s">
        <v>92</v>
      </c>
      <c r="M160" t="s">
        <v>30</v>
      </c>
      <c r="N160" t="s">
        <v>534</v>
      </c>
      <c r="O160" t="s">
        <v>240</v>
      </c>
      <c r="P160" t="s">
        <v>121</v>
      </c>
      <c r="Q160" t="s">
        <v>122</v>
      </c>
      <c r="R160">
        <v>581.44000000000005</v>
      </c>
      <c r="S160">
        <v>1</v>
      </c>
      <c r="T160">
        <v>0.1</v>
      </c>
      <c r="U160">
        <v>96.05</v>
      </c>
    </row>
    <row r="161" spans="1:21">
      <c r="A161">
        <v>1216</v>
      </c>
      <c r="B161" t="s">
        <v>535</v>
      </c>
      <c r="C161" s="1">
        <v>45481</v>
      </c>
      <c r="D161" s="1">
        <v>45484</v>
      </c>
      <c r="E161" t="s">
        <v>101</v>
      </c>
      <c r="F161" t="s">
        <v>517</v>
      </c>
      <c r="G161" t="s">
        <v>114</v>
      </c>
      <c r="H161" t="s">
        <v>153</v>
      </c>
      <c r="I161" t="s">
        <v>26</v>
      </c>
      <c r="J161" t="s">
        <v>27</v>
      </c>
      <c r="K161" t="s">
        <v>28</v>
      </c>
      <c r="L161" t="s">
        <v>92</v>
      </c>
      <c r="M161" t="s">
        <v>81</v>
      </c>
      <c r="N161" t="s">
        <v>536</v>
      </c>
      <c r="O161" t="s">
        <v>83</v>
      </c>
      <c r="P161" t="s">
        <v>33</v>
      </c>
      <c r="Q161" t="s">
        <v>34</v>
      </c>
      <c r="R161">
        <v>5940.14</v>
      </c>
      <c r="S161">
        <v>5</v>
      </c>
      <c r="T161">
        <v>0.1</v>
      </c>
      <c r="U161">
        <v>1242.6199999999999</v>
      </c>
    </row>
    <row r="162" spans="1:21">
      <c r="A162">
        <v>1709</v>
      </c>
      <c r="B162" t="s">
        <v>537</v>
      </c>
      <c r="C162" s="1">
        <v>45324</v>
      </c>
      <c r="D162" s="1">
        <v>45327</v>
      </c>
      <c r="E162" t="s">
        <v>101</v>
      </c>
      <c r="F162" t="s">
        <v>102</v>
      </c>
      <c r="G162" t="s">
        <v>114</v>
      </c>
      <c r="H162" t="s">
        <v>25</v>
      </c>
      <c r="I162" t="s">
        <v>26</v>
      </c>
      <c r="J162" t="s">
        <v>115</v>
      </c>
      <c r="K162" t="s">
        <v>116</v>
      </c>
      <c r="L162" t="s">
        <v>92</v>
      </c>
      <c r="M162" t="s">
        <v>74</v>
      </c>
      <c r="N162" t="s">
        <v>538</v>
      </c>
      <c r="O162" t="s">
        <v>55</v>
      </c>
      <c r="P162" t="s">
        <v>56</v>
      </c>
      <c r="Q162" t="s">
        <v>57</v>
      </c>
      <c r="R162">
        <v>6669.32</v>
      </c>
      <c r="S162">
        <v>1</v>
      </c>
      <c r="T162">
        <v>0</v>
      </c>
      <c r="U162">
        <v>865.47</v>
      </c>
    </row>
    <row r="163" spans="1:21">
      <c r="A163">
        <v>1446</v>
      </c>
      <c r="B163" t="s">
        <v>539</v>
      </c>
      <c r="C163" s="1">
        <v>45399</v>
      </c>
      <c r="D163" s="1">
        <v>45401</v>
      </c>
      <c r="E163" t="s">
        <v>101</v>
      </c>
      <c r="F163" t="s">
        <v>173</v>
      </c>
      <c r="G163" t="s">
        <v>50</v>
      </c>
      <c r="H163" t="s">
        <v>51</v>
      </c>
      <c r="I163" t="s">
        <v>26</v>
      </c>
      <c r="J163" t="s">
        <v>166</v>
      </c>
      <c r="K163" t="s">
        <v>132</v>
      </c>
      <c r="L163" t="s">
        <v>41</v>
      </c>
      <c r="M163" t="s">
        <v>118</v>
      </c>
      <c r="N163" t="s">
        <v>119</v>
      </c>
      <c r="O163" t="s">
        <v>83</v>
      </c>
      <c r="P163" t="s">
        <v>33</v>
      </c>
      <c r="Q163" t="s">
        <v>34</v>
      </c>
      <c r="R163">
        <v>2899.58</v>
      </c>
      <c r="S163">
        <v>2</v>
      </c>
      <c r="T163">
        <v>0</v>
      </c>
      <c r="U163">
        <v>853.82</v>
      </c>
    </row>
    <row r="164" spans="1:21">
      <c r="A164">
        <v>1136</v>
      </c>
      <c r="B164" t="s">
        <v>540</v>
      </c>
      <c r="C164" s="1">
        <v>45622</v>
      </c>
      <c r="D164" s="1">
        <v>45628</v>
      </c>
      <c r="E164" t="s">
        <v>101</v>
      </c>
      <c r="F164" t="s">
        <v>541</v>
      </c>
      <c r="G164" t="s">
        <v>174</v>
      </c>
      <c r="H164" t="s">
        <v>25</v>
      </c>
      <c r="I164" t="s">
        <v>26</v>
      </c>
      <c r="J164" t="s">
        <v>90</v>
      </c>
      <c r="K164" t="s">
        <v>91</v>
      </c>
      <c r="L164" t="s">
        <v>41</v>
      </c>
      <c r="M164" t="s">
        <v>42</v>
      </c>
      <c r="N164" t="s">
        <v>542</v>
      </c>
      <c r="O164" t="s">
        <v>543</v>
      </c>
      <c r="P164" t="s">
        <v>33</v>
      </c>
      <c r="Q164" t="s">
        <v>34</v>
      </c>
      <c r="R164">
        <v>5877.19</v>
      </c>
      <c r="S164">
        <v>4</v>
      </c>
      <c r="T164">
        <v>0</v>
      </c>
      <c r="U164">
        <v>1697.12</v>
      </c>
    </row>
    <row r="165" spans="1:21">
      <c r="A165">
        <v>1465</v>
      </c>
      <c r="B165" t="s">
        <v>544</v>
      </c>
      <c r="C165" s="1">
        <v>45578</v>
      </c>
      <c r="D165" s="1">
        <v>45581</v>
      </c>
      <c r="E165" t="s">
        <v>101</v>
      </c>
      <c r="F165" t="s">
        <v>355</v>
      </c>
      <c r="G165" t="s">
        <v>114</v>
      </c>
      <c r="H165" t="s">
        <v>126</v>
      </c>
      <c r="I165" t="s">
        <v>26</v>
      </c>
      <c r="J165" t="s">
        <v>166</v>
      </c>
      <c r="K165" t="s">
        <v>132</v>
      </c>
      <c r="L165" t="s">
        <v>92</v>
      </c>
      <c r="M165" t="s">
        <v>170</v>
      </c>
      <c r="N165" t="s">
        <v>545</v>
      </c>
      <c r="O165" t="s">
        <v>55</v>
      </c>
      <c r="P165" t="s">
        <v>66</v>
      </c>
      <c r="Q165" t="s">
        <v>67</v>
      </c>
      <c r="R165">
        <v>18231.21</v>
      </c>
      <c r="S165">
        <v>3</v>
      </c>
      <c r="T165">
        <v>0.3</v>
      </c>
      <c r="U165">
        <v>-560.85</v>
      </c>
    </row>
    <row r="166" spans="1:21">
      <c r="A166">
        <v>1029</v>
      </c>
      <c r="B166" t="s">
        <v>546</v>
      </c>
      <c r="C166" s="1">
        <v>45431</v>
      </c>
      <c r="D166" s="1">
        <v>45434</v>
      </c>
      <c r="E166" t="s">
        <v>69</v>
      </c>
      <c r="F166" t="s">
        <v>225</v>
      </c>
      <c r="G166" t="s">
        <v>174</v>
      </c>
      <c r="H166" t="s">
        <v>51</v>
      </c>
      <c r="I166" t="s">
        <v>26</v>
      </c>
      <c r="J166" t="s">
        <v>166</v>
      </c>
      <c r="K166" t="s">
        <v>132</v>
      </c>
      <c r="L166" t="s">
        <v>154</v>
      </c>
      <c r="M166" t="s">
        <v>81</v>
      </c>
      <c r="N166" t="s">
        <v>547</v>
      </c>
      <c r="O166" t="s">
        <v>55</v>
      </c>
      <c r="P166" t="s">
        <v>66</v>
      </c>
      <c r="Q166" t="s">
        <v>67</v>
      </c>
      <c r="R166">
        <v>7543.33</v>
      </c>
      <c r="S166">
        <v>1</v>
      </c>
      <c r="T166">
        <v>0.05</v>
      </c>
      <c r="U166">
        <v>815.58</v>
      </c>
    </row>
    <row r="167" spans="1:21">
      <c r="A167">
        <v>1361</v>
      </c>
      <c r="B167" t="s">
        <v>548</v>
      </c>
      <c r="C167" s="1">
        <v>45384</v>
      </c>
      <c r="D167" s="1">
        <v>45389</v>
      </c>
      <c r="E167" t="s">
        <v>101</v>
      </c>
      <c r="F167" t="s">
        <v>87</v>
      </c>
      <c r="G167" t="s">
        <v>174</v>
      </c>
      <c r="H167" t="s">
        <v>108</v>
      </c>
      <c r="I167" t="s">
        <v>26</v>
      </c>
      <c r="J167" t="s">
        <v>131</v>
      </c>
      <c r="K167" t="s">
        <v>132</v>
      </c>
      <c r="L167" t="s">
        <v>53</v>
      </c>
      <c r="M167" t="s">
        <v>127</v>
      </c>
      <c r="N167" t="s">
        <v>549</v>
      </c>
      <c r="O167" t="s">
        <v>65</v>
      </c>
      <c r="P167" t="s">
        <v>98</v>
      </c>
      <c r="Q167" t="s">
        <v>99</v>
      </c>
      <c r="R167">
        <v>14382.61</v>
      </c>
      <c r="S167">
        <v>3</v>
      </c>
      <c r="T167">
        <v>0.3</v>
      </c>
      <c r="U167">
        <v>-423.16</v>
      </c>
    </row>
    <row r="168" spans="1:21">
      <c r="A168">
        <v>1397</v>
      </c>
      <c r="B168" t="s">
        <v>550</v>
      </c>
      <c r="C168" s="1">
        <v>45589</v>
      </c>
      <c r="D168" s="1">
        <v>45593</v>
      </c>
      <c r="E168" t="s">
        <v>48</v>
      </c>
      <c r="F168" t="s">
        <v>551</v>
      </c>
      <c r="G168" t="s">
        <v>60</v>
      </c>
      <c r="H168" t="s">
        <v>89</v>
      </c>
      <c r="I168" t="s">
        <v>26</v>
      </c>
      <c r="J168" t="s">
        <v>131</v>
      </c>
      <c r="K168" t="s">
        <v>132</v>
      </c>
      <c r="L168" t="s">
        <v>92</v>
      </c>
      <c r="M168" t="s">
        <v>74</v>
      </c>
      <c r="N168" t="s">
        <v>318</v>
      </c>
      <c r="O168" t="s">
        <v>55</v>
      </c>
      <c r="P168" t="s">
        <v>66</v>
      </c>
      <c r="Q168" t="s">
        <v>67</v>
      </c>
      <c r="R168">
        <v>15314.42</v>
      </c>
      <c r="S168">
        <v>2</v>
      </c>
      <c r="T168">
        <v>0.1</v>
      </c>
      <c r="U168">
        <v>1535.95</v>
      </c>
    </row>
    <row r="169" spans="1:21">
      <c r="A169">
        <v>1482</v>
      </c>
      <c r="B169" t="s">
        <v>552</v>
      </c>
      <c r="C169" s="1">
        <v>45568</v>
      </c>
      <c r="D169" s="1">
        <v>45573</v>
      </c>
      <c r="E169" t="s">
        <v>69</v>
      </c>
      <c r="F169" t="s">
        <v>553</v>
      </c>
      <c r="G169" t="s">
        <v>136</v>
      </c>
      <c r="H169" t="s">
        <v>153</v>
      </c>
      <c r="I169" t="s">
        <v>26</v>
      </c>
      <c r="J169" t="s">
        <v>90</v>
      </c>
      <c r="K169" t="s">
        <v>91</v>
      </c>
      <c r="L169" t="s">
        <v>92</v>
      </c>
      <c r="M169" t="s">
        <v>30</v>
      </c>
      <c r="N169" t="s">
        <v>554</v>
      </c>
      <c r="O169" t="s">
        <v>65</v>
      </c>
      <c r="P169" t="s">
        <v>98</v>
      </c>
      <c r="Q169" t="s">
        <v>99</v>
      </c>
      <c r="R169">
        <v>14734.17</v>
      </c>
      <c r="S169">
        <v>3</v>
      </c>
      <c r="T169">
        <v>0.2</v>
      </c>
      <c r="U169">
        <v>417.56</v>
      </c>
    </row>
    <row r="170" spans="1:21">
      <c r="A170">
        <v>1137</v>
      </c>
      <c r="B170" t="s">
        <v>555</v>
      </c>
      <c r="C170" s="1">
        <v>45407</v>
      </c>
      <c r="D170" s="1">
        <v>45409</v>
      </c>
      <c r="E170" t="s">
        <v>69</v>
      </c>
      <c r="F170" t="s">
        <v>482</v>
      </c>
      <c r="G170" t="s">
        <v>78</v>
      </c>
      <c r="H170" t="s">
        <v>51</v>
      </c>
      <c r="I170" t="s">
        <v>26</v>
      </c>
      <c r="J170" t="s">
        <v>166</v>
      </c>
      <c r="K170" t="s">
        <v>132</v>
      </c>
      <c r="L170" t="s">
        <v>41</v>
      </c>
      <c r="M170" t="s">
        <v>170</v>
      </c>
      <c r="N170" t="s">
        <v>556</v>
      </c>
      <c r="O170" t="s">
        <v>44</v>
      </c>
      <c r="P170" t="s">
        <v>211</v>
      </c>
      <c r="Q170" t="s">
        <v>223</v>
      </c>
      <c r="R170">
        <v>6860.58</v>
      </c>
      <c r="S170">
        <v>4</v>
      </c>
      <c r="T170">
        <v>0.1</v>
      </c>
      <c r="U170">
        <v>372.52</v>
      </c>
    </row>
    <row r="171" spans="1:21">
      <c r="A171">
        <v>1412</v>
      </c>
      <c r="B171" t="s">
        <v>557</v>
      </c>
      <c r="C171" s="1">
        <v>45335</v>
      </c>
      <c r="D171" s="1">
        <v>45337</v>
      </c>
      <c r="E171" t="s">
        <v>101</v>
      </c>
      <c r="F171" t="s">
        <v>96</v>
      </c>
      <c r="G171" t="s">
        <v>165</v>
      </c>
      <c r="H171" t="s">
        <v>126</v>
      </c>
      <c r="I171" t="s">
        <v>26</v>
      </c>
      <c r="J171" t="s">
        <v>90</v>
      </c>
      <c r="K171" t="s">
        <v>91</v>
      </c>
      <c r="L171" t="s">
        <v>186</v>
      </c>
      <c r="M171" t="s">
        <v>30</v>
      </c>
      <c r="N171" t="s">
        <v>558</v>
      </c>
      <c r="O171" t="s">
        <v>44</v>
      </c>
      <c r="P171" t="s">
        <v>207</v>
      </c>
      <c r="Q171" t="s">
        <v>208</v>
      </c>
      <c r="R171">
        <v>172090.02</v>
      </c>
      <c r="S171">
        <v>4</v>
      </c>
      <c r="T171">
        <v>0.15</v>
      </c>
      <c r="U171">
        <v>2041.6</v>
      </c>
    </row>
    <row r="172" spans="1:21">
      <c r="A172">
        <v>1265</v>
      </c>
      <c r="B172" t="s">
        <v>559</v>
      </c>
      <c r="C172" s="1">
        <v>45300</v>
      </c>
      <c r="D172" s="1">
        <v>45301</v>
      </c>
      <c r="E172" t="s">
        <v>69</v>
      </c>
      <c r="F172" t="s">
        <v>560</v>
      </c>
      <c r="G172" t="s">
        <v>165</v>
      </c>
      <c r="H172" t="s">
        <v>51</v>
      </c>
      <c r="I172" t="s">
        <v>26</v>
      </c>
      <c r="J172" t="s">
        <v>90</v>
      </c>
      <c r="K172" t="s">
        <v>91</v>
      </c>
      <c r="L172" t="s">
        <v>169</v>
      </c>
      <c r="M172" t="s">
        <v>118</v>
      </c>
      <c r="N172" t="s">
        <v>303</v>
      </c>
      <c r="O172" t="s">
        <v>83</v>
      </c>
      <c r="P172" t="s">
        <v>84</v>
      </c>
      <c r="Q172" t="s">
        <v>85</v>
      </c>
      <c r="R172">
        <v>2081</v>
      </c>
      <c r="S172">
        <v>1</v>
      </c>
      <c r="T172">
        <v>0.3</v>
      </c>
      <c r="U172">
        <v>135.33000000000001</v>
      </c>
    </row>
    <row r="173" spans="1:21">
      <c r="A173">
        <v>1007</v>
      </c>
      <c r="B173" t="s">
        <v>561</v>
      </c>
      <c r="C173" s="1">
        <v>45375</v>
      </c>
      <c r="D173" s="1">
        <v>45379</v>
      </c>
      <c r="E173" t="s">
        <v>101</v>
      </c>
      <c r="F173" t="s">
        <v>266</v>
      </c>
      <c r="G173" t="s">
        <v>71</v>
      </c>
      <c r="H173" t="s">
        <v>25</v>
      </c>
      <c r="I173" t="s">
        <v>26</v>
      </c>
      <c r="J173" t="s">
        <v>90</v>
      </c>
      <c r="K173" t="s">
        <v>91</v>
      </c>
      <c r="L173" t="s">
        <v>92</v>
      </c>
      <c r="M173" t="s">
        <v>81</v>
      </c>
      <c r="N173" t="s">
        <v>562</v>
      </c>
      <c r="O173" t="s">
        <v>44</v>
      </c>
      <c r="P173" t="s">
        <v>45</v>
      </c>
      <c r="Q173" t="s">
        <v>46</v>
      </c>
      <c r="R173">
        <v>34123.379999999997</v>
      </c>
      <c r="S173">
        <v>1</v>
      </c>
      <c r="T173">
        <v>0.1</v>
      </c>
      <c r="U173">
        <v>1314.69</v>
      </c>
    </row>
    <row r="174" spans="1:21">
      <c r="A174">
        <v>1538</v>
      </c>
      <c r="B174" t="s">
        <v>563</v>
      </c>
      <c r="C174" s="1">
        <v>45552</v>
      </c>
      <c r="D174" s="1">
        <v>45553</v>
      </c>
      <c r="E174" t="s">
        <v>101</v>
      </c>
      <c r="F174" t="s">
        <v>159</v>
      </c>
      <c r="G174" t="s">
        <v>24</v>
      </c>
      <c r="H174" t="s">
        <v>153</v>
      </c>
      <c r="I174" t="s">
        <v>26</v>
      </c>
      <c r="J174" t="s">
        <v>39</v>
      </c>
      <c r="K174" t="s">
        <v>40</v>
      </c>
      <c r="L174" t="s">
        <v>41</v>
      </c>
      <c r="M174" t="s">
        <v>42</v>
      </c>
      <c r="N174" t="s">
        <v>564</v>
      </c>
      <c r="O174" t="s">
        <v>328</v>
      </c>
      <c r="P174" t="s">
        <v>189</v>
      </c>
      <c r="Q174" t="s">
        <v>386</v>
      </c>
      <c r="R174">
        <v>9012.3799999999992</v>
      </c>
      <c r="S174">
        <v>4</v>
      </c>
      <c r="T174">
        <v>0.05</v>
      </c>
      <c r="U174">
        <v>846.97</v>
      </c>
    </row>
    <row r="175" spans="1:21">
      <c r="A175">
        <v>1074</v>
      </c>
      <c r="B175" t="s">
        <v>565</v>
      </c>
      <c r="C175" s="1">
        <v>45457</v>
      </c>
      <c r="D175" s="1">
        <v>45462</v>
      </c>
      <c r="E175" t="s">
        <v>48</v>
      </c>
      <c r="F175" t="s">
        <v>426</v>
      </c>
      <c r="G175" t="s">
        <v>50</v>
      </c>
      <c r="H175" t="s">
        <v>310</v>
      </c>
      <c r="I175" t="s">
        <v>26</v>
      </c>
      <c r="J175" t="s">
        <v>52</v>
      </c>
      <c r="K175" t="s">
        <v>52</v>
      </c>
      <c r="L175" t="s">
        <v>154</v>
      </c>
      <c r="M175" t="s">
        <v>81</v>
      </c>
      <c r="N175" t="s">
        <v>566</v>
      </c>
      <c r="O175" t="s">
        <v>138</v>
      </c>
      <c r="P175" t="s">
        <v>182</v>
      </c>
      <c r="Q175" t="s">
        <v>183</v>
      </c>
      <c r="R175">
        <v>1030.25</v>
      </c>
      <c r="S175">
        <v>3</v>
      </c>
      <c r="T175">
        <v>0.25</v>
      </c>
      <c r="U175">
        <v>38.69</v>
      </c>
    </row>
    <row r="176" spans="1:21">
      <c r="A176">
        <v>1694</v>
      </c>
      <c r="B176" t="s">
        <v>567</v>
      </c>
      <c r="C176" s="1">
        <v>45443</v>
      </c>
      <c r="D176" s="1">
        <v>45448</v>
      </c>
      <c r="E176" t="s">
        <v>22</v>
      </c>
      <c r="F176" t="s">
        <v>198</v>
      </c>
      <c r="G176" t="s">
        <v>50</v>
      </c>
      <c r="H176" t="s">
        <v>108</v>
      </c>
      <c r="I176" t="s">
        <v>26</v>
      </c>
      <c r="J176" t="s">
        <v>166</v>
      </c>
      <c r="K176" t="s">
        <v>132</v>
      </c>
      <c r="L176" t="s">
        <v>41</v>
      </c>
      <c r="M176" t="s">
        <v>170</v>
      </c>
      <c r="N176" t="s">
        <v>93</v>
      </c>
      <c r="O176" t="s">
        <v>120</v>
      </c>
      <c r="P176" t="s">
        <v>156</v>
      </c>
      <c r="Q176" t="s">
        <v>157</v>
      </c>
      <c r="R176">
        <v>1487.35</v>
      </c>
      <c r="S176">
        <v>5</v>
      </c>
      <c r="T176">
        <v>0.25</v>
      </c>
      <c r="U176">
        <v>45.48</v>
      </c>
    </row>
    <row r="177" spans="1:21">
      <c r="A177">
        <v>1632</v>
      </c>
      <c r="B177" t="s">
        <v>568</v>
      </c>
      <c r="C177" s="1">
        <v>45550</v>
      </c>
      <c r="D177" s="1">
        <v>45555</v>
      </c>
      <c r="E177" t="s">
        <v>22</v>
      </c>
      <c r="F177" t="s">
        <v>452</v>
      </c>
      <c r="G177" t="s">
        <v>88</v>
      </c>
      <c r="H177" t="s">
        <v>310</v>
      </c>
      <c r="I177" t="s">
        <v>26</v>
      </c>
      <c r="J177" t="s">
        <v>115</v>
      </c>
      <c r="K177" t="s">
        <v>116</v>
      </c>
      <c r="L177" t="s">
        <v>41</v>
      </c>
      <c r="M177" t="s">
        <v>170</v>
      </c>
      <c r="N177" t="s">
        <v>569</v>
      </c>
      <c r="O177" t="s">
        <v>138</v>
      </c>
      <c r="P177" t="s">
        <v>139</v>
      </c>
      <c r="Q177" t="s">
        <v>140</v>
      </c>
      <c r="R177">
        <v>829.06</v>
      </c>
      <c r="S177">
        <v>1</v>
      </c>
      <c r="T177">
        <v>0.1</v>
      </c>
      <c r="U177">
        <v>109.42</v>
      </c>
    </row>
    <row r="178" spans="1:21">
      <c r="A178">
        <v>1146</v>
      </c>
      <c r="B178" t="s">
        <v>570</v>
      </c>
      <c r="C178" s="1">
        <v>45413</v>
      </c>
      <c r="D178" s="1">
        <v>45416</v>
      </c>
      <c r="E178" t="s">
        <v>22</v>
      </c>
      <c r="F178" t="s">
        <v>337</v>
      </c>
      <c r="H178" t="s">
        <v>25</v>
      </c>
      <c r="I178" t="s">
        <v>26</v>
      </c>
      <c r="J178" t="s">
        <v>52</v>
      </c>
      <c r="K178" t="s">
        <v>52</v>
      </c>
      <c r="L178" t="s">
        <v>29</v>
      </c>
      <c r="M178" t="s">
        <v>81</v>
      </c>
      <c r="N178" t="s">
        <v>571</v>
      </c>
      <c r="O178" t="s">
        <v>83</v>
      </c>
      <c r="P178" t="s">
        <v>33</v>
      </c>
      <c r="Q178" t="s">
        <v>34</v>
      </c>
      <c r="R178">
        <v>2201.21</v>
      </c>
      <c r="S178">
        <v>2</v>
      </c>
      <c r="T178">
        <v>0.15</v>
      </c>
      <c r="U178">
        <v>258.02999999999997</v>
      </c>
    </row>
    <row r="179" spans="1:21">
      <c r="A179">
        <v>1573</v>
      </c>
      <c r="B179" t="s">
        <v>572</v>
      </c>
      <c r="C179" s="1">
        <v>45479</v>
      </c>
      <c r="D179" s="1">
        <v>45484</v>
      </c>
      <c r="E179" t="s">
        <v>48</v>
      </c>
      <c r="F179" t="s">
        <v>285</v>
      </c>
      <c r="G179" t="s">
        <v>88</v>
      </c>
      <c r="H179" t="s">
        <v>51</v>
      </c>
      <c r="I179" t="s">
        <v>26</v>
      </c>
      <c r="J179" t="s">
        <v>115</v>
      </c>
      <c r="K179" t="s">
        <v>116</v>
      </c>
      <c r="L179" t="s">
        <v>29</v>
      </c>
      <c r="M179" t="s">
        <v>127</v>
      </c>
      <c r="N179" t="s">
        <v>573</v>
      </c>
      <c r="O179" t="s">
        <v>144</v>
      </c>
      <c r="P179" t="s">
        <v>98</v>
      </c>
      <c r="Q179" t="s">
        <v>99</v>
      </c>
      <c r="R179">
        <v>49291.5</v>
      </c>
      <c r="S179">
        <v>8</v>
      </c>
      <c r="T179">
        <v>0</v>
      </c>
      <c r="U179">
        <v>9379.7000000000007</v>
      </c>
    </row>
    <row r="180" spans="1:21">
      <c r="A180">
        <v>1337</v>
      </c>
      <c r="B180" t="s">
        <v>574</v>
      </c>
      <c r="C180" s="1">
        <v>45295</v>
      </c>
      <c r="D180" s="1">
        <v>45300</v>
      </c>
      <c r="E180" t="s">
        <v>48</v>
      </c>
      <c r="F180" t="s">
        <v>142</v>
      </c>
      <c r="G180" t="s">
        <v>125</v>
      </c>
      <c r="H180" t="s">
        <v>25</v>
      </c>
      <c r="I180" t="s">
        <v>26</v>
      </c>
      <c r="J180" t="s">
        <v>90</v>
      </c>
      <c r="K180" t="s">
        <v>91</v>
      </c>
      <c r="L180" t="s">
        <v>63</v>
      </c>
      <c r="M180" t="s">
        <v>42</v>
      </c>
      <c r="N180" t="s">
        <v>549</v>
      </c>
      <c r="O180" t="s">
        <v>138</v>
      </c>
      <c r="P180" t="s">
        <v>121</v>
      </c>
      <c r="Q180" t="s">
        <v>122</v>
      </c>
      <c r="R180">
        <v>1212.69</v>
      </c>
      <c r="S180">
        <v>2</v>
      </c>
      <c r="T180">
        <v>0</v>
      </c>
      <c r="U180">
        <v>245.51</v>
      </c>
    </row>
    <row r="181" spans="1:21">
      <c r="A181">
        <v>1133</v>
      </c>
      <c r="B181" t="s">
        <v>575</v>
      </c>
      <c r="C181" s="1">
        <v>45325</v>
      </c>
      <c r="D181" s="1">
        <v>45328</v>
      </c>
      <c r="E181" t="s">
        <v>22</v>
      </c>
      <c r="F181" t="s">
        <v>142</v>
      </c>
      <c r="G181" t="s">
        <v>125</v>
      </c>
      <c r="H181" t="s">
        <v>25</v>
      </c>
      <c r="I181" t="s">
        <v>26</v>
      </c>
      <c r="J181" t="s">
        <v>27</v>
      </c>
      <c r="K181" t="s">
        <v>28</v>
      </c>
      <c r="L181" t="s">
        <v>29</v>
      </c>
      <c r="M181" t="s">
        <v>42</v>
      </c>
      <c r="N181" t="s">
        <v>148</v>
      </c>
      <c r="O181" t="s">
        <v>55</v>
      </c>
      <c r="P181" t="s">
        <v>56</v>
      </c>
      <c r="Q181" t="s">
        <v>57</v>
      </c>
      <c r="R181">
        <v>6107.79</v>
      </c>
      <c r="S181">
        <v>1</v>
      </c>
      <c r="T181">
        <v>0.2</v>
      </c>
      <c r="U181">
        <v>205.29</v>
      </c>
    </row>
    <row r="182" spans="1:21">
      <c r="A182">
        <v>1333</v>
      </c>
      <c r="B182" t="s">
        <v>576</v>
      </c>
      <c r="C182" s="1">
        <v>45592</v>
      </c>
      <c r="D182" s="1">
        <v>45597</v>
      </c>
      <c r="E182" t="s">
        <v>48</v>
      </c>
      <c r="F182" t="s">
        <v>378</v>
      </c>
      <c r="G182" t="s">
        <v>60</v>
      </c>
      <c r="H182" t="s">
        <v>51</v>
      </c>
      <c r="I182" t="s">
        <v>26</v>
      </c>
      <c r="J182" t="s">
        <v>72</v>
      </c>
      <c r="K182" t="s">
        <v>73</v>
      </c>
      <c r="L182" t="s">
        <v>63</v>
      </c>
      <c r="M182" t="s">
        <v>81</v>
      </c>
      <c r="N182" t="s">
        <v>577</v>
      </c>
      <c r="O182" t="s">
        <v>55</v>
      </c>
      <c r="P182" t="s">
        <v>56</v>
      </c>
      <c r="Q182" t="s">
        <v>57</v>
      </c>
      <c r="R182">
        <v>9437.75</v>
      </c>
      <c r="S182">
        <v>2</v>
      </c>
      <c r="T182">
        <v>0.3</v>
      </c>
      <c r="U182">
        <v>-272.99</v>
      </c>
    </row>
    <row r="183" spans="1:21">
      <c r="A183">
        <v>1587</v>
      </c>
      <c r="B183" t="s">
        <v>578</v>
      </c>
      <c r="C183" s="1">
        <v>45314</v>
      </c>
      <c r="D183" s="1">
        <v>45315</v>
      </c>
      <c r="E183" t="s">
        <v>22</v>
      </c>
      <c r="F183" t="s">
        <v>77</v>
      </c>
      <c r="G183" t="s">
        <v>136</v>
      </c>
      <c r="H183" t="s">
        <v>51</v>
      </c>
      <c r="I183" t="s">
        <v>26</v>
      </c>
      <c r="J183" t="s">
        <v>226</v>
      </c>
      <c r="K183" t="s">
        <v>110</v>
      </c>
      <c r="L183" t="s">
        <v>92</v>
      </c>
      <c r="M183" t="s">
        <v>30</v>
      </c>
      <c r="N183" t="s">
        <v>579</v>
      </c>
      <c r="O183" t="s">
        <v>55</v>
      </c>
      <c r="P183" t="s">
        <v>66</v>
      </c>
      <c r="Q183" t="s">
        <v>67</v>
      </c>
      <c r="R183">
        <v>12150.97</v>
      </c>
      <c r="S183">
        <v>2</v>
      </c>
      <c r="T183" t="s">
        <v>580</v>
      </c>
      <c r="U183">
        <v>-374.21</v>
      </c>
    </row>
    <row r="184" spans="1:21">
      <c r="A184">
        <v>1710</v>
      </c>
      <c r="B184" t="s">
        <v>581</v>
      </c>
      <c r="C184" s="1">
        <v>45315</v>
      </c>
      <c r="D184" s="1">
        <v>45320</v>
      </c>
      <c r="E184" t="s">
        <v>48</v>
      </c>
      <c r="F184" t="s">
        <v>177</v>
      </c>
      <c r="G184" t="s">
        <v>60</v>
      </c>
      <c r="H184" t="s">
        <v>310</v>
      </c>
      <c r="I184" t="s">
        <v>26</v>
      </c>
      <c r="J184" t="s">
        <v>72</v>
      </c>
      <c r="K184" t="s">
        <v>73</v>
      </c>
      <c r="L184" t="s">
        <v>41</v>
      </c>
      <c r="M184" t="s">
        <v>81</v>
      </c>
      <c r="N184" t="s">
        <v>554</v>
      </c>
      <c r="O184" t="s">
        <v>138</v>
      </c>
      <c r="P184" t="s">
        <v>182</v>
      </c>
      <c r="Q184" t="s">
        <v>183</v>
      </c>
      <c r="R184">
        <v>714.49</v>
      </c>
      <c r="S184">
        <v>2</v>
      </c>
      <c r="T184">
        <v>0.2</v>
      </c>
      <c r="U184">
        <v>60.86</v>
      </c>
    </row>
    <row r="185" spans="1:21">
      <c r="A185">
        <v>1042</v>
      </c>
      <c r="B185" t="s">
        <v>582</v>
      </c>
      <c r="C185" s="1">
        <v>45339</v>
      </c>
      <c r="D185" s="1">
        <v>45341</v>
      </c>
      <c r="E185" t="s">
        <v>48</v>
      </c>
      <c r="F185" t="s">
        <v>583</v>
      </c>
      <c r="G185" t="s">
        <v>147</v>
      </c>
      <c r="H185" t="s">
        <v>25</v>
      </c>
      <c r="I185" t="s">
        <v>26</v>
      </c>
      <c r="J185" t="s">
        <v>160</v>
      </c>
      <c r="K185" t="s">
        <v>161</v>
      </c>
      <c r="L185" t="s">
        <v>92</v>
      </c>
      <c r="M185" t="s">
        <v>30</v>
      </c>
      <c r="N185" t="s">
        <v>584</v>
      </c>
      <c r="O185" t="s">
        <v>44</v>
      </c>
      <c r="P185" t="s">
        <v>211</v>
      </c>
      <c r="Q185" t="s">
        <v>212</v>
      </c>
      <c r="R185">
        <v>1868.05</v>
      </c>
      <c r="S185">
        <v>2</v>
      </c>
      <c r="T185">
        <v>0.2</v>
      </c>
      <c r="U185">
        <v>-29.21</v>
      </c>
    </row>
    <row r="186" spans="1:21">
      <c r="A186">
        <v>1440</v>
      </c>
      <c r="B186" t="s">
        <v>585</v>
      </c>
      <c r="C186" s="1">
        <v>45342</v>
      </c>
      <c r="D186" s="1">
        <v>45348</v>
      </c>
      <c r="E186" t="s">
        <v>69</v>
      </c>
      <c r="F186" t="s">
        <v>345</v>
      </c>
      <c r="G186" t="s">
        <v>107</v>
      </c>
      <c r="H186" t="s">
        <v>25</v>
      </c>
      <c r="I186" t="s">
        <v>26</v>
      </c>
      <c r="J186" t="s">
        <v>115</v>
      </c>
      <c r="K186" t="s">
        <v>116</v>
      </c>
      <c r="L186" t="s">
        <v>63</v>
      </c>
      <c r="M186" t="s">
        <v>118</v>
      </c>
      <c r="N186" t="s">
        <v>586</v>
      </c>
      <c r="O186" t="s">
        <v>55</v>
      </c>
      <c r="P186" t="s">
        <v>66</v>
      </c>
      <c r="Q186" t="s">
        <v>67</v>
      </c>
      <c r="R186">
        <v>17677.91</v>
      </c>
      <c r="S186">
        <v>3</v>
      </c>
      <c r="T186">
        <v>0.25</v>
      </c>
      <c r="U186">
        <v>-38.049999999999997</v>
      </c>
    </row>
    <row r="187" spans="1:21">
      <c r="A187">
        <v>1109</v>
      </c>
      <c r="B187" t="s">
        <v>587</v>
      </c>
      <c r="C187" s="1">
        <v>45629</v>
      </c>
      <c r="D187" s="1">
        <v>45634</v>
      </c>
      <c r="E187" t="s">
        <v>48</v>
      </c>
      <c r="F187" t="s">
        <v>192</v>
      </c>
      <c r="G187" t="s">
        <v>125</v>
      </c>
      <c r="H187" t="s">
        <v>51</v>
      </c>
      <c r="I187" t="s">
        <v>26</v>
      </c>
      <c r="J187" t="s">
        <v>131</v>
      </c>
      <c r="K187" t="s">
        <v>132</v>
      </c>
      <c r="L187" t="s">
        <v>41</v>
      </c>
      <c r="M187" t="s">
        <v>74</v>
      </c>
      <c r="N187" t="s">
        <v>167</v>
      </c>
      <c r="O187" t="s">
        <v>240</v>
      </c>
      <c r="P187" t="s">
        <v>182</v>
      </c>
      <c r="Q187" t="s">
        <v>183</v>
      </c>
      <c r="R187">
        <v>3062</v>
      </c>
      <c r="S187">
        <v>7</v>
      </c>
      <c r="T187">
        <v>0</v>
      </c>
      <c r="U187">
        <v>687.88</v>
      </c>
    </row>
    <row r="188" spans="1:21">
      <c r="A188">
        <v>1624</v>
      </c>
      <c r="B188" t="s">
        <v>588</v>
      </c>
      <c r="C188" s="1">
        <v>45570</v>
      </c>
      <c r="D188" s="1">
        <v>45573</v>
      </c>
      <c r="E188" t="s">
        <v>48</v>
      </c>
      <c r="F188" t="s">
        <v>247</v>
      </c>
      <c r="G188" t="s">
        <v>88</v>
      </c>
      <c r="H188" t="s">
        <v>51</v>
      </c>
      <c r="I188" t="s">
        <v>26</v>
      </c>
      <c r="J188" t="s">
        <v>27</v>
      </c>
      <c r="K188" t="s">
        <v>28</v>
      </c>
      <c r="L188" t="s">
        <v>63</v>
      </c>
      <c r="M188" t="s">
        <v>42</v>
      </c>
      <c r="N188" t="s">
        <v>128</v>
      </c>
      <c r="O188" t="s">
        <v>138</v>
      </c>
      <c r="P188" t="s">
        <v>156</v>
      </c>
      <c r="Q188" t="s">
        <v>157</v>
      </c>
      <c r="R188">
        <v>339.7</v>
      </c>
      <c r="S188">
        <v>1</v>
      </c>
      <c r="T188">
        <v>0.05</v>
      </c>
      <c r="U188">
        <v>43.6</v>
      </c>
    </row>
    <row r="189" spans="1:21">
      <c r="A189">
        <v>1057</v>
      </c>
      <c r="B189" t="s">
        <v>589</v>
      </c>
      <c r="C189" s="1">
        <v>45581</v>
      </c>
      <c r="D189" s="1">
        <v>45582</v>
      </c>
      <c r="E189" t="s">
        <v>48</v>
      </c>
      <c r="F189" t="s">
        <v>420</v>
      </c>
      <c r="G189" t="s">
        <v>37</v>
      </c>
      <c r="H189" t="s">
        <v>108</v>
      </c>
      <c r="I189" t="s">
        <v>26</v>
      </c>
      <c r="J189" t="s">
        <v>27</v>
      </c>
      <c r="K189" t="s">
        <v>28</v>
      </c>
      <c r="L189" t="s">
        <v>63</v>
      </c>
      <c r="M189" t="s">
        <v>74</v>
      </c>
      <c r="N189" t="s">
        <v>590</v>
      </c>
      <c r="O189" t="s">
        <v>55</v>
      </c>
      <c r="P189" t="s">
        <v>66</v>
      </c>
      <c r="Q189" t="s">
        <v>67</v>
      </c>
      <c r="R189">
        <v>27253.17</v>
      </c>
      <c r="S189">
        <v>3</v>
      </c>
      <c r="T189">
        <v>0</v>
      </c>
      <c r="U189">
        <v>5032.29</v>
      </c>
    </row>
    <row r="190" spans="1:21">
      <c r="A190">
        <v>1205</v>
      </c>
      <c r="B190" t="s">
        <v>591</v>
      </c>
      <c r="C190" s="1">
        <v>45388</v>
      </c>
      <c r="D190" s="1">
        <v>45394</v>
      </c>
      <c r="E190" t="s">
        <v>22</v>
      </c>
      <c r="F190" t="s">
        <v>280</v>
      </c>
      <c r="G190" t="s">
        <v>147</v>
      </c>
      <c r="H190" t="s">
        <v>51</v>
      </c>
      <c r="I190" t="s">
        <v>26</v>
      </c>
      <c r="J190" t="s">
        <v>61</v>
      </c>
      <c r="K190" t="s">
        <v>62</v>
      </c>
      <c r="L190" t="s">
        <v>334</v>
      </c>
      <c r="M190" t="s">
        <v>170</v>
      </c>
      <c r="N190" t="s">
        <v>573</v>
      </c>
      <c r="O190" t="s">
        <v>293</v>
      </c>
      <c r="P190" t="s">
        <v>211</v>
      </c>
      <c r="Q190" t="s">
        <v>223</v>
      </c>
      <c r="R190">
        <v>3258.48</v>
      </c>
      <c r="S190">
        <v>2</v>
      </c>
      <c r="T190">
        <v>0.15</v>
      </c>
      <c r="U190">
        <v>32.409999999999997</v>
      </c>
    </row>
    <row r="191" spans="1:21">
      <c r="A191">
        <v>1235</v>
      </c>
      <c r="B191" t="s">
        <v>592</v>
      </c>
      <c r="C191" s="1">
        <v>45476</v>
      </c>
      <c r="D191" s="1">
        <v>45479</v>
      </c>
      <c r="E191" t="s">
        <v>69</v>
      </c>
      <c r="F191" t="s">
        <v>593</v>
      </c>
      <c r="G191" t="s">
        <v>125</v>
      </c>
      <c r="H191" t="s">
        <v>51</v>
      </c>
      <c r="I191" t="s">
        <v>26</v>
      </c>
      <c r="J191" t="s">
        <v>109</v>
      </c>
      <c r="K191" t="s">
        <v>110</v>
      </c>
      <c r="L191" t="s">
        <v>29</v>
      </c>
      <c r="M191" t="s">
        <v>170</v>
      </c>
      <c r="N191" t="s">
        <v>594</v>
      </c>
      <c r="O191" t="s">
        <v>55</v>
      </c>
      <c r="P191" t="s">
        <v>66</v>
      </c>
      <c r="Q191" t="s">
        <v>67</v>
      </c>
      <c r="R191">
        <v>24372.27</v>
      </c>
      <c r="S191">
        <v>3</v>
      </c>
      <c r="T191">
        <v>0</v>
      </c>
      <c r="U191">
        <v>4802.75</v>
      </c>
    </row>
    <row r="192" spans="1:21">
      <c r="A192">
        <v>1364</v>
      </c>
      <c r="B192" t="s">
        <v>595</v>
      </c>
      <c r="C192" s="1">
        <v>45297</v>
      </c>
      <c r="D192" s="1">
        <v>45303</v>
      </c>
      <c r="E192" t="s">
        <v>69</v>
      </c>
      <c r="F192" t="s">
        <v>490</v>
      </c>
      <c r="G192" t="s">
        <v>88</v>
      </c>
      <c r="H192" t="s">
        <v>389</v>
      </c>
      <c r="I192" t="s">
        <v>26</v>
      </c>
      <c r="J192" t="s">
        <v>90</v>
      </c>
      <c r="K192" t="s">
        <v>91</v>
      </c>
      <c r="L192" t="s">
        <v>29</v>
      </c>
      <c r="M192" t="s">
        <v>127</v>
      </c>
      <c r="N192" t="s">
        <v>596</v>
      </c>
      <c r="O192" t="s">
        <v>138</v>
      </c>
      <c r="P192" t="s">
        <v>156</v>
      </c>
      <c r="Q192" t="s">
        <v>157</v>
      </c>
      <c r="R192">
        <v>358.1</v>
      </c>
      <c r="S192">
        <v>1</v>
      </c>
      <c r="T192">
        <v>0</v>
      </c>
      <c r="U192">
        <v>82.19</v>
      </c>
    </row>
    <row r="193" spans="1:21">
      <c r="A193">
        <v>1585</v>
      </c>
      <c r="B193" t="s">
        <v>597</v>
      </c>
      <c r="C193" s="1">
        <v>45608</v>
      </c>
      <c r="D193" s="1">
        <v>45611</v>
      </c>
      <c r="E193" t="s">
        <v>69</v>
      </c>
      <c r="F193" t="s">
        <v>598</v>
      </c>
      <c r="G193" t="s">
        <v>147</v>
      </c>
      <c r="H193" t="s">
        <v>51</v>
      </c>
      <c r="I193" t="s">
        <v>26</v>
      </c>
      <c r="J193" t="s">
        <v>346</v>
      </c>
      <c r="K193" t="s">
        <v>132</v>
      </c>
      <c r="L193" t="s">
        <v>103</v>
      </c>
      <c r="M193" t="s">
        <v>42</v>
      </c>
      <c r="N193" t="s">
        <v>599</v>
      </c>
      <c r="O193" t="s">
        <v>138</v>
      </c>
      <c r="P193" t="s">
        <v>121</v>
      </c>
      <c r="Q193" t="s">
        <v>122</v>
      </c>
      <c r="R193">
        <v>598.66</v>
      </c>
      <c r="S193">
        <v>1</v>
      </c>
      <c r="T193">
        <v>0</v>
      </c>
      <c r="U193">
        <v>106.98</v>
      </c>
    </row>
    <row r="194" spans="1:21">
      <c r="A194">
        <v>1293</v>
      </c>
      <c r="B194" t="s">
        <v>600</v>
      </c>
      <c r="C194" s="1">
        <v>45523</v>
      </c>
      <c r="D194" s="1">
        <v>45526</v>
      </c>
      <c r="E194" t="s">
        <v>101</v>
      </c>
      <c r="F194" t="s">
        <v>601</v>
      </c>
      <c r="G194" t="s">
        <v>88</v>
      </c>
      <c r="H194" t="s">
        <v>51</v>
      </c>
      <c r="I194" t="s">
        <v>26</v>
      </c>
      <c r="J194" t="s">
        <v>226</v>
      </c>
      <c r="K194" t="s">
        <v>110</v>
      </c>
      <c r="L194" t="s">
        <v>41</v>
      </c>
      <c r="M194" t="s">
        <v>74</v>
      </c>
      <c r="N194" t="s">
        <v>602</v>
      </c>
      <c r="O194" t="s">
        <v>65</v>
      </c>
      <c r="P194" t="s">
        <v>98</v>
      </c>
      <c r="Q194" t="s">
        <v>99</v>
      </c>
      <c r="R194">
        <v>11765.88</v>
      </c>
      <c r="S194">
        <v>2</v>
      </c>
      <c r="T194">
        <v>0.1</v>
      </c>
      <c r="U194">
        <v>972.53</v>
      </c>
    </row>
    <row r="195" spans="1:21">
      <c r="A195">
        <v>1025</v>
      </c>
      <c r="B195" t="s">
        <v>603</v>
      </c>
      <c r="C195" s="1">
        <v>45588</v>
      </c>
      <c r="D195" s="1">
        <v>45593</v>
      </c>
      <c r="E195" t="s">
        <v>22</v>
      </c>
      <c r="F195" t="s">
        <v>604</v>
      </c>
      <c r="G195" t="s">
        <v>50</v>
      </c>
      <c r="H195" t="s">
        <v>38</v>
      </c>
      <c r="I195" t="s">
        <v>26</v>
      </c>
      <c r="J195" t="s">
        <v>90</v>
      </c>
      <c r="K195" t="s">
        <v>91</v>
      </c>
      <c r="L195" t="s">
        <v>186</v>
      </c>
      <c r="M195" t="s">
        <v>81</v>
      </c>
      <c r="N195" t="s">
        <v>605</v>
      </c>
      <c r="O195" t="s">
        <v>188</v>
      </c>
      <c r="P195" t="s">
        <v>189</v>
      </c>
      <c r="Q195" t="s">
        <v>386</v>
      </c>
      <c r="R195">
        <v>1994.8</v>
      </c>
      <c r="S195">
        <v>1</v>
      </c>
      <c r="T195">
        <v>0.1</v>
      </c>
      <c r="U195">
        <v>109.23</v>
      </c>
    </row>
    <row r="196" spans="1:21">
      <c r="A196">
        <v>1608</v>
      </c>
      <c r="B196" t="s">
        <v>606</v>
      </c>
      <c r="C196" s="1">
        <v>45374</v>
      </c>
      <c r="D196" s="1">
        <v>45376</v>
      </c>
      <c r="E196" t="s">
        <v>22</v>
      </c>
      <c r="F196" t="s">
        <v>517</v>
      </c>
      <c r="G196" t="s">
        <v>174</v>
      </c>
      <c r="H196" t="s">
        <v>108</v>
      </c>
      <c r="I196" t="s">
        <v>26</v>
      </c>
      <c r="J196" t="s">
        <v>115</v>
      </c>
      <c r="K196" t="s">
        <v>116</v>
      </c>
      <c r="L196" t="s">
        <v>92</v>
      </c>
      <c r="M196" t="s">
        <v>118</v>
      </c>
      <c r="N196" t="s">
        <v>607</v>
      </c>
      <c r="O196" t="s">
        <v>44</v>
      </c>
      <c r="P196" t="s">
        <v>211</v>
      </c>
      <c r="Q196" t="s">
        <v>212</v>
      </c>
      <c r="R196">
        <v>5876.64</v>
      </c>
      <c r="S196">
        <v>5</v>
      </c>
      <c r="T196" t="s">
        <v>608</v>
      </c>
      <c r="U196">
        <v>391.85</v>
      </c>
    </row>
    <row r="197" spans="1:21">
      <c r="A197">
        <v>1612</v>
      </c>
      <c r="B197" t="s">
        <v>609</v>
      </c>
      <c r="C197" s="1">
        <v>45497</v>
      </c>
      <c r="D197" s="1">
        <v>45502</v>
      </c>
      <c r="E197" t="s">
        <v>69</v>
      </c>
      <c r="F197" t="s">
        <v>260</v>
      </c>
      <c r="G197" t="s">
        <v>174</v>
      </c>
      <c r="H197" t="s">
        <v>25</v>
      </c>
      <c r="I197" t="s">
        <v>26</v>
      </c>
      <c r="J197" t="s">
        <v>346</v>
      </c>
      <c r="K197" t="s">
        <v>132</v>
      </c>
      <c r="L197" t="s">
        <v>41</v>
      </c>
      <c r="M197" t="s">
        <v>42</v>
      </c>
      <c r="N197" t="s">
        <v>610</v>
      </c>
      <c r="O197" t="s">
        <v>44</v>
      </c>
      <c r="P197" t="s">
        <v>211</v>
      </c>
      <c r="Q197" t="s">
        <v>212</v>
      </c>
      <c r="R197">
        <v>1187.01</v>
      </c>
      <c r="S197">
        <v>1</v>
      </c>
      <c r="T197">
        <v>0</v>
      </c>
      <c r="U197">
        <v>159.53</v>
      </c>
    </row>
    <row r="198" spans="1:21">
      <c r="A198">
        <v>1607</v>
      </c>
      <c r="B198" t="s">
        <v>611</v>
      </c>
      <c r="C198" s="1">
        <v>45367</v>
      </c>
      <c r="D198" s="1">
        <v>45370</v>
      </c>
      <c r="E198" t="s">
        <v>48</v>
      </c>
      <c r="F198" t="s">
        <v>192</v>
      </c>
      <c r="G198" t="s">
        <v>60</v>
      </c>
      <c r="H198" t="s">
        <v>51</v>
      </c>
      <c r="I198" t="s">
        <v>26</v>
      </c>
      <c r="J198" t="s">
        <v>115</v>
      </c>
      <c r="K198" t="s">
        <v>116</v>
      </c>
      <c r="L198" t="s">
        <v>92</v>
      </c>
      <c r="M198" t="s">
        <v>81</v>
      </c>
      <c r="N198" t="s">
        <v>612</v>
      </c>
      <c r="O198" t="s">
        <v>44</v>
      </c>
      <c r="P198" t="s">
        <v>211</v>
      </c>
      <c r="Q198" t="s">
        <v>223</v>
      </c>
      <c r="R198">
        <v>13624.99</v>
      </c>
      <c r="S198">
        <v>8</v>
      </c>
      <c r="U198">
        <v>1719.67</v>
      </c>
    </row>
    <row r="199" spans="1:21">
      <c r="A199">
        <v>1339</v>
      </c>
      <c r="B199" t="s">
        <v>613</v>
      </c>
      <c r="C199" s="1">
        <v>45640</v>
      </c>
      <c r="D199" s="1">
        <v>45642</v>
      </c>
      <c r="E199" t="s">
        <v>22</v>
      </c>
      <c r="F199" t="s">
        <v>411</v>
      </c>
      <c r="G199" t="s">
        <v>165</v>
      </c>
      <c r="H199" t="s">
        <v>25</v>
      </c>
      <c r="I199" t="s">
        <v>26</v>
      </c>
      <c r="J199" t="s">
        <v>61</v>
      </c>
      <c r="K199" t="s">
        <v>62</v>
      </c>
      <c r="L199" t="s">
        <v>63</v>
      </c>
      <c r="M199" t="s">
        <v>42</v>
      </c>
      <c r="N199" t="s">
        <v>614</v>
      </c>
      <c r="O199" t="s">
        <v>83</v>
      </c>
      <c r="P199" t="s">
        <v>84</v>
      </c>
      <c r="Q199" t="s">
        <v>85</v>
      </c>
      <c r="R199">
        <v>4802.18</v>
      </c>
      <c r="S199">
        <v>2</v>
      </c>
      <c r="T199">
        <v>0.2</v>
      </c>
      <c r="U199">
        <v>546.83000000000004</v>
      </c>
    </row>
    <row r="200" spans="1:21">
      <c r="A200">
        <v>1315</v>
      </c>
      <c r="B200" t="s">
        <v>615</v>
      </c>
      <c r="C200" s="1">
        <v>45329</v>
      </c>
      <c r="D200" s="1">
        <v>45332</v>
      </c>
      <c r="E200" t="s">
        <v>69</v>
      </c>
      <c r="F200" t="s">
        <v>373</v>
      </c>
      <c r="G200" t="s">
        <v>37</v>
      </c>
      <c r="H200" t="s">
        <v>310</v>
      </c>
      <c r="I200" t="s">
        <v>26</v>
      </c>
      <c r="J200" t="s">
        <v>346</v>
      </c>
      <c r="K200" t="s">
        <v>132</v>
      </c>
      <c r="L200" t="s">
        <v>92</v>
      </c>
      <c r="M200" t="s">
        <v>81</v>
      </c>
      <c r="N200" t="s">
        <v>616</v>
      </c>
      <c r="O200" t="s">
        <v>55</v>
      </c>
      <c r="P200" t="s">
        <v>66</v>
      </c>
      <c r="Q200" t="s">
        <v>67</v>
      </c>
      <c r="R200">
        <v>15739.78</v>
      </c>
      <c r="S200">
        <v>2</v>
      </c>
      <c r="T200">
        <v>0</v>
      </c>
      <c r="U200">
        <v>2206.64</v>
      </c>
    </row>
    <row r="201" spans="1:21">
      <c r="A201">
        <v>1111</v>
      </c>
      <c r="B201" t="s">
        <v>617</v>
      </c>
      <c r="C201" s="1">
        <v>45597</v>
      </c>
      <c r="D201" s="1">
        <v>45602</v>
      </c>
      <c r="E201" t="s">
        <v>48</v>
      </c>
      <c r="F201" t="s">
        <v>192</v>
      </c>
      <c r="G201" t="s">
        <v>136</v>
      </c>
      <c r="H201" t="s">
        <v>25</v>
      </c>
      <c r="I201" t="s">
        <v>26</v>
      </c>
      <c r="J201" t="s">
        <v>79</v>
      </c>
      <c r="K201" t="s">
        <v>80</v>
      </c>
      <c r="L201" t="s">
        <v>186</v>
      </c>
      <c r="M201" t="s">
        <v>74</v>
      </c>
      <c r="N201" t="s">
        <v>571</v>
      </c>
      <c r="O201" t="s">
        <v>138</v>
      </c>
      <c r="P201" t="s">
        <v>156</v>
      </c>
      <c r="Q201" t="s">
        <v>157</v>
      </c>
      <c r="R201">
        <v>1168.75</v>
      </c>
      <c r="S201">
        <v>4</v>
      </c>
      <c r="T201">
        <v>0.25</v>
      </c>
      <c r="U201">
        <v>45.33</v>
      </c>
    </row>
    <row r="202" spans="1:21">
      <c r="A202">
        <v>1083</v>
      </c>
      <c r="B202" t="s">
        <v>618</v>
      </c>
      <c r="C202" s="1">
        <v>45293</v>
      </c>
      <c r="D202" s="1">
        <v>45296</v>
      </c>
      <c r="E202" t="s">
        <v>48</v>
      </c>
      <c r="F202" t="s">
        <v>619</v>
      </c>
      <c r="G202" t="s">
        <v>114</v>
      </c>
      <c r="H202" t="s">
        <v>51</v>
      </c>
      <c r="I202" t="s">
        <v>26</v>
      </c>
      <c r="J202" t="s">
        <v>61</v>
      </c>
      <c r="K202" t="s">
        <v>62</v>
      </c>
      <c r="L202" t="s">
        <v>29</v>
      </c>
      <c r="M202" t="s">
        <v>127</v>
      </c>
      <c r="N202" t="s">
        <v>620</v>
      </c>
      <c r="O202" t="s">
        <v>144</v>
      </c>
      <c r="P202" t="s">
        <v>98</v>
      </c>
      <c r="Q202" t="s">
        <v>99</v>
      </c>
      <c r="R202">
        <v>25416.94</v>
      </c>
      <c r="S202">
        <v>5</v>
      </c>
      <c r="T202">
        <v>0.15</v>
      </c>
      <c r="U202">
        <v>1854.88</v>
      </c>
    </row>
    <row r="203" spans="1:21">
      <c r="A203">
        <v>1052</v>
      </c>
      <c r="B203" t="s">
        <v>621</v>
      </c>
      <c r="C203" s="1">
        <v>45528</v>
      </c>
      <c r="D203" s="1">
        <v>45530</v>
      </c>
      <c r="E203" t="s">
        <v>22</v>
      </c>
      <c r="F203" t="s">
        <v>601</v>
      </c>
      <c r="G203" t="s">
        <v>37</v>
      </c>
      <c r="H203" t="s">
        <v>51</v>
      </c>
      <c r="I203" t="s">
        <v>26</v>
      </c>
      <c r="J203" t="s">
        <v>79</v>
      </c>
      <c r="K203" t="s">
        <v>80</v>
      </c>
      <c r="L203" t="s">
        <v>63</v>
      </c>
      <c r="M203" t="s">
        <v>30</v>
      </c>
      <c r="N203" t="s">
        <v>622</v>
      </c>
      <c r="O203" t="s">
        <v>138</v>
      </c>
      <c r="P203" t="s">
        <v>156</v>
      </c>
      <c r="Q203" t="s">
        <v>157</v>
      </c>
      <c r="R203">
        <v>1050.83</v>
      </c>
      <c r="S203">
        <v>3</v>
      </c>
      <c r="T203">
        <v>0.05</v>
      </c>
      <c r="U203">
        <v>176.77</v>
      </c>
    </row>
    <row r="204" spans="1:21">
      <c r="A204">
        <v>1429</v>
      </c>
      <c r="B204" t="s">
        <v>623</v>
      </c>
      <c r="C204" s="1">
        <v>45538</v>
      </c>
      <c r="D204" s="1">
        <v>45539</v>
      </c>
      <c r="E204" t="s">
        <v>48</v>
      </c>
      <c r="F204" t="s">
        <v>164</v>
      </c>
      <c r="G204" t="s">
        <v>37</v>
      </c>
      <c r="H204" t="s">
        <v>25</v>
      </c>
      <c r="I204" t="s">
        <v>26</v>
      </c>
      <c r="J204" t="s">
        <v>27</v>
      </c>
      <c r="K204" t="s">
        <v>28</v>
      </c>
      <c r="L204" t="s">
        <v>92</v>
      </c>
      <c r="M204" t="s">
        <v>81</v>
      </c>
      <c r="N204" t="s">
        <v>624</v>
      </c>
      <c r="O204" t="s">
        <v>120</v>
      </c>
      <c r="P204" t="s">
        <v>182</v>
      </c>
      <c r="Q204" t="s">
        <v>183</v>
      </c>
      <c r="R204">
        <v>2499.79</v>
      </c>
      <c r="S204">
        <v>6</v>
      </c>
      <c r="T204">
        <v>0</v>
      </c>
      <c r="U204">
        <v>492.98</v>
      </c>
    </row>
    <row r="205" spans="1:21">
      <c r="A205">
        <v>1611</v>
      </c>
      <c r="B205" t="s">
        <v>625</v>
      </c>
      <c r="C205" s="1">
        <v>45581</v>
      </c>
      <c r="D205" s="1">
        <v>45587</v>
      </c>
      <c r="E205" t="s">
        <v>101</v>
      </c>
      <c r="F205" t="s">
        <v>361</v>
      </c>
      <c r="G205" t="s">
        <v>24</v>
      </c>
      <c r="H205" t="s">
        <v>302</v>
      </c>
      <c r="I205" t="s">
        <v>26</v>
      </c>
      <c r="J205" t="s">
        <v>115</v>
      </c>
      <c r="K205" t="s">
        <v>116</v>
      </c>
      <c r="L205" t="s">
        <v>41</v>
      </c>
      <c r="M205" t="s">
        <v>81</v>
      </c>
      <c r="N205" t="s">
        <v>167</v>
      </c>
      <c r="O205" t="s">
        <v>138</v>
      </c>
      <c r="P205" t="s">
        <v>182</v>
      </c>
      <c r="Q205" t="s">
        <v>183</v>
      </c>
      <c r="R205">
        <v>3208.37</v>
      </c>
      <c r="S205">
        <v>7</v>
      </c>
      <c r="T205">
        <v>0.05</v>
      </c>
      <c r="U205">
        <v>443.64</v>
      </c>
    </row>
    <row r="206" spans="1:21">
      <c r="A206">
        <v>1199</v>
      </c>
      <c r="B206" t="s">
        <v>626</v>
      </c>
      <c r="C206" s="1">
        <v>45376</v>
      </c>
      <c r="D206" s="1">
        <v>45379</v>
      </c>
      <c r="E206" t="s">
        <v>101</v>
      </c>
      <c r="F206" t="s">
        <v>102</v>
      </c>
      <c r="G206" t="s">
        <v>125</v>
      </c>
      <c r="H206" t="s">
        <v>51</v>
      </c>
      <c r="I206" t="s">
        <v>26</v>
      </c>
      <c r="J206" t="s">
        <v>52</v>
      </c>
      <c r="K206" t="s">
        <v>52</v>
      </c>
      <c r="L206" t="s">
        <v>92</v>
      </c>
      <c r="M206" t="s">
        <v>81</v>
      </c>
      <c r="N206" t="s">
        <v>605</v>
      </c>
      <c r="O206" t="s">
        <v>188</v>
      </c>
      <c r="P206" t="s">
        <v>189</v>
      </c>
      <c r="Q206" t="s">
        <v>190</v>
      </c>
      <c r="R206">
        <v>17477.93</v>
      </c>
      <c r="S206">
        <v>3</v>
      </c>
      <c r="T206">
        <v>0.05</v>
      </c>
      <c r="U206">
        <v>1643.6</v>
      </c>
    </row>
    <row r="207" spans="1:21">
      <c r="A207">
        <v>1531</v>
      </c>
      <c r="B207" t="s">
        <v>627</v>
      </c>
      <c r="C207" s="1">
        <v>45390</v>
      </c>
      <c r="D207" s="1">
        <v>45393</v>
      </c>
      <c r="E207" t="s">
        <v>48</v>
      </c>
      <c r="F207" t="s">
        <v>420</v>
      </c>
      <c r="G207" t="s">
        <v>174</v>
      </c>
      <c r="H207" t="s">
        <v>89</v>
      </c>
      <c r="I207" t="s">
        <v>26</v>
      </c>
      <c r="J207" t="s">
        <v>27</v>
      </c>
      <c r="K207" t="s">
        <v>28</v>
      </c>
      <c r="L207" t="s">
        <v>29</v>
      </c>
      <c r="M207" t="s">
        <v>81</v>
      </c>
      <c r="N207" t="s">
        <v>628</v>
      </c>
      <c r="O207" t="s">
        <v>55</v>
      </c>
      <c r="P207" t="s">
        <v>66</v>
      </c>
      <c r="Q207" t="s">
        <v>67</v>
      </c>
      <c r="R207">
        <v>8107.38</v>
      </c>
      <c r="S207">
        <v>1</v>
      </c>
      <c r="T207">
        <v>0.1</v>
      </c>
      <c r="U207">
        <v>956.62</v>
      </c>
    </row>
    <row r="208" spans="1:21">
      <c r="A208">
        <v>1629</v>
      </c>
      <c r="B208" t="s">
        <v>629</v>
      </c>
      <c r="C208" s="1">
        <v>45331</v>
      </c>
      <c r="D208" s="1">
        <v>45332</v>
      </c>
      <c r="E208" t="s">
        <v>101</v>
      </c>
      <c r="F208" t="s">
        <v>106</v>
      </c>
      <c r="G208" t="s">
        <v>37</v>
      </c>
      <c r="H208" t="s">
        <v>51</v>
      </c>
      <c r="I208" t="s">
        <v>26</v>
      </c>
      <c r="J208" t="s">
        <v>166</v>
      </c>
      <c r="K208" t="s">
        <v>132</v>
      </c>
      <c r="L208" t="s">
        <v>41</v>
      </c>
      <c r="M208" t="s">
        <v>30</v>
      </c>
      <c r="N208" t="s">
        <v>93</v>
      </c>
      <c r="O208" t="s">
        <v>44</v>
      </c>
      <c r="P208" t="s">
        <v>45</v>
      </c>
      <c r="Q208" t="s">
        <v>46</v>
      </c>
      <c r="R208">
        <v>137100.09</v>
      </c>
      <c r="S208">
        <v>4</v>
      </c>
      <c r="T208">
        <v>0</v>
      </c>
      <c r="U208">
        <v>15017.63</v>
      </c>
    </row>
    <row r="209" spans="1:21">
      <c r="A209">
        <v>1692</v>
      </c>
      <c r="B209" t="s">
        <v>630</v>
      </c>
      <c r="C209" s="1">
        <v>45339</v>
      </c>
      <c r="D209" s="1">
        <v>45340</v>
      </c>
      <c r="E209" t="s">
        <v>48</v>
      </c>
      <c r="F209" t="s">
        <v>598</v>
      </c>
      <c r="G209" t="s">
        <v>125</v>
      </c>
      <c r="H209" t="s">
        <v>51</v>
      </c>
      <c r="I209" t="s">
        <v>26</v>
      </c>
      <c r="J209" t="s">
        <v>109</v>
      </c>
      <c r="K209" t="s">
        <v>110</v>
      </c>
      <c r="L209" t="s">
        <v>154</v>
      </c>
      <c r="M209" t="s">
        <v>81</v>
      </c>
      <c r="N209" t="s">
        <v>631</v>
      </c>
      <c r="O209" t="s">
        <v>83</v>
      </c>
      <c r="P209" t="s">
        <v>84</v>
      </c>
      <c r="Q209" t="s">
        <v>85</v>
      </c>
      <c r="R209">
        <v>2580.25</v>
      </c>
      <c r="S209">
        <v>1</v>
      </c>
      <c r="T209">
        <v>0.25</v>
      </c>
      <c r="U209">
        <v>198.47</v>
      </c>
    </row>
    <row r="210" spans="1:21">
      <c r="A210">
        <v>1413</v>
      </c>
      <c r="B210" t="s">
        <v>632</v>
      </c>
      <c r="C210" s="1">
        <v>45611</v>
      </c>
      <c r="D210" s="1">
        <v>45617</v>
      </c>
      <c r="E210" t="s">
        <v>48</v>
      </c>
      <c r="F210" t="s">
        <v>633</v>
      </c>
      <c r="G210" t="s">
        <v>24</v>
      </c>
      <c r="H210" t="s">
        <v>389</v>
      </c>
      <c r="I210" t="s">
        <v>26</v>
      </c>
      <c r="J210" t="s">
        <v>61</v>
      </c>
      <c r="K210" t="s">
        <v>62</v>
      </c>
      <c r="L210" t="s">
        <v>215</v>
      </c>
      <c r="M210" t="s">
        <v>118</v>
      </c>
      <c r="N210" t="s">
        <v>443</v>
      </c>
      <c r="O210" t="s">
        <v>55</v>
      </c>
      <c r="P210" t="s">
        <v>98</v>
      </c>
      <c r="Q210" t="s">
        <v>99</v>
      </c>
      <c r="R210">
        <v>30581.89</v>
      </c>
      <c r="S210">
        <v>5</v>
      </c>
      <c r="T210">
        <v>0.05</v>
      </c>
      <c r="U210">
        <v>4717.74</v>
      </c>
    </row>
    <row r="211" spans="1:21">
      <c r="A211">
        <v>1140</v>
      </c>
      <c r="B211" t="s">
        <v>634</v>
      </c>
      <c r="C211" s="1">
        <v>45450</v>
      </c>
      <c r="D211" s="1">
        <v>45454</v>
      </c>
      <c r="E211" t="s">
        <v>69</v>
      </c>
      <c r="F211" t="s">
        <v>446</v>
      </c>
      <c r="G211" t="s">
        <v>125</v>
      </c>
      <c r="H211" t="s">
        <v>25</v>
      </c>
      <c r="I211" t="s">
        <v>26</v>
      </c>
      <c r="J211" t="s">
        <v>115</v>
      </c>
      <c r="K211" t="s">
        <v>116</v>
      </c>
      <c r="L211" t="s">
        <v>334</v>
      </c>
      <c r="M211" t="s">
        <v>118</v>
      </c>
      <c r="N211" t="s">
        <v>635</v>
      </c>
      <c r="O211" t="s">
        <v>543</v>
      </c>
      <c r="P211" t="s">
        <v>84</v>
      </c>
      <c r="Q211" t="s">
        <v>85</v>
      </c>
      <c r="R211">
        <v>5946.13</v>
      </c>
      <c r="S211">
        <v>2</v>
      </c>
      <c r="T211">
        <v>0.1</v>
      </c>
      <c r="U211">
        <v>1262.73</v>
      </c>
    </row>
    <row r="212" spans="1:21">
      <c r="A212">
        <v>1295</v>
      </c>
      <c r="B212" t="s">
        <v>636</v>
      </c>
      <c r="C212" s="1">
        <v>45307</v>
      </c>
      <c r="D212" s="1">
        <v>45311</v>
      </c>
      <c r="E212" t="s">
        <v>101</v>
      </c>
      <c r="F212" t="s">
        <v>142</v>
      </c>
      <c r="G212" t="s">
        <v>24</v>
      </c>
      <c r="H212" t="s">
        <v>25</v>
      </c>
      <c r="I212" t="s">
        <v>26</v>
      </c>
      <c r="J212" t="s">
        <v>52</v>
      </c>
      <c r="K212" t="s">
        <v>52</v>
      </c>
      <c r="L212" t="s">
        <v>92</v>
      </c>
      <c r="M212" t="s">
        <v>74</v>
      </c>
      <c r="N212" t="s">
        <v>258</v>
      </c>
      <c r="O212" t="s">
        <v>44</v>
      </c>
      <c r="P212" t="s">
        <v>207</v>
      </c>
      <c r="Q212" t="s">
        <v>208</v>
      </c>
      <c r="R212">
        <v>92920.15</v>
      </c>
      <c r="S212">
        <v>2</v>
      </c>
      <c r="T212">
        <v>0.05</v>
      </c>
      <c r="U212">
        <v>5947.93</v>
      </c>
    </row>
    <row r="213" spans="1:21">
      <c r="A213">
        <v>1616</v>
      </c>
      <c r="B213" t="s">
        <v>637</v>
      </c>
      <c r="C213" s="1">
        <v>45504</v>
      </c>
      <c r="D213" s="1">
        <v>45506</v>
      </c>
      <c r="E213" t="s">
        <v>22</v>
      </c>
      <c r="F213" t="s">
        <v>291</v>
      </c>
      <c r="G213" t="s">
        <v>107</v>
      </c>
      <c r="H213" t="s">
        <v>38</v>
      </c>
      <c r="I213" t="s">
        <v>26</v>
      </c>
      <c r="J213" t="s">
        <v>27</v>
      </c>
      <c r="K213" t="s">
        <v>28</v>
      </c>
      <c r="L213" t="s">
        <v>63</v>
      </c>
      <c r="M213" t="s">
        <v>118</v>
      </c>
      <c r="N213" t="s">
        <v>638</v>
      </c>
      <c r="O213" t="s">
        <v>120</v>
      </c>
      <c r="P213" t="s">
        <v>182</v>
      </c>
      <c r="Q213" t="s">
        <v>183</v>
      </c>
      <c r="R213">
        <v>1793.91</v>
      </c>
      <c r="S213">
        <v>5</v>
      </c>
      <c r="T213">
        <v>0.25</v>
      </c>
      <c r="U213">
        <v>58.19</v>
      </c>
    </row>
    <row r="214" spans="1:21">
      <c r="A214">
        <v>1019</v>
      </c>
      <c r="B214" t="s">
        <v>639</v>
      </c>
      <c r="C214" s="1">
        <v>45473</v>
      </c>
      <c r="D214" s="1">
        <v>45477</v>
      </c>
      <c r="E214" t="s">
        <v>101</v>
      </c>
      <c r="F214" t="s">
        <v>598</v>
      </c>
      <c r="G214" t="s">
        <v>88</v>
      </c>
      <c r="H214" t="s">
        <v>51</v>
      </c>
      <c r="I214" t="s">
        <v>26</v>
      </c>
      <c r="J214" t="s">
        <v>39</v>
      </c>
      <c r="K214" t="s">
        <v>40</v>
      </c>
      <c r="L214" t="s">
        <v>41</v>
      </c>
      <c r="M214" t="s">
        <v>81</v>
      </c>
      <c r="N214" t="s">
        <v>640</v>
      </c>
      <c r="O214" t="s">
        <v>83</v>
      </c>
      <c r="P214" t="s">
        <v>84</v>
      </c>
      <c r="Q214" t="s">
        <v>85</v>
      </c>
      <c r="R214">
        <v>2324.9699999999998</v>
      </c>
      <c r="S214">
        <v>1</v>
      </c>
      <c r="T214">
        <v>0.25</v>
      </c>
      <c r="U214">
        <v>162.51</v>
      </c>
    </row>
    <row r="215" spans="1:21">
      <c r="A215">
        <v>1555</v>
      </c>
      <c r="B215" t="s">
        <v>641</v>
      </c>
      <c r="C215" s="1">
        <v>45585</v>
      </c>
      <c r="D215" s="1">
        <v>45586</v>
      </c>
      <c r="E215" t="s">
        <v>48</v>
      </c>
      <c r="F215" t="s">
        <v>414</v>
      </c>
      <c r="G215" t="s">
        <v>24</v>
      </c>
      <c r="H215" t="s">
        <v>51</v>
      </c>
      <c r="I215" t="s">
        <v>26</v>
      </c>
      <c r="J215" t="s">
        <v>79</v>
      </c>
      <c r="K215" t="s">
        <v>80</v>
      </c>
      <c r="L215" t="s">
        <v>41</v>
      </c>
      <c r="M215" t="s">
        <v>42</v>
      </c>
      <c r="N215" t="s">
        <v>82</v>
      </c>
      <c r="O215" t="s">
        <v>55</v>
      </c>
      <c r="P215" t="s">
        <v>66</v>
      </c>
      <c r="Q215" t="s">
        <v>67</v>
      </c>
      <c r="R215">
        <v>24984.78</v>
      </c>
      <c r="S215">
        <v>3</v>
      </c>
      <c r="T215">
        <v>0.05</v>
      </c>
      <c r="U215">
        <v>2634.29</v>
      </c>
    </row>
    <row r="216" spans="1:21">
      <c r="A216">
        <v>1141</v>
      </c>
      <c r="B216" t="s">
        <v>642</v>
      </c>
      <c r="C216" s="1">
        <v>45394</v>
      </c>
      <c r="D216" s="1">
        <v>45399</v>
      </c>
      <c r="E216" t="s">
        <v>69</v>
      </c>
      <c r="F216" t="s">
        <v>301</v>
      </c>
      <c r="G216" t="s">
        <v>78</v>
      </c>
      <c r="H216" t="s">
        <v>51</v>
      </c>
      <c r="I216" t="s">
        <v>26</v>
      </c>
      <c r="J216" t="s">
        <v>115</v>
      </c>
      <c r="K216" t="s">
        <v>116</v>
      </c>
      <c r="L216" t="s">
        <v>41</v>
      </c>
      <c r="M216" t="s">
        <v>81</v>
      </c>
      <c r="N216" t="s">
        <v>643</v>
      </c>
      <c r="O216" t="s">
        <v>83</v>
      </c>
      <c r="P216" t="s">
        <v>84</v>
      </c>
      <c r="Q216" t="s">
        <v>85</v>
      </c>
      <c r="R216">
        <v>9689.1</v>
      </c>
      <c r="S216">
        <v>3</v>
      </c>
      <c r="T216">
        <v>0.05</v>
      </c>
      <c r="U216">
        <v>1936.68</v>
      </c>
    </row>
    <row r="217" spans="1:21">
      <c r="A217">
        <v>1481</v>
      </c>
      <c r="B217" t="s">
        <v>644</v>
      </c>
      <c r="C217" s="1">
        <v>45505</v>
      </c>
      <c r="D217" s="1">
        <v>45506</v>
      </c>
      <c r="E217" t="s">
        <v>69</v>
      </c>
      <c r="F217" t="s">
        <v>645</v>
      </c>
      <c r="G217" t="s">
        <v>125</v>
      </c>
      <c r="H217" t="s">
        <v>89</v>
      </c>
      <c r="I217" t="s">
        <v>26</v>
      </c>
      <c r="J217" t="s">
        <v>346</v>
      </c>
      <c r="K217" t="s">
        <v>132</v>
      </c>
      <c r="L217" t="s">
        <v>41</v>
      </c>
      <c r="M217" t="s">
        <v>81</v>
      </c>
      <c r="N217" t="s">
        <v>646</v>
      </c>
      <c r="O217" t="s">
        <v>188</v>
      </c>
      <c r="P217" t="s">
        <v>189</v>
      </c>
      <c r="Q217" t="s">
        <v>190</v>
      </c>
      <c r="R217">
        <v>8119.26</v>
      </c>
      <c r="S217">
        <v>2</v>
      </c>
      <c r="T217">
        <v>0.25</v>
      </c>
      <c r="U217">
        <v>-277.49</v>
      </c>
    </row>
    <row r="218" spans="1:21">
      <c r="A218">
        <v>1469</v>
      </c>
      <c r="B218" t="s">
        <v>647</v>
      </c>
      <c r="C218" s="1">
        <v>45314</v>
      </c>
      <c r="D218" s="1">
        <v>45316</v>
      </c>
      <c r="E218" t="s">
        <v>69</v>
      </c>
      <c r="F218" t="s">
        <v>301</v>
      </c>
      <c r="G218" t="s">
        <v>229</v>
      </c>
      <c r="H218" t="s">
        <v>25</v>
      </c>
      <c r="I218" t="s">
        <v>26</v>
      </c>
      <c r="J218" t="s">
        <v>226</v>
      </c>
      <c r="K218" t="s">
        <v>110</v>
      </c>
      <c r="L218" t="s">
        <v>92</v>
      </c>
      <c r="M218" t="s">
        <v>74</v>
      </c>
      <c r="N218" t="s">
        <v>366</v>
      </c>
      <c r="O218" t="s">
        <v>144</v>
      </c>
      <c r="P218" t="s">
        <v>98</v>
      </c>
      <c r="Q218" t="s">
        <v>99</v>
      </c>
      <c r="R218">
        <v>5906.83</v>
      </c>
      <c r="S218">
        <v>1</v>
      </c>
      <c r="T218">
        <v>0</v>
      </c>
      <c r="U218">
        <v>1140.8699999999999</v>
      </c>
    </row>
    <row r="219" spans="1:21">
      <c r="A219">
        <v>1517</v>
      </c>
      <c r="B219" t="s">
        <v>648</v>
      </c>
      <c r="C219" s="1">
        <v>45605</v>
      </c>
      <c r="D219" s="1">
        <v>45606</v>
      </c>
      <c r="E219" t="s">
        <v>22</v>
      </c>
      <c r="F219" t="s">
        <v>649</v>
      </c>
      <c r="G219" t="s">
        <v>24</v>
      </c>
      <c r="H219" t="s">
        <v>51</v>
      </c>
      <c r="I219" t="s">
        <v>26</v>
      </c>
      <c r="J219" t="s">
        <v>115</v>
      </c>
      <c r="K219" t="s">
        <v>116</v>
      </c>
      <c r="L219" t="s">
        <v>41</v>
      </c>
      <c r="M219" t="s">
        <v>118</v>
      </c>
      <c r="N219" t="s">
        <v>359</v>
      </c>
      <c r="O219" t="s">
        <v>144</v>
      </c>
      <c r="P219" t="s">
        <v>56</v>
      </c>
      <c r="Q219" t="s">
        <v>57</v>
      </c>
      <c r="R219">
        <v>18600.22</v>
      </c>
      <c r="S219">
        <v>3</v>
      </c>
      <c r="T219">
        <v>0.1</v>
      </c>
      <c r="U219">
        <v>1431.79</v>
      </c>
    </row>
    <row r="220" spans="1:21">
      <c r="A220">
        <v>1084</v>
      </c>
      <c r="B220" t="s">
        <v>650</v>
      </c>
      <c r="C220" s="1">
        <v>45525</v>
      </c>
      <c r="D220" s="1">
        <v>45528</v>
      </c>
      <c r="E220" t="s">
        <v>69</v>
      </c>
      <c r="F220" t="s">
        <v>324</v>
      </c>
      <c r="G220" t="s">
        <v>107</v>
      </c>
      <c r="H220" t="s">
        <v>51</v>
      </c>
      <c r="I220" t="s">
        <v>26</v>
      </c>
      <c r="J220" t="s">
        <v>39</v>
      </c>
      <c r="K220" t="s">
        <v>40</v>
      </c>
      <c r="L220" t="s">
        <v>29</v>
      </c>
      <c r="M220" t="s">
        <v>30</v>
      </c>
      <c r="N220" t="s">
        <v>651</v>
      </c>
      <c r="O220" t="s">
        <v>138</v>
      </c>
      <c r="P220" t="s">
        <v>121</v>
      </c>
      <c r="Q220" t="s">
        <v>122</v>
      </c>
      <c r="R220">
        <v>947.04</v>
      </c>
      <c r="S220">
        <v>2</v>
      </c>
      <c r="T220">
        <v>0.25</v>
      </c>
      <c r="U220">
        <v>29.95</v>
      </c>
    </row>
    <row r="221" spans="1:21">
      <c r="A221">
        <v>1062</v>
      </c>
      <c r="B221" t="s">
        <v>652</v>
      </c>
      <c r="C221" s="1">
        <v>45622</v>
      </c>
      <c r="D221" s="1">
        <v>45628</v>
      </c>
      <c r="E221" t="s">
        <v>101</v>
      </c>
      <c r="F221" t="s">
        <v>260</v>
      </c>
      <c r="G221" t="s">
        <v>147</v>
      </c>
      <c r="H221" t="s">
        <v>38</v>
      </c>
      <c r="I221" t="s">
        <v>26</v>
      </c>
      <c r="J221" t="s">
        <v>160</v>
      </c>
      <c r="K221" t="s">
        <v>161</v>
      </c>
      <c r="L221" t="s">
        <v>263</v>
      </c>
      <c r="M221" t="s">
        <v>74</v>
      </c>
      <c r="N221" t="s">
        <v>653</v>
      </c>
      <c r="O221" t="s">
        <v>55</v>
      </c>
      <c r="P221" t="s">
        <v>98</v>
      </c>
      <c r="Q221" t="s">
        <v>99</v>
      </c>
      <c r="R221">
        <v>17398.18</v>
      </c>
      <c r="S221">
        <v>4</v>
      </c>
      <c r="T221">
        <v>0.3</v>
      </c>
      <c r="U221">
        <v>-490.21</v>
      </c>
    </row>
    <row r="222" spans="1:21">
      <c r="A222">
        <v>1722</v>
      </c>
      <c r="B222" t="s">
        <v>654</v>
      </c>
      <c r="C222" s="1">
        <v>45524</v>
      </c>
      <c r="D222" s="1">
        <v>45527</v>
      </c>
      <c r="E222" t="s">
        <v>69</v>
      </c>
      <c r="F222" t="s">
        <v>414</v>
      </c>
      <c r="G222" t="s">
        <v>24</v>
      </c>
      <c r="H222" t="s">
        <v>126</v>
      </c>
      <c r="I222" t="s">
        <v>26</v>
      </c>
      <c r="J222" t="s">
        <v>27</v>
      </c>
      <c r="K222" t="s">
        <v>28</v>
      </c>
      <c r="L222" t="s">
        <v>92</v>
      </c>
      <c r="M222" t="s">
        <v>42</v>
      </c>
      <c r="N222" t="s">
        <v>655</v>
      </c>
      <c r="O222" t="s">
        <v>138</v>
      </c>
      <c r="P222" t="s">
        <v>156</v>
      </c>
      <c r="Q222" t="s">
        <v>157</v>
      </c>
      <c r="R222">
        <v>780.99</v>
      </c>
      <c r="S222">
        <v>2</v>
      </c>
      <c r="T222">
        <v>0</v>
      </c>
      <c r="U222">
        <v>151.80000000000001</v>
      </c>
    </row>
    <row r="223" spans="1:21">
      <c r="A223">
        <v>1454</v>
      </c>
      <c r="B223" t="s">
        <v>656</v>
      </c>
      <c r="C223" s="1">
        <v>45437</v>
      </c>
      <c r="D223" s="1">
        <v>45443</v>
      </c>
      <c r="E223" t="s">
        <v>48</v>
      </c>
      <c r="F223" t="s">
        <v>271</v>
      </c>
      <c r="G223" t="s">
        <v>107</v>
      </c>
      <c r="H223" t="s">
        <v>153</v>
      </c>
      <c r="I223" t="s">
        <v>26</v>
      </c>
      <c r="J223" t="s">
        <v>72</v>
      </c>
      <c r="K223" t="s">
        <v>73</v>
      </c>
      <c r="L223" t="s">
        <v>41</v>
      </c>
      <c r="M223" t="s">
        <v>30</v>
      </c>
      <c r="N223" t="s">
        <v>657</v>
      </c>
      <c r="O223" t="s">
        <v>55</v>
      </c>
      <c r="P223" t="s">
        <v>66</v>
      </c>
      <c r="Q223" t="s">
        <v>67</v>
      </c>
      <c r="R223">
        <v>22775.89</v>
      </c>
      <c r="S223">
        <v>3</v>
      </c>
      <c r="T223">
        <v>0.15</v>
      </c>
      <c r="U223">
        <v>1310.91</v>
      </c>
    </row>
    <row r="224" spans="1:21">
      <c r="A224">
        <v>1030</v>
      </c>
      <c r="B224" t="s">
        <v>658</v>
      </c>
      <c r="C224" s="1">
        <v>45339</v>
      </c>
      <c r="D224" s="1">
        <v>45345</v>
      </c>
      <c r="E224" t="s">
        <v>101</v>
      </c>
      <c r="F224" t="s">
        <v>340</v>
      </c>
      <c r="G224" t="s">
        <v>78</v>
      </c>
      <c r="H224" t="s">
        <v>51</v>
      </c>
      <c r="I224" t="s">
        <v>26</v>
      </c>
      <c r="J224" t="s">
        <v>61</v>
      </c>
      <c r="K224" t="s">
        <v>62</v>
      </c>
      <c r="L224" t="s">
        <v>41</v>
      </c>
      <c r="M224" t="s">
        <v>74</v>
      </c>
      <c r="N224" t="s">
        <v>201</v>
      </c>
      <c r="O224" t="s">
        <v>55</v>
      </c>
      <c r="P224" t="s">
        <v>66</v>
      </c>
      <c r="Q224" t="s">
        <v>67</v>
      </c>
      <c r="R224">
        <v>15763.02</v>
      </c>
      <c r="S224">
        <v>2</v>
      </c>
      <c r="T224">
        <v>0</v>
      </c>
      <c r="U224">
        <v>2301.8200000000002</v>
      </c>
    </row>
    <row r="225" spans="1:21">
      <c r="A225">
        <v>1260</v>
      </c>
      <c r="B225" t="s">
        <v>659</v>
      </c>
      <c r="C225" s="1">
        <v>45361</v>
      </c>
      <c r="D225" s="1">
        <v>45365</v>
      </c>
      <c r="E225" t="s">
        <v>22</v>
      </c>
      <c r="F225" t="s">
        <v>660</v>
      </c>
      <c r="G225" t="s">
        <v>88</v>
      </c>
      <c r="H225" t="s">
        <v>25</v>
      </c>
      <c r="I225" t="s">
        <v>26</v>
      </c>
      <c r="J225" t="s">
        <v>115</v>
      </c>
      <c r="K225" t="s">
        <v>116</v>
      </c>
      <c r="L225" t="s">
        <v>92</v>
      </c>
      <c r="M225" t="s">
        <v>81</v>
      </c>
      <c r="N225" t="s">
        <v>661</v>
      </c>
      <c r="O225" t="s">
        <v>55</v>
      </c>
      <c r="P225" t="s">
        <v>66</v>
      </c>
      <c r="Q225" t="s">
        <v>67</v>
      </c>
      <c r="R225">
        <v>64138.87</v>
      </c>
      <c r="S225">
        <v>7</v>
      </c>
      <c r="T225">
        <v>0</v>
      </c>
      <c r="U225">
        <v>8468.4699999999993</v>
      </c>
    </row>
    <row r="226" spans="1:21">
      <c r="A226">
        <v>1267</v>
      </c>
      <c r="B226" t="s">
        <v>662</v>
      </c>
      <c r="C226" s="1">
        <v>45511</v>
      </c>
      <c r="D226" s="1">
        <v>45517</v>
      </c>
      <c r="E226" t="s">
        <v>22</v>
      </c>
      <c r="F226" t="s">
        <v>663</v>
      </c>
      <c r="G226" t="s">
        <v>50</v>
      </c>
      <c r="H226" t="s">
        <v>51</v>
      </c>
      <c r="I226" t="s">
        <v>26</v>
      </c>
      <c r="J226" t="s">
        <v>166</v>
      </c>
      <c r="K226" t="s">
        <v>132</v>
      </c>
      <c r="L226" t="s">
        <v>41</v>
      </c>
      <c r="M226" t="s">
        <v>30</v>
      </c>
      <c r="N226" t="s">
        <v>664</v>
      </c>
      <c r="O226" t="s">
        <v>293</v>
      </c>
      <c r="P226" t="s">
        <v>207</v>
      </c>
      <c r="Q226" t="s">
        <v>208</v>
      </c>
      <c r="R226">
        <v>101037.63</v>
      </c>
      <c r="S226">
        <v>2</v>
      </c>
      <c r="T226">
        <v>0.1</v>
      </c>
      <c r="U226">
        <v>4672.71</v>
      </c>
    </row>
    <row r="227" spans="1:21">
      <c r="A227">
        <v>1343</v>
      </c>
      <c r="B227" t="s">
        <v>665</v>
      </c>
      <c r="C227" s="1">
        <v>45532</v>
      </c>
      <c r="D227" s="1">
        <v>45533</v>
      </c>
      <c r="E227" t="s">
        <v>22</v>
      </c>
      <c r="F227" t="s">
        <v>479</v>
      </c>
      <c r="G227" t="s">
        <v>71</v>
      </c>
      <c r="H227" t="s">
        <v>51</v>
      </c>
      <c r="I227" t="s">
        <v>26</v>
      </c>
      <c r="J227" t="s">
        <v>226</v>
      </c>
      <c r="K227" t="s">
        <v>110</v>
      </c>
      <c r="L227" t="s">
        <v>92</v>
      </c>
      <c r="M227" t="s">
        <v>170</v>
      </c>
      <c r="N227" t="s">
        <v>666</v>
      </c>
      <c r="O227" t="s">
        <v>55</v>
      </c>
      <c r="P227" t="s">
        <v>56</v>
      </c>
      <c r="Q227" t="s">
        <v>57</v>
      </c>
      <c r="R227">
        <v>15389.28</v>
      </c>
      <c r="S227">
        <v>2</v>
      </c>
      <c r="T227">
        <v>0</v>
      </c>
      <c r="U227">
        <v>2532.17</v>
      </c>
    </row>
    <row r="228" spans="1:21">
      <c r="A228">
        <v>1409</v>
      </c>
      <c r="B228" t="s">
        <v>667</v>
      </c>
      <c r="C228" s="1">
        <v>45600</v>
      </c>
      <c r="D228" s="1">
        <v>45606</v>
      </c>
      <c r="E228" t="s">
        <v>22</v>
      </c>
      <c r="F228" t="s">
        <v>221</v>
      </c>
      <c r="G228" t="s">
        <v>107</v>
      </c>
      <c r="H228" t="s">
        <v>51</v>
      </c>
      <c r="I228" t="s">
        <v>26</v>
      </c>
      <c r="J228" t="s">
        <v>90</v>
      </c>
      <c r="K228" t="s">
        <v>91</v>
      </c>
      <c r="L228" t="s">
        <v>29</v>
      </c>
      <c r="M228" t="s">
        <v>127</v>
      </c>
      <c r="N228" t="s">
        <v>196</v>
      </c>
      <c r="O228" t="s">
        <v>65</v>
      </c>
      <c r="P228" t="s">
        <v>66</v>
      </c>
      <c r="Q228" t="s">
        <v>67</v>
      </c>
      <c r="R228">
        <v>6899.31</v>
      </c>
      <c r="S228">
        <v>1</v>
      </c>
      <c r="T228">
        <v>0.2</v>
      </c>
      <c r="U228">
        <v>196.53</v>
      </c>
    </row>
    <row r="229" spans="1:21">
      <c r="A229">
        <v>1400</v>
      </c>
      <c r="B229" t="s">
        <v>668</v>
      </c>
      <c r="C229" s="1">
        <v>45528</v>
      </c>
      <c r="D229" s="1">
        <v>45532</v>
      </c>
      <c r="E229" t="s">
        <v>48</v>
      </c>
      <c r="F229" t="s">
        <v>87</v>
      </c>
      <c r="G229" t="s">
        <v>78</v>
      </c>
      <c r="H229" t="s">
        <v>25</v>
      </c>
      <c r="I229" t="s">
        <v>26</v>
      </c>
      <c r="J229" t="s">
        <v>226</v>
      </c>
      <c r="K229" t="s">
        <v>110</v>
      </c>
      <c r="L229" t="s">
        <v>29</v>
      </c>
      <c r="M229" t="s">
        <v>170</v>
      </c>
      <c r="N229" t="s">
        <v>669</v>
      </c>
      <c r="O229" t="s">
        <v>44</v>
      </c>
      <c r="P229" t="s">
        <v>211</v>
      </c>
      <c r="Q229" t="s">
        <v>212</v>
      </c>
      <c r="R229">
        <v>1732.86</v>
      </c>
      <c r="S229">
        <v>2</v>
      </c>
      <c r="T229">
        <v>0.3</v>
      </c>
      <c r="U229">
        <v>-178.41</v>
      </c>
    </row>
    <row r="230" spans="1:21">
      <c r="A230">
        <v>1183</v>
      </c>
      <c r="B230" t="s">
        <v>670</v>
      </c>
      <c r="C230" s="1">
        <v>45571</v>
      </c>
      <c r="D230" s="1">
        <v>45574</v>
      </c>
      <c r="E230" t="s">
        <v>48</v>
      </c>
      <c r="F230" t="s">
        <v>113</v>
      </c>
      <c r="G230" t="s">
        <v>165</v>
      </c>
      <c r="H230" t="s">
        <v>38</v>
      </c>
      <c r="I230" t="s">
        <v>26</v>
      </c>
      <c r="J230" t="s">
        <v>52</v>
      </c>
      <c r="K230" t="s">
        <v>52</v>
      </c>
      <c r="L230" t="s">
        <v>92</v>
      </c>
      <c r="M230" t="s">
        <v>30</v>
      </c>
      <c r="N230" t="s">
        <v>455</v>
      </c>
      <c r="O230" t="s">
        <v>65</v>
      </c>
      <c r="P230" t="s">
        <v>98</v>
      </c>
      <c r="Q230" t="s">
        <v>99</v>
      </c>
      <c r="R230">
        <v>5481.65</v>
      </c>
      <c r="S230">
        <v>1</v>
      </c>
      <c r="T230">
        <v>0.2</v>
      </c>
      <c r="U230">
        <v>155.08000000000001</v>
      </c>
    </row>
    <row r="231" spans="1:21">
      <c r="A231">
        <v>1614</v>
      </c>
      <c r="B231" t="s">
        <v>671</v>
      </c>
      <c r="C231" s="1">
        <v>45633</v>
      </c>
      <c r="D231" s="1">
        <v>45636</v>
      </c>
      <c r="E231" t="s">
        <v>101</v>
      </c>
      <c r="F231" t="s">
        <v>291</v>
      </c>
      <c r="G231" t="s">
        <v>672</v>
      </c>
      <c r="H231" t="s">
        <v>310</v>
      </c>
      <c r="I231" t="s">
        <v>26</v>
      </c>
      <c r="J231" t="s">
        <v>131</v>
      </c>
      <c r="K231" t="s">
        <v>132</v>
      </c>
      <c r="L231" t="s">
        <v>29</v>
      </c>
      <c r="M231" t="s">
        <v>42</v>
      </c>
      <c r="N231" t="s">
        <v>204</v>
      </c>
      <c r="O231" t="s">
        <v>240</v>
      </c>
      <c r="P231" t="s">
        <v>121</v>
      </c>
      <c r="Q231" t="s">
        <v>122</v>
      </c>
      <c r="R231">
        <v>1918.05</v>
      </c>
      <c r="S231">
        <v>3</v>
      </c>
      <c r="T231">
        <v>0</v>
      </c>
      <c r="U231">
        <v>340.3</v>
      </c>
    </row>
    <row r="232" spans="1:21">
      <c r="A232">
        <v>1681</v>
      </c>
      <c r="B232" t="s">
        <v>673</v>
      </c>
      <c r="C232" s="1">
        <v>45476</v>
      </c>
      <c r="D232" s="1">
        <v>45480</v>
      </c>
      <c r="E232" t="s">
        <v>48</v>
      </c>
      <c r="F232" t="s">
        <v>315</v>
      </c>
      <c r="G232" t="s">
        <v>71</v>
      </c>
      <c r="H232" t="s">
        <v>51</v>
      </c>
      <c r="I232" t="s">
        <v>26</v>
      </c>
      <c r="J232" t="s">
        <v>131</v>
      </c>
      <c r="K232" t="s">
        <v>132</v>
      </c>
      <c r="L232" t="s">
        <v>63</v>
      </c>
      <c r="M232" t="s">
        <v>170</v>
      </c>
      <c r="N232" t="s">
        <v>674</v>
      </c>
      <c r="O232" t="s">
        <v>65</v>
      </c>
      <c r="P232" t="s">
        <v>56</v>
      </c>
      <c r="Q232" t="s">
        <v>57</v>
      </c>
      <c r="R232">
        <v>6523.79</v>
      </c>
      <c r="S232">
        <v>1</v>
      </c>
      <c r="T232">
        <v>0.15</v>
      </c>
      <c r="U232">
        <v>348.75</v>
      </c>
    </row>
    <row r="233" spans="1:21">
      <c r="A233">
        <v>1444</v>
      </c>
      <c r="B233" t="s">
        <v>675</v>
      </c>
      <c r="C233" s="1">
        <v>45374</v>
      </c>
      <c r="D233" s="1">
        <v>45377</v>
      </c>
      <c r="E233" t="s">
        <v>69</v>
      </c>
      <c r="F233" t="s">
        <v>468</v>
      </c>
      <c r="G233" t="s">
        <v>174</v>
      </c>
      <c r="H233" t="s">
        <v>51</v>
      </c>
      <c r="I233" t="s">
        <v>26</v>
      </c>
      <c r="J233" t="s">
        <v>79</v>
      </c>
      <c r="K233" t="s">
        <v>80</v>
      </c>
      <c r="L233" t="s">
        <v>63</v>
      </c>
      <c r="M233" t="s">
        <v>81</v>
      </c>
      <c r="N233" t="s">
        <v>676</v>
      </c>
      <c r="O233" t="s">
        <v>138</v>
      </c>
      <c r="P233" t="s">
        <v>139</v>
      </c>
      <c r="Q233" t="s">
        <v>140</v>
      </c>
      <c r="R233">
        <v>5839.3</v>
      </c>
      <c r="S233">
        <v>6</v>
      </c>
      <c r="T233">
        <v>0</v>
      </c>
      <c r="U233">
        <v>1014.98</v>
      </c>
    </row>
    <row r="234" spans="1:21">
      <c r="A234">
        <v>1224</v>
      </c>
      <c r="B234" t="s">
        <v>677</v>
      </c>
      <c r="C234" s="1">
        <v>45339</v>
      </c>
      <c r="D234" s="1">
        <v>45343</v>
      </c>
      <c r="E234" t="s">
        <v>101</v>
      </c>
      <c r="F234" t="s">
        <v>678</v>
      </c>
      <c r="G234" t="s">
        <v>136</v>
      </c>
      <c r="H234" t="s">
        <v>25</v>
      </c>
      <c r="I234" t="s">
        <v>26</v>
      </c>
      <c r="J234" t="s">
        <v>61</v>
      </c>
      <c r="K234" t="s">
        <v>62</v>
      </c>
      <c r="L234" t="s">
        <v>186</v>
      </c>
      <c r="M234" t="s">
        <v>74</v>
      </c>
      <c r="N234" t="s">
        <v>679</v>
      </c>
      <c r="O234" t="s">
        <v>293</v>
      </c>
      <c r="P234" t="s">
        <v>45</v>
      </c>
      <c r="Q234" t="s">
        <v>46</v>
      </c>
      <c r="R234">
        <v>193996.83</v>
      </c>
      <c r="S234">
        <v>5</v>
      </c>
      <c r="T234">
        <v>0</v>
      </c>
      <c r="U234">
        <v>24043.15</v>
      </c>
    </row>
    <row r="235" spans="1:21">
      <c r="A235">
        <v>1378</v>
      </c>
      <c r="B235" t="s">
        <v>680</v>
      </c>
      <c r="C235" s="1">
        <v>45396</v>
      </c>
      <c r="D235" s="1">
        <v>45401</v>
      </c>
      <c r="E235" t="s">
        <v>22</v>
      </c>
      <c r="F235" t="s">
        <v>551</v>
      </c>
      <c r="G235" t="s">
        <v>88</v>
      </c>
      <c r="H235" t="s">
        <v>25</v>
      </c>
      <c r="I235" t="s">
        <v>26</v>
      </c>
      <c r="J235" t="s">
        <v>115</v>
      </c>
      <c r="K235" t="s">
        <v>116</v>
      </c>
      <c r="L235" t="s">
        <v>186</v>
      </c>
      <c r="M235" t="s">
        <v>74</v>
      </c>
      <c r="N235" t="s">
        <v>681</v>
      </c>
      <c r="O235" t="s">
        <v>44</v>
      </c>
      <c r="P235" t="s">
        <v>211</v>
      </c>
      <c r="Q235" t="s">
        <v>212</v>
      </c>
      <c r="R235">
        <v>3844.52</v>
      </c>
      <c r="S235">
        <v>4</v>
      </c>
      <c r="T235">
        <v>0.15</v>
      </c>
      <c r="U235">
        <v>55.12</v>
      </c>
    </row>
    <row r="236" spans="1:21">
      <c r="A236">
        <v>1433</v>
      </c>
      <c r="B236" t="s">
        <v>682</v>
      </c>
      <c r="C236" s="1">
        <v>45353</v>
      </c>
      <c r="D236" s="1">
        <v>45354</v>
      </c>
      <c r="E236" t="s">
        <v>101</v>
      </c>
      <c r="F236" t="s">
        <v>113</v>
      </c>
      <c r="G236" t="s">
        <v>229</v>
      </c>
      <c r="H236" t="s">
        <v>25</v>
      </c>
      <c r="I236" t="s">
        <v>26</v>
      </c>
      <c r="J236" t="s">
        <v>61</v>
      </c>
      <c r="K236" t="s">
        <v>62</v>
      </c>
      <c r="L236" t="s">
        <v>41</v>
      </c>
      <c r="M236" t="s">
        <v>127</v>
      </c>
      <c r="N236" t="s">
        <v>683</v>
      </c>
      <c r="O236" t="s">
        <v>44</v>
      </c>
      <c r="P236" t="s">
        <v>211</v>
      </c>
      <c r="Q236" t="s">
        <v>223</v>
      </c>
      <c r="R236">
        <v>3542.84</v>
      </c>
      <c r="S236">
        <v>2</v>
      </c>
      <c r="T236">
        <v>0</v>
      </c>
      <c r="U236">
        <v>401.33</v>
      </c>
    </row>
    <row r="237" spans="1:21">
      <c r="A237">
        <v>1676</v>
      </c>
      <c r="B237" t="s">
        <v>684</v>
      </c>
      <c r="C237" s="1">
        <v>45638</v>
      </c>
      <c r="D237" s="1">
        <v>45640</v>
      </c>
      <c r="E237" t="s">
        <v>101</v>
      </c>
      <c r="F237" t="s">
        <v>437</v>
      </c>
      <c r="G237" t="s">
        <v>37</v>
      </c>
      <c r="H237" t="s">
        <v>389</v>
      </c>
      <c r="I237" t="s">
        <v>26</v>
      </c>
      <c r="J237" t="s">
        <v>61</v>
      </c>
      <c r="K237" t="s">
        <v>62</v>
      </c>
      <c r="L237" t="s">
        <v>92</v>
      </c>
      <c r="M237" t="s">
        <v>74</v>
      </c>
      <c r="N237" t="s">
        <v>685</v>
      </c>
      <c r="O237" t="s">
        <v>44</v>
      </c>
      <c r="P237" t="s">
        <v>211</v>
      </c>
      <c r="Q237" t="s">
        <v>223</v>
      </c>
      <c r="R237">
        <v>12958.79</v>
      </c>
      <c r="S237">
        <v>8</v>
      </c>
      <c r="T237">
        <v>0.15</v>
      </c>
      <c r="U237">
        <v>168.36</v>
      </c>
    </row>
    <row r="238" spans="1:21">
      <c r="A238">
        <v>1441</v>
      </c>
      <c r="B238" t="s">
        <v>686</v>
      </c>
      <c r="C238" s="1">
        <v>45476</v>
      </c>
      <c r="D238" s="1">
        <v>45481</v>
      </c>
      <c r="E238" t="s">
        <v>48</v>
      </c>
      <c r="F238" t="s">
        <v>378</v>
      </c>
      <c r="G238" t="s">
        <v>229</v>
      </c>
      <c r="H238" t="s">
        <v>38</v>
      </c>
      <c r="I238" t="s">
        <v>26</v>
      </c>
      <c r="J238" t="s">
        <v>90</v>
      </c>
      <c r="K238" t="s">
        <v>91</v>
      </c>
      <c r="L238" t="s">
        <v>29</v>
      </c>
      <c r="M238" t="s">
        <v>74</v>
      </c>
      <c r="N238" t="s">
        <v>687</v>
      </c>
      <c r="O238" t="s">
        <v>293</v>
      </c>
      <c r="P238" t="s">
        <v>45</v>
      </c>
      <c r="Q238" t="s">
        <v>46</v>
      </c>
      <c r="R238">
        <v>55121.59</v>
      </c>
      <c r="S238">
        <v>2</v>
      </c>
      <c r="T238">
        <v>0.2</v>
      </c>
      <c r="U238">
        <v>-1197.18</v>
      </c>
    </row>
    <row r="239" spans="1:21">
      <c r="A239">
        <v>1604</v>
      </c>
      <c r="B239" t="s">
        <v>688</v>
      </c>
      <c r="C239" s="1">
        <v>45369</v>
      </c>
      <c r="D239" s="1">
        <v>45371</v>
      </c>
      <c r="E239" t="s">
        <v>22</v>
      </c>
      <c r="F239" t="s">
        <v>449</v>
      </c>
      <c r="G239" t="s">
        <v>37</v>
      </c>
      <c r="H239" t="s">
        <v>51</v>
      </c>
      <c r="I239" t="s">
        <v>26</v>
      </c>
      <c r="J239" t="s">
        <v>131</v>
      </c>
      <c r="K239" t="s">
        <v>132</v>
      </c>
      <c r="L239" t="s">
        <v>92</v>
      </c>
      <c r="M239" t="s">
        <v>118</v>
      </c>
      <c r="N239" t="s">
        <v>689</v>
      </c>
      <c r="O239" t="s">
        <v>44</v>
      </c>
      <c r="P239" t="s">
        <v>211</v>
      </c>
      <c r="Q239" t="s">
        <v>212</v>
      </c>
      <c r="R239">
        <v>3458.54</v>
      </c>
      <c r="S239">
        <v>4</v>
      </c>
      <c r="T239">
        <v>0.3</v>
      </c>
      <c r="U239">
        <v>-286.02</v>
      </c>
    </row>
    <row r="240" spans="1:21">
      <c r="A240">
        <v>1210</v>
      </c>
      <c r="B240" t="s">
        <v>690</v>
      </c>
      <c r="C240" s="1">
        <v>45386</v>
      </c>
      <c r="D240" s="1">
        <v>45391</v>
      </c>
      <c r="E240" t="s">
        <v>101</v>
      </c>
      <c r="F240" t="s">
        <v>395</v>
      </c>
      <c r="G240" t="s">
        <v>88</v>
      </c>
      <c r="H240" t="s">
        <v>153</v>
      </c>
      <c r="I240" t="s">
        <v>26</v>
      </c>
      <c r="J240" t="s">
        <v>226</v>
      </c>
      <c r="K240" t="s">
        <v>110</v>
      </c>
      <c r="L240" t="s">
        <v>92</v>
      </c>
      <c r="M240" t="s">
        <v>42</v>
      </c>
      <c r="N240" t="s">
        <v>691</v>
      </c>
      <c r="O240" t="s">
        <v>32</v>
      </c>
      <c r="P240" t="s">
        <v>33</v>
      </c>
      <c r="Q240" t="s">
        <v>34</v>
      </c>
      <c r="R240">
        <v>1078.98</v>
      </c>
      <c r="S240">
        <v>1</v>
      </c>
      <c r="T240">
        <v>0.25</v>
      </c>
      <c r="U240">
        <v>106.32</v>
      </c>
    </row>
    <row r="241" spans="1:21">
      <c r="A241">
        <v>1396</v>
      </c>
      <c r="B241" t="s">
        <v>692</v>
      </c>
      <c r="C241" s="1">
        <v>45635</v>
      </c>
      <c r="D241" s="1">
        <v>45640</v>
      </c>
      <c r="E241" t="s">
        <v>22</v>
      </c>
      <c r="F241" t="s">
        <v>388</v>
      </c>
      <c r="G241" t="s">
        <v>147</v>
      </c>
      <c r="H241" t="s">
        <v>25</v>
      </c>
      <c r="I241" t="s">
        <v>26</v>
      </c>
      <c r="J241" t="s">
        <v>72</v>
      </c>
      <c r="K241" t="s">
        <v>73</v>
      </c>
      <c r="L241" t="s">
        <v>29</v>
      </c>
      <c r="M241" t="s">
        <v>81</v>
      </c>
      <c r="N241" t="s">
        <v>693</v>
      </c>
      <c r="O241" t="s">
        <v>138</v>
      </c>
      <c r="P241" t="s">
        <v>139</v>
      </c>
      <c r="Q241" t="s">
        <v>140</v>
      </c>
      <c r="R241">
        <v>852.44</v>
      </c>
      <c r="S241">
        <v>1</v>
      </c>
      <c r="T241">
        <v>0.05</v>
      </c>
      <c r="U241">
        <v>148.94</v>
      </c>
    </row>
    <row r="242" spans="1:21">
      <c r="A242">
        <v>1240</v>
      </c>
      <c r="B242" t="s">
        <v>694</v>
      </c>
      <c r="C242" s="1">
        <v>45363</v>
      </c>
      <c r="D242" s="1">
        <v>45369</v>
      </c>
      <c r="E242" t="s">
        <v>48</v>
      </c>
      <c r="F242" t="s">
        <v>395</v>
      </c>
      <c r="G242" t="s">
        <v>78</v>
      </c>
      <c r="H242" t="s">
        <v>25</v>
      </c>
      <c r="I242" t="s">
        <v>26</v>
      </c>
      <c r="J242" t="s">
        <v>131</v>
      </c>
      <c r="K242" t="s">
        <v>132</v>
      </c>
      <c r="L242" t="s">
        <v>92</v>
      </c>
      <c r="M242" t="s">
        <v>81</v>
      </c>
      <c r="N242" t="s">
        <v>695</v>
      </c>
      <c r="O242" t="s">
        <v>188</v>
      </c>
      <c r="P242" t="s">
        <v>189</v>
      </c>
      <c r="Q242" t="s">
        <v>386</v>
      </c>
      <c r="R242">
        <v>8278.18</v>
      </c>
      <c r="T242">
        <v>0.3</v>
      </c>
      <c r="U242">
        <v>-544.29999999999995</v>
      </c>
    </row>
    <row r="243" spans="1:21">
      <c r="A243">
        <v>1515</v>
      </c>
      <c r="B243" t="s">
        <v>696</v>
      </c>
      <c r="C243" s="1">
        <v>45525</v>
      </c>
      <c r="D243" s="1">
        <v>45531</v>
      </c>
      <c r="E243" t="s">
        <v>48</v>
      </c>
      <c r="F243" t="s">
        <v>242</v>
      </c>
      <c r="G243" t="s">
        <v>229</v>
      </c>
      <c r="H243" t="s">
        <v>25</v>
      </c>
      <c r="I243" t="s">
        <v>26</v>
      </c>
      <c r="J243" t="s">
        <v>115</v>
      </c>
      <c r="K243" t="s">
        <v>116</v>
      </c>
      <c r="L243" t="s">
        <v>41</v>
      </c>
      <c r="M243" t="s">
        <v>127</v>
      </c>
      <c r="N243" t="s">
        <v>655</v>
      </c>
      <c r="O243" t="s">
        <v>138</v>
      </c>
      <c r="P243" t="s">
        <v>139</v>
      </c>
      <c r="Q243" t="s">
        <v>140</v>
      </c>
      <c r="R243">
        <v>3505.51</v>
      </c>
      <c r="S243">
        <v>4</v>
      </c>
      <c r="T243">
        <v>0.05</v>
      </c>
      <c r="U243">
        <v>683.74</v>
      </c>
    </row>
    <row r="244" spans="1:21">
      <c r="A244">
        <v>1177</v>
      </c>
      <c r="B244" t="s">
        <v>697</v>
      </c>
      <c r="C244" s="1">
        <v>45315</v>
      </c>
      <c r="D244" s="1">
        <v>45316</v>
      </c>
      <c r="E244" t="s">
        <v>69</v>
      </c>
      <c r="F244" t="s">
        <v>225</v>
      </c>
      <c r="G244" t="s">
        <v>174</v>
      </c>
      <c r="H244" t="s">
        <v>51</v>
      </c>
      <c r="I244" t="s">
        <v>26</v>
      </c>
      <c r="J244" t="s">
        <v>27</v>
      </c>
      <c r="K244" t="s">
        <v>28</v>
      </c>
      <c r="L244" t="s">
        <v>29</v>
      </c>
      <c r="M244" t="s">
        <v>170</v>
      </c>
      <c r="N244" t="s">
        <v>698</v>
      </c>
      <c r="O244" t="s">
        <v>44</v>
      </c>
      <c r="P244" t="s">
        <v>211</v>
      </c>
      <c r="Q244" t="s">
        <v>212</v>
      </c>
      <c r="R244">
        <v>3691.41</v>
      </c>
      <c r="S244">
        <v>3</v>
      </c>
      <c r="T244">
        <v>0</v>
      </c>
      <c r="U244">
        <v>337.62</v>
      </c>
    </row>
    <row r="245" spans="1:21">
      <c r="A245">
        <v>1518</v>
      </c>
      <c r="B245" t="s">
        <v>699</v>
      </c>
      <c r="C245" s="1">
        <v>45510</v>
      </c>
      <c r="D245" s="1">
        <v>45515</v>
      </c>
      <c r="E245" t="s">
        <v>48</v>
      </c>
      <c r="F245" t="s">
        <v>601</v>
      </c>
      <c r="G245" t="s">
        <v>136</v>
      </c>
      <c r="H245" t="s">
        <v>108</v>
      </c>
      <c r="I245" t="s">
        <v>26</v>
      </c>
      <c r="J245" t="s">
        <v>160</v>
      </c>
      <c r="K245" t="s">
        <v>161</v>
      </c>
      <c r="L245" t="s">
        <v>63</v>
      </c>
      <c r="M245" t="s">
        <v>30</v>
      </c>
      <c r="N245" t="s">
        <v>362</v>
      </c>
      <c r="O245" t="s">
        <v>138</v>
      </c>
      <c r="P245" t="s">
        <v>139</v>
      </c>
      <c r="Q245" t="s">
        <v>140</v>
      </c>
      <c r="R245">
        <v>6022.74</v>
      </c>
      <c r="S245">
        <v>8</v>
      </c>
      <c r="T245">
        <v>0.15</v>
      </c>
      <c r="U245">
        <v>677.92</v>
      </c>
    </row>
    <row r="246" spans="1:21">
      <c r="A246">
        <v>1410</v>
      </c>
      <c r="B246" t="s">
        <v>700</v>
      </c>
      <c r="C246" s="1">
        <v>45594</v>
      </c>
      <c r="D246" s="1">
        <v>45596</v>
      </c>
      <c r="E246" t="s">
        <v>101</v>
      </c>
      <c r="F246" t="s">
        <v>701</v>
      </c>
      <c r="G246" t="s">
        <v>107</v>
      </c>
      <c r="H246" t="s">
        <v>51</v>
      </c>
      <c r="I246" t="s">
        <v>26</v>
      </c>
      <c r="J246" t="s">
        <v>160</v>
      </c>
      <c r="K246" t="s">
        <v>161</v>
      </c>
      <c r="L246" t="s">
        <v>41</v>
      </c>
      <c r="M246" t="s">
        <v>30</v>
      </c>
      <c r="N246" t="s">
        <v>702</v>
      </c>
      <c r="O246" t="s">
        <v>293</v>
      </c>
      <c r="P246" t="s">
        <v>45</v>
      </c>
      <c r="Q246" t="s">
        <v>46</v>
      </c>
      <c r="R246">
        <v>90275.65</v>
      </c>
      <c r="S246">
        <v>3</v>
      </c>
      <c r="T246">
        <v>0.1</v>
      </c>
      <c r="U246">
        <v>3727.66</v>
      </c>
    </row>
    <row r="247" spans="1:21">
      <c r="A247">
        <v>1427</v>
      </c>
      <c r="B247" t="s">
        <v>703</v>
      </c>
      <c r="C247" s="1">
        <v>45381</v>
      </c>
      <c r="D247" s="1">
        <v>45385</v>
      </c>
      <c r="E247" t="s">
        <v>22</v>
      </c>
      <c r="F247" t="s">
        <v>142</v>
      </c>
      <c r="G247" t="s">
        <v>50</v>
      </c>
      <c r="H247" t="s">
        <v>302</v>
      </c>
      <c r="I247" t="s">
        <v>26</v>
      </c>
      <c r="J247" t="s">
        <v>72</v>
      </c>
      <c r="K247" t="s">
        <v>73</v>
      </c>
      <c r="L247" t="s">
        <v>63</v>
      </c>
      <c r="M247" t="s">
        <v>42</v>
      </c>
      <c r="N247" t="s">
        <v>704</v>
      </c>
      <c r="O247" t="s">
        <v>138</v>
      </c>
      <c r="P247" t="s">
        <v>182</v>
      </c>
      <c r="Q247" t="s">
        <v>183</v>
      </c>
      <c r="R247">
        <v>1094.24</v>
      </c>
      <c r="S247">
        <v>3</v>
      </c>
      <c r="T247">
        <v>0.15</v>
      </c>
      <c r="U247">
        <v>134.47999999999999</v>
      </c>
    </row>
    <row r="248" spans="1:21">
      <c r="A248">
        <v>1639</v>
      </c>
      <c r="B248" t="s">
        <v>705</v>
      </c>
      <c r="C248" s="1">
        <v>45354</v>
      </c>
      <c r="D248" s="1">
        <v>45356</v>
      </c>
      <c r="E248" t="s">
        <v>101</v>
      </c>
      <c r="F248" t="s">
        <v>593</v>
      </c>
      <c r="G248" t="s">
        <v>165</v>
      </c>
      <c r="H248" t="s">
        <v>51</v>
      </c>
      <c r="I248" t="s">
        <v>26</v>
      </c>
      <c r="J248" t="s">
        <v>72</v>
      </c>
      <c r="K248" t="s">
        <v>73</v>
      </c>
      <c r="L248" t="s">
        <v>63</v>
      </c>
      <c r="M248" t="s">
        <v>127</v>
      </c>
      <c r="N248" t="s">
        <v>706</v>
      </c>
      <c r="O248" t="s">
        <v>55</v>
      </c>
      <c r="P248" t="s">
        <v>56</v>
      </c>
      <c r="Q248" t="s">
        <v>57</v>
      </c>
      <c r="R248">
        <v>25885.63</v>
      </c>
      <c r="S248">
        <v>5</v>
      </c>
      <c r="T248">
        <v>0.25</v>
      </c>
      <c r="U248">
        <v>-80.459999999999994</v>
      </c>
    </row>
    <row r="249" spans="1:21">
      <c r="A249">
        <v>1276</v>
      </c>
      <c r="B249" t="s">
        <v>707</v>
      </c>
      <c r="C249" s="1">
        <v>45495</v>
      </c>
      <c r="D249" s="1">
        <v>45500</v>
      </c>
      <c r="E249" t="s">
        <v>48</v>
      </c>
      <c r="F249" t="s">
        <v>708</v>
      </c>
      <c r="G249" t="s">
        <v>24</v>
      </c>
      <c r="H249" t="s">
        <v>51</v>
      </c>
      <c r="I249" t="s">
        <v>26</v>
      </c>
      <c r="J249" t="s">
        <v>131</v>
      </c>
      <c r="K249" t="s">
        <v>132</v>
      </c>
      <c r="L249" t="s">
        <v>29</v>
      </c>
      <c r="M249" t="s">
        <v>118</v>
      </c>
      <c r="N249" t="s">
        <v>624</v>
      </c>
      <c r="O249" t="s">
        <v>44</v>
      </c>
      <c r="P249" t="s">
        <v>207</v>
      </c>
      <c r="Q249" t="s">
        <v>208</v>
      </c>
      <c r="R249">
        <v>52167.76</v>
      </c>
      <c r="S249">
        <v>1</v>
      </c>
      <c r="T249">
        <v>0</v>
      </c>
      <c r="U249">
        <v>6748.94</v>
      </c>
    </row>
    <row r="250" spans="1:21">
      <c r="A250">
        <v>1138</v>
      </c>
      <c r="B250" t="s">
        <v>709</v>
      </c>
      <c r="C250" s="1">
        <v>45608</v>
      </c>
      <c r="D250" s="1">
        <v>45610</v>
      </c>
      <c r="E250" t="s">
        <v>101</v>
      </c>
      <c r="F250" t="s">
        <v>309</v>
      </c>
      <c r="G250" t="s">
        <v>60</v>
      </c>
      <c r="H250" t="s">
        <v>89</v>
      </c>
      <c r="I250" t="s">
        <v>26</v>
      </c>
      <c r="J250" t="s">
        <v>52</v>
      </c>
      <c r="K250" t="s">
        <v>52</v>
      </c>
      <c r="L250" t="s">
        <v>92</v>
      </c>
      <c r="M250" t="s">
        <v>127</v>
      </c>
      <c r="N250" t="s">
        <v>710</v>
      </c>
      <c r="O250" t="s">
        <v>188</v>
      </c>
      <c r="P250" t="s">
        <v>189</v>
      </c>
      <c r="Q250" t="s">
        <v>386</v>
      </c>
      <c r="R250">
        <v>5289.58</v>
      </c>
      <c r="S250">
        <v>3</v>
      </c>
      <c r="T250">
        <v>0.2</v>
      </c>
      <c r="U250">
        <v>0</v>
      </c>
    </row>
    <row r="251" spans="1:21">
      <c r="A251">
        <v>1301</v>
      </c>
      <c r="B251" t="s">
        <v>711</v>
      </c>
      <c r="C251" s="1">
        <v>45614</v>
      </c>
      <c r="D251" s="1">
        <v>45619</v>
      </c>
      <c r="E251" t="s">
        <v>22</v>
      </c>
      <c r="F251" t="s">
        <v>678</v>
      </c>
      <c r="G251" t="s">
        <v>147</v>
      </c>
      <c r="H251" t="s">
        <v>25</v>
      </c>
      <c r="I251" t="s">
        <v>26</v>
      </c>
      <c r="J251" t="s">
        <v>109</v>
      </c>
      <c r="K251" t="s">
        <v>110</v>
      </c>
      <c r="L251" t="s">
        <v>63</v>
      </c>
      <c r="M251" t="s">
        <v>118</v>
      </c>
      <c r="N251" t="s">
        <v>712</v>
      </c>
      <c r="O251" t="s">
        <v>44</v>
      </c>
      <c r="P251" t="s">
        <v>211</v>
      </c>
      <c r="Q251" t="s">
        <v>223</v>
      </c>
      <c r="R251">
        <v>7670.94</v>
      </c>
      <c r="S251">
        <v>5</v>
      </c>
      <c r="T251">
        <v>0.1</v>
      </c>
      <c r="U251">
        <v>306.98</v>
      </c>
    </row>
    <row r="252" spans="1:21">
      <c r="A252">
        <v>1249</v>
      </c>
      <c r="B252" t="s">
        <v>713</v>
      </c>
      <c r="C252" s="1">
        <v>45566</v>
      </c>
      <c r="D252" s="1">
        <v>45568</v>
      </c>
      <c r="E252" t="s">
        <v>48</v>
      </c>
      <c r="F252" t="s">
        <v>553</v>
      </c>
      <c r="G252" t="s">
        <v>107</v>
      </c>
      <c r="H252" t="s">
        <v>25</v>
      </c>
      <c r="I252" t="s">
        <v>26</v>
      </c>
      <c r="J252" t="s">
        <v>27</v>
      </c>
      <c r="K252" t="s">
        <v>28</v>
      </c>
      <c r="L252" t="s">
        <v>29</v>
      </c>
      <c r="M252" t="s">
        <v>74</v>
      </c>
      <c r="N252" t="s">
        <v>714</v>
      </c>
      <c r="O252" t="s">
        <v>32</v>
      </c>
      <c r="P252" t="s">
        <v>33</v>
      </c>
      <c r="Q252" t="s">
        <v>34</v>
      </c>
      <c r="R252">
        <v>1418.74</v>
      </c>
      <c r="S252">
        <v>1</v>
      </c>
      <c r="T252">
        <v>0</v>
      </c>
      <c r="U252">
        <v>279.8</v>
      </c>
    </row>
    <row r="253" spans="1:21">
      <c r="A253">
        <v>1711</v>
      </c>
      <c r="B253" t="s">
        <v>715</v>
      </c>
      <c r="C253" s="1">
        <v>45346</v>
      </c>
      <c r="D253" s="1">
        <v>45351</v>
      </c>
      <c r="E253" t="s">
        <v>22</v>
      </c>
      <c r="F253" t="s">
        <v>247</v>
      </c>
      <c r="G253" t="s">
        <v>136</v>
      </c>
      <c r="H253" t="s">
        <v>51</v>
      </c>
      <c r="I253" t="s">
        <v>26</v>
      </c>
      <c r="J253" t="s">
        <v>39</v>
      </c>
      <c r="K253" t="s">
        <v>40</v>
      </c>
      <c r="L253" t="s">
        <v>41</v>
      </c>
      <c r="M253" t="s">
        <v>170</v>
      </c>
      <c r="N253" t="s">
        <v>716</v>
      </c>
      <c r="O253" t="s">
        <v>32</v>
      </c>
      <c r="P253" t="s">
        <v>84</v>
      </c>
      <c r="Q253" t="s">
        <v>85</v>
      </c>
      <c r="R253">
        <v>15529.36</v>
      </c>
      <c r="S253">
        <v>5</v>
      </c>
      <c r="T253" t="s">
        <v>717</v>
      </c>
      <c r="U253">
        <v>3896.38</v>
      </c>
    </row>
    <row r="254" spans="1:21">
      <c r="A254">
        <v>1673</v>
      </c>
      <c r="B254" t="s">
        <v>718</v>
      </c>
      <c r="C254" s="1">
        <v>45337</v>
      </c>
      <c r="D254" s="1">
        <v>45341</v>
      </c>
      <c r="E254" t="s">
        <v>69</v>
      </c>
      <c r="F254" t="s">
        <v>601</v>
      </c>
      <c r="G254" t="s">
        <v>24</v>
      </c>
      <c r="H254" t="s">
        <v>108</v>
      </c>
      <c r="I254" t="s">
        <v>26</v>
      </c>
      <c r="J254" t="s">
        <v>72</v>
      </c>
      <c r="K254" t="s">
        <v>73</v>
      </c>
      <c r="L254" t="s">
        <v>92</v>
      </c>
      <c r="M254" t="s">
        <v>74</v>
      </c>
      <c r="N254" t="s">
        <v>719</v>
      </c>
      <c r="O254" t="s">
        <v>44</v>
      </c>
      <c r="P254" t="s">
        <v>207</v>
      </c>
      <c r="Q254" t="s">
        <v>208</v>
      </c>
      <c r="R254">
        <v>291704.32000000001</v>
      </c>
      <c r="S254">
        <v>6</v>
      </c>
      <c r="T254">
        <v>0.1</v>
      </c>
      <c r="U254">
        <v>12637.68</v>
      </c>
    </row>
    <row r="255" spans="1:21">
      <c r="A255">
        <v>1164</v>
      </c>
      <c r="B255" t="s">
        <v>720</v>
      </c>
      <c r="C255" s="1">
        <v>45356</v>
      </c>
      <c r="D255" s="1">
        <v>45359</v>
      </c>
      <c r="E255" t="s">
        <v>22</v>
      </c>
      <c r="F255" t="s">
        <v>260</v>
      </c>
      <c r="G255" t="s">
        <v>165</v>
      </c>
      <c r="H255" t="s">
        <v>51</v>
      </c>
      <c r="I255" t="s">
        <v>26</v>
      </c>
      <c r="J255" t="s">
        <v>39</v>
      </c>
      <c r="K255" t="s">
        <v>40</v>
      </c>
      <c r="L255" t="s">
        <v>63</v>
      </c>
      <c r="M255" t="s">
        <v>30</v>
      </c>
      <c r="N255" t="s">
        <v>721</v>
      </c>
      <c r="O255" t="s">
        <v>240</v>
      </c>
      <c r="P255" t="s">
        <v>121</v>
      </c>
      <c r="Q255" t="s">
        <v>122</v>
      </c>
      <c r="R255">
        <v>1311.31</v>
      </c>
      <c r="S255">
        <v>2</v>
      </c>
      <c r="T255">
        <v>0</v>
      </c>
      <c r="U255">
        <v>276.91000000000003</v>
      </c>
    </row>
    <row r="256" spans="1:21">
      <c r="A256">
        <v>1345</v>
      </c>
      <c r="B256" t="s">
        <v>722</v>
      </c>
      <c r="C256" s="1">
        <v>45615</v>
      </c>
      <c r="D256" s="1">
        <v>45617</v>
      </c>
      <c r="E256" t="s">
        <v>48</v>
      </c>
      <c r="F256" t="s">
        <v>255</v>
      </c>
      <c r="G256" t="s">
        <v>229</v>
      </c>
      <c r="H256" t="s">
        <v>51</v>
      </c>
      <c r="I256" t="s">
        <v>26</v>
      </c>
      <c r="J256" t="s">
        <v>61</v>
      </c>
      <c r="K256" t="s">
        <v>62</v>
      </c>
      <c r="L256" t="s">
        <v>263</v>
      </c>
      <c r="M256" t="s">
        <v>118</v>
      </c>
      <c r="N256" t="s">
        <v>723</v>
      </c>
      <c r="O256" t="s">
        <v>543</v>
      </c>
      <c r="P256" t="s">
        <v>33</v>
      </c>
      <c r="Q256" t="s">
        <v>34</v>
      </c>
      <c r="R256">
        <v>1168.29</v>
      </c>
      <c r="S256">
        <v>1</v>
      </c>
      <c r="T256">
        <v>0.2</v>
      </c>
      <c r="U256">
        <v>118.26</v>
      </c>
    </row>
    <row r="257" spans="1:21">
      <c r="A257">
        <v>1668</v>
      </c>
      <c r="B257" t="s">
        <v>724</v>
      </c>
      <c r="C257" s="1">
        <v>45508</v>
      </c>
      <c r="D257" s="1">
        <v>45509</v>
      </c>
      <c r="E257" t="s">
        <v>69</v>
      </c>
      <c r="F257" t="s">
        <v>324</v>
      </c>
      <c r="G257" t="s">
        <v>78</v>
      </c>
      <c r="H257" t="s">
        <v>25</v>
      </c>
      <c r="I257" t="s">
        <v>26</v>
      </c>
      <c r="J257" t="s">
        <v>39</v>
      </c>
      <c r="K257" t="s">
        <v>40</v>
      </c>
      <c r="L257" t="s">
        <v>41</v>
      </c>
      <c r="M257" t="s">
        <v>42</v>
      </c>
      <c r="N257" t="s">
        <v>725</v>
      </c>
      <c r="O257" t="s">
        <v>138</v>
      </c>
      <c r="P257" t="s">
        <v>182</v>
      </c>
      <c r="Q257" t="s">
        <v>183</v>
      </c>
      <c r="R257">
        <v>2324.09</v>
      </c>
      <c r="S257">
        <v>6</v>
      </c>
      <c r="T257">
        <v>0.2</v>
      </c>
      <c r="U257">
        <v>174.91</v>
      </c>
    </row>
    <row r="258" spans="1:21">
      <c r="A258">
        <v>1075</v>
      </c>
      <c r="B258" t="s">
        <v>726</v>
      </c>
      <c r="C258" s="1">
        <v>45587</v>
      </c>
      <c r="D258" s="1">
        <v>45588</v>
      </c>
      <c r="E258" t="s">
        <v>69</v>
      </c>
      <c r="F258" t="s">
        <v>479</v>
      </c>
      <c r="G258" t="s">
        <v>136</v>
      </c>
      <c r="H258" t="s">
        <v>25</v>
      </c>
      <c r="I258" t="s">
        <v>26</v>
      </c>
      <c r="J258" t="s">
        <v>61</v>
      </c>
      <c r="K258" t="s">
        <v>62</v>
      </c>
      <c r="L258" t="s">
        <v>334</v>
      </c>
      <c r="M258" t="s">
        <v>42</v>
      </c>
      <c r="N258" t="s">
        <v>727</v>
      </c>
      <c r="O258" t="s">
        <v>120</v>
      </c>
      <c r="P258" t="s">
        <v>139</v>
      </c>
      <c r="Q258" t="s">
        <v>140</v>
      </c>
      <c r="R258">
        <v>749.55</v>
      </c>
      <c r="S258">
        <v>1</v>
      </c>
      <c r="T258">
        <v>0.15</v>
      </c>
      <c r="U258">
        <v>68.33</v>
      </c>
    </row>
    <row r="259" spans="1:21">
      <c r="A259">
        <v>1655</v>
      </c>
      <c r="B259" t="s">
        <v>728</v>
      </c>
      <c r="C259" s="1">
        <v>45581</v>
      </c>
      <c r="D259" s="1">
        <v>45587</v>
      </c>
      <c r="E259" t="s">
        <v>22</v>
      </c>
      <c r="F259" t="s">
        <v>277</v>
      </c>
      <c r="G259" t="s">
        <v>107</v>
      </c>
      <c r="H259" t="s">
        <v>51</v>
      </c>
      <c r="I259" t="s">
        <v>26</v>
      </c>
      <c r="J259" t="s">
        <v>160</v>
      </c>
      <c r="K259" t="s">
        <v>161</v>
      </c>
      <c r="L259" t="s">
        <v>63</v>
      </c>
      <c r="M259" t="s">
        <v>118</v>
      </c>
      <c r="N259" t="s">
        <v>729</v>
      </c>
      <c r="O259" t="s">
        <v>138</v>
      </c>
      <c r="P259" t="s">
        <v>182</v>
      </c>
      <c r="Q259" t="s">
        <v>183</v>
      </c>
      <c r="R259">
        <v>986.49</v>
      </c>
      <c r="S259">
        <v>3</v>
      </c>
      <c r="T259">
        <v>0.25</v>
      </c>
      <c r="U259">
        <v>42.82</v>
      </c>
    </row>
    <row r="260" spans="1:21">
      <c r="A260">
        <v>1597</v>
      </c>
      <c r="B260" t="s">
        <v>730</v>
      </c>
      <c r="C260" s="1">
        <v>45652</v>
      </c>
      <c r="D260" s="1">
        <v>45656</v>
      </c>
      <c r="E260" t="s">
        <v>69</v>
      </c>
      <c r="F260" t="s">
        <v>36</v>
      </c>
      <c r="G260" t="s">
        <v>88</v>
      </c>
      <c r="H260" t="s">
        <v>51</v>
      </c>
      <c r="I260" t="s">
        <v>26</v>
      </c>
      <c r="J260" t="s">
        <v>160</v>
      </c>
      <c r="K260" t="s">
        <v>161</v>
      </c>
      <c r="L260" t="s">
        <v>63</v>
      </c>
      <c r="M260" t="s">
        <v>81</v>
      </c>
      <c r="N260" t="s">
        <v>731</v>
      </c>
      <c r="O260" t="s">
        <v>240</v>
      </c>
      <c r="P260" t="s">
        <v>139</v>
      </c>
      <c r="Q260" t="s">
        <v>140</v>
      </c>
      <c r="R260">
        <v>1760.49</v>
      </c>
      <c r="S260">
        <v>2</v>
      </c>
      <c r="T260">
        <v>0.05</v>
      </c>
      <c r="U260">
        <v>312.70999999999998</v>
      </c>
    </row>
    <row r="261" spans="1:21">
      <c r="A261">
        <v>1105</v>
      </c>
      <c r="B261" t="s">
        <v>732</v>
      </c>
      <c r="C261" s="1">
        <v>45462</v>
      </c>
      <c r="D261" s="1">
        <v>45464</v>
      </c>
      <c r="E261" t="s">
        <v>69</v>
      </c>
      <c r="F261" t="s">
        <v>274</v>
      </c>
      <c r="G261" t="s">
        <v>114</v>
      </c>
      <c r="H261" t="s">
        <v>389</v>
      </c>
      <c r="I261" t="s">
        <v>26</v>
      </c>
      <c r="J261" t="s">
        <v>72</v>
      </c>
      <c r="K261" t="s">
        <v>73</v>
      </c>
      <c r="L261" t="s">
        <v>92</v>
      </c>
      <c r="M261" t="s">
        <v>74</v>
      </c>
      <c r="N261" t="s">
        <v>674</v>
      </c>
      <c r="O261" t="s">
        <v>138</v>
      </c>
      <c r="P261" t="s">
        <v>156</v>
      </c>
      <c r="Q261" t="s">
        <v>157</v>
      </c>
      <c r="R261">
        <v>2799.26</v>
      </c>
      <c r="S261">
        <v>8</v>
      </c>
      <c r="T261">
        <v>0</v>
      </c>
      <c r="U261">
        <v>464.9</v>
      </c>
    </row>
    <row r="262" spans="1:21">
      <c r="A262">
        <v>1115</v>
      </c>
      <c r="B262" t="s">
        <v>733</v>
      </c>
      <c r="C262" s="1">
        <v>45439</v>
      </c>
      <c r="D262" s="1">
        <v>45444</v>
      </c>
      <c r="E262" t="s">
        <v>48</v>
      </c>
      <c r="F262" t="s">
        <v>551</v>
      </c>
      <c r="G262" t="s">
        <v>50</v>
      </c>
      <c r="H262" t="s">
        <v>51</v>
      </c>
      <c r="I262" t="s">
        <v>26</v>
      </c>
      <c r="J262" t="s">
        <v>90</v>
      </c>
      <c r="K262" t="s">
        <v>91</v>
      </c>
      <c r="L262" t="s">
        <v>92</v>
      </c>
      <c r="M262" t="s">
        <v>30</v>
      </c>
      <c r="N262" t="s">
        <v>734</v>
      </c>
      <c r="O262" t="s">
        <v>543</v>
      </c>
      <c r="P262" t="s">
        <v>84</v>
      </c>
      <c r="Q262" t="s">
        <v>85</v>
      </c>
      <c r="R262">
        <v>20404.37</v>
      </c>
      <c r="S262">
        <v>6</v>
      </c>
      <c r="T262">
        <v>0</v>
      </c>
      <c r="U262">
        <v>5435.57</v>
      </c>
    </row>
    <row r="263" spans="1:21">
      <c r="A263">
        <v>1726</v>
      </c>
      <c r="B263" t="s">
        <v>735</v>
      </c>
      <c r="C263" s="1">
        <v>45421</v>
      </c>
      <c r="D263" s="1">
        <v>45546</v>
      </c>
      <c r="E263" t="s">
        <v>101</v>
      </c>
      <c r="F263" t="s">
        <v>736</v>
      </c>
      <c r="G263" t="s">
        <v>24</v>
      </c>
      <c r="H263" t="s">
        <v>25</v>
      </c>
      <c r="I263" t="s">
        <v>26</v>
      </c>
      <c r="J263" t="s">
        <v>160</v>
      </c>
      <c r="K263" t="s">
        <v>161</v>
      </c>
      <c r="L263" t="s">
        <v>41</v>
      </c>
      <c r="M263" t="s">
        <v>81</v>
      </c>
      <c r="N263" t="s">
        <v>737</v>
      </c>
      <c r="O263" t="s">
        <v>65</v>
      </c>
      <c r="P263" t="s">
        <v>98</v>
      </c>
      <c r="Q263" t="s">
        <v>99</v>
      </c>
      <c r="R263">
        <v>6077.25</v>
      </c>
      <c r="S263">
        <v>1</v>
      </c>
      <c r="T263">
        <v>0.05</v>
      </c>
      <c r="U263">
        <v>820.51</v>
      </c>
    </row>
    <row r="264" spans="1:21">
      <c r="A264">
        <v>1093</v>
      </c>
      <c r="B264" t="s">
        <v>738</v>
      </c>
      <c r="C264" s="1">
        <v>45584</v>
      </c>
      <c r="D264" s="1">
        <v>45587</v>
      </c>
      <c r="E264" t="s">
        <v>48</v>
      </c>
      <c r="F264" t="s">
        <v>324</v>
      </c>
      <c r="G264" t="s">
        <v>78</v>
      </c>
      <c r="H264" t="s">
        <v>108</v>
      </c>
      <c r="I264" t="s">
        <v>26</v>
      </c>
      <c r="J264" t="s">
        <v>72</v>
      </c>
      <c r="K264" t="s">
        <v>73</v>
      </c>
      <c r="L264" t="s">
        <v>263</v>
      </c>
      <c r="M264" t="s">
        <v>127</v>
      </c>
      <c r="N264" t="s">
        <v>739</v>
      </c>
      <c r="O264" t="s">
        <v>55</v>
      </c>
      <c r="P264" t="s">
        <v>98</v>
      </c>
      <c r="Q264" t="s">
        <v>99</v>
      </c>
      <c r="R264">
        <v>4614.1000000000004</v>
      </c>
      <c r="S264">
        <v>1</v>
      </c>
      <c r="T264">
        <v>0.25</v>
      </c>
      <c r="U264">
        <v>-12.46</v>
      </c>
    </row>
    <row r="265" spans="1:21">
      <c r="A265">
        <v>1090</v>
      </c>
      <c r="B265" t="s">
        <v>740</v>
      </c>
      <c r="C265" s="1">
        <v>45563</v>
      </c>
      <c r="D265" s="1">
        <v>45567</v>
      </c>
      <c r="E265" t="s">
        <v>69</v>
      </c>
      <c r="F265" t="s">
        <v>633</v>
      </c>
      <c r="G265" t="s">
        <v>60</v>
      </c>
      <c r="H265" t="s">
        <v>51</v>
      </c>
      <c r="I265" t="s">
        <v>26</v>
      </c>
      <c r="J265" t="s">
        <v>346</v>
      </c>
      <c r="K265" t="s">
        <v>132</v>
      </c>
      <c r="L265" t="s">
        <v>41</v>
      </c>
      <c r="M265" t="s">
        <v>170</v>
      </c>
      <c r="N265" t="s">
        <v>741</v>
      </c>
      <c r="O265" t="s">
        <v>55</v>
      </c>
      <c r="P265" t="s">
        <v>66</v>
      </c>
      <c r="Q265" t="s">
        <v>67</v>
      </c>
      <c r="R265">
        <v>16369.12</v>
      </c>
      <c r="S265">
        <v>2</v>
      </c>
      <c r="T265">
        <v>0.1</v>
      </c>
      <c r="U265">
        <v>1273.23</v>
      </c>
    </row>
    <row r="266" spans="1:21">
      <c r="A266">
        <v>1670</v>
      </c>
      <c r="B266" t="s">
        <v>742</v>
      </c>
      <c r="C266" s="1">
        <v>45452</v>
      </c>
      <c r="D266" s="1">
        <v>45457</v>
      </c>
      <c r="E266" t="s">
        <v>22</v>
      </c>
      <c r="F266" t="s">
        <v>102</v>
      </c>
      <c r="G266" t="s">
        <v>60</v>
      </c>
      <c r="H266" t="s">
        <v>51</v>
      </c>
      <c r="I266" t="s">
        <v>26</v>
      </c>
      <c r="J266" t="s">
        <v>27</v>
      </c>
      <c r="K266" t="s">
        <v>28</v>
      </c>
      <c r="L266" t="s">
        <v>92</v>
      </c>
      <c r="M266" t="s">
        <v>170</v>
      </c>
      <c r="N266" t="s">
        <v>706</v>
      </c>
      <c r="O266" t="s">
        <v>138</v>
      </c>
      <c r="P266" t="s">
        <v>156</v>
      </c>
      <c r="Q266" t="s">
        <v>157</v>
      </c>
      <c r="R266">
        <v>601.78</v>
      </c>
      <c r="S266">
        <v>2</v>
      </c>
      <c r="T266">
        <v>0.15</v>
      </c>
      <c r="U266">
        <v>47.21</v>
      </c>
    </row>
    <row r="267" spans="1:21">
      <c r="A267">
        <v>1457</v>
      </c>
      <c r="B267" t="s">
        <v>743</v>
      </c>
      <c r="C267" s="1">
        <v>45482</v>
      </c>
      <c r="D267" s="1">
        <v>45486</v>
      </c>
      <c r="E267" t="s">
        <v>22</v>
      </c>
      <c r="F267" t="s">
        <v>744</v>
      </c>
      <c r="G267" t="s">
        <v>50</v>
      </c>
      <c r="H267" t="s">
        <v>51</v>
      </c>
      <c r="I267" t="s">
        <v>26</v>
      </c>
      <c r="J267" t="s">
        <v>346</v>
      </c>
      <c r="K267" t="s">
        <v>132</v>
      </c>
      <c r="L267" t="s">
        <v>92</v>
      </c>
      <c r="M267" t="s">
        <v>74</v>
      </c>
      <c r="N267" t="s">
        <v>745</v>
      </c>
      <c r="O267" t="s">
        <v>138</v>
      </c>
      <c r="P267" t="s">
        <v>182</v>
      </c>
      <c r="Q267" t="s">
        <v>183</v>
      </c>
      <c r="R267">
        <v>642.51</v>
      </c>
      <c r="S267">
        <v>2</v>
      </c>
      <c r="T267">
        <v>0.3</v>
      </c>
      <c r="U267">
        <v>3.07</v>
      </c>
    </row>
    <row r="268" spans="1:21">
      <c r="A268">
        <v>1704</v>
      </c>
      <c r="B268" t="s">
        <v>746</v>
      </c>
      <c r="C268" s="1">
        <v>45410</v>
      </c>
      <c r="D268" s="1">
        <v>45416</v>
      </c>
      <c r="E268" t="s">
        <v>22</v>
      </c>
      <c r="F268" t="s">
        <v>288</v>
      </c>
      <c r="G268" t="s">
        <v>229</v>
      </c>
      <c r="H268" t="s">
        <v>89</v>
      </c>
      <c r="I268" t="s">
        <v>26</v>
      </c>
      <c r="J268" t="s">
        <v>79</v>
      </c>
      <c r="K268" t="s">
        <v>80</v>
      </c>
      <c r="L268" t="s">
        <v>334</v>
      </c>
      <c r="M268" t="s">
        <v>170</v>
      </c>
      <c r="N268" t="s">
        <v>747</v>
      </c>
      <c r="O268" t="s">
        <v>83</v>
      </c>
      <c r="P268" t="s">
        <v>33</v>
      </c>
      <c r="Q268" t="s">
        <v>34</v>
      </c>
      <c r="R268">
        <v>4135.8599999999997</v>
      </c>
      <c r="S268">
        <v>4</v>
      </c>
      <c r="T268">
        <v>0.3</v>
      </c>
      <c r="U268">
        <v>262.24</v>
      </c>
    </row>
    <row r="269" spans="1:21">
      <c r="A269">
        <v>1434</v>
      </c>
      <c r="B269" t="s">
        <v>748</v>
      </c>
      <c r="C269" s="1">
        <v>45543</v>
      </c>
      <c r="D269" s="1">
        <v>45545</v>
      </c>
      <c r="E269" t="s">
        <v>48</v>
      </c>
      <c r="F269" t="s">
        <v>238</v>
      </c>
      <c r="G269" t="s">
        <v>107</v>
      </c>
      <c r="H269" t="s">
        <v>153</v>
      </c>
      <c r="I269" t="s">
        <v>26</v>
      </c>
      <c r="J269" t="s">
        <v>226</v>
      </c>
      <c r="K269" t="s">
        <v>110</v>
      </c>
      <c r="L269" t="s">
        <v>92</v>
      </c>
      <c r="M269" t="s">
        <v>74</v>
      </c>
      <c r="N269" t="s">
        <v>749</v>
      </c>
      <c r="O269" t="s">
        <v>138</v>
      </c>
      <c r="P269" t="s">
        <v>139</v>
      </c>
      <c r="Q269" t="s">
        <v>140</v>
      </c>
      <c r="R269">
        <v>4577.74</v>
      </c>
      <c r="S269">
        <v>6</v>
      </c>
      <c r="T269">
        <v>0.15</v>
      </c>
      <c r="U269">
        <v>394.6</v>
      </c>
    </row>
    <row r="270" spans="1:21">
      <c r="A270">
        <v>1717</v>
      </c>
      <c r="B270" t="s">
        <v>750</v>
      </c>
      <c r="C270" s="1">
        <v>45586</v>
      </c>
      <c r="D270" s="1">
        <v>45587</v>
      </c>
      <c r="E270" t="s">
        <v>48</v>
      </c>
      <c r="F270" t="s">
        <v>751</v>
      </c>
      <c r="G270" t="s">
        <v>37</v>
      </c>
      <c r="H270" t="s">
        <v>51</v>
      </c>
      <c r="I270" t="s">
        <v>26</v>
      </c>
      <c r="J270" t="s">
        <v>109</v>
      </c>
      <c r="K270" t="s">
        <v>110</v>
      </c>
      <c r="L270" t="s">
        <v>63</v>
      </c>
      <c r="M270" t="s">
        <v>81</v>
      </c>
      <c r="N270" t="s">
        <v>752</v>
      </c>
      <c r="O270" t="s">
        <v>83</v>
      </c>
      <c r="P270" t="s">
        <v>84</v>
      </c>
      <c r="Q270" t="s">
        <v>85</v>
      </c>
      <c r="R270">
        <v>18207.45</v>
      </c>
      <c r="S270">
        <v>6</v>
      </c>
      <c r="T270">
        <v>0.05</v>
      </c>
      <c r="U270">
        <v>4290.5200000000004</v>
      </c>
    </row>
    <row r="271" spans="1:21">
      <c r="A271">
        <v>1012</v>
      </c>
      <c r="B271" t="s">
        <v>753</v>
      </c>
      <c r="C271" s="1">
        <v>45349</v>
      </c>
      <c r="D271" s="1">
        <v>45352</v>
      </c>
      <c r="E271" t="s">
        <v>101</v>
      </c>
      <c r="F271" t="s">
        <v>195</v>
      </c>
      <c r="G271" t="s">
        <v>165</v>
      </c>
      <c r="H271" t="s">
        <v>108</v>
      </c>
      <c r="I271" t="s">
        <v>26</v>
      </c>
      <c r="J271" t="s">
        <v>131</v>
      </c>
      <c r="K271" t="s">
        <v>132</v>
      </c>
      <c r="L271" t="s">
        <v>41</v>
      </c>
      <c r="M271" t="s">
        <v>81</v>
      </c>
      <c r="N271" t="s">
        <v>754</v>
      </c>
      <c r="O271" t="s">
        <v>120</v>
      </c>
      <c r="P271" t="s">
        <v>156</v>
      </c>
      <c r="Q271" t="s">
        <v>157</v>
      </c>
      <c r="R271" t="s">
        <v>755</v>
      </c>
      <c r="S271">
        <v>4</v>
      </c>
      <c r="T271">
        <v>0.2</v>
      </c>
      <c r="U271">
        <v>76.790000000000006</v>
      </c>
    </row>
    <row r="272" spans="1:21">
      <c r="A272">
        <v>1044</v>
      </c>
      <c r="B272" t="s">
        <v>756</v>
      </c>
      <c r="C272" s="1">
        <v>45509</v>
      </c>
      <c r="D272" s="1">
        <v>45511</v>
      </c>
      <c r="E272" t="s">
        <v>69</v>
      </c>
      <c r="F272" t="s">
        <v>398</v>
      </c>
      <c r="G272" t="s">
        <v>24</v>
      </c>
      <c r="H272" t="s">
        <v>25</v>
      </c>
      <c r="I272" t="s">
        <v>26</v>
      </c>
      <c r="J272" t="s">
        <v>72</v>
      </c>
      <c r="K272" t="s">
        <v>73</v>
      </c>
      <c r="L272" t="s">
        <v>29</v>
      </c>
      <c r="M272" t="s">
        <v>74</v>
      </c>
      <c r="N272" t="s">
        <v>757</v>
      </c>
      <c r="O272" t="s">
        <v>44</v>
      </c>
      <c r="P272" t="s">
        <v>211</v>
      </c>
      <c r="Q272" t="s">
        <v>212</v>
      </c>
      <c r="R272">
        <v>1244.08</v>
      </c>
      <c r="S272">
        <v>1</v>
      </c>
      <c r="T272">
        <v>0</v>
      </c>
      <c r="U272">
        <v>146.26</v>
      </c>
    </row>
    <row r="273" spans="1:21">
      <c r="A273">
        <v>1043</v>
      </c>
      <c r="B273" t="s">
        <v>758</v>
      </c>
      <c r="C273" s="1">
        <v>45525</v>
      </c>
      <c r="D273" s="1">
        <v>45529</v>
      </c>
      <c r="E273" t="s">
        <v>69</v>
      </c>
      <c r="F273" t="s">
        <v>225</v>
      </c>
      <c r="G273" t="s">
        <v>24</v>
      </c>
      <c r="H273" t="s">
        <v>108</v>
      </c>
      <c r="I273" t="s">
        <v>26</v>
      </c>
      <c r="J273" t="s">
        <v>346</v>
      </c>
      <c r="K273" t="s">
        <v>132</v>
      </c>
      <c r="L273" t="s">
        <v>29</v>
      </c>
      <c r="M273" t="s">
        <v>118</v>
      </c>
      <c r="N273" t="s">
        <v>759</v>
      </c>
      <c r="O273" t="s">
        <v>293</v>
      </c>
      <c r="P273" t="s">
        <v>211</v>
      </c>
      <c r="Q273" t="s">
        <v>223</v>
      </c>
      <c r="R273">
        <v>5236.6899999999996</v>
      </c>
      <c r="S273">
        <v>3</v>
      </c>
      <c r="T273">
        <v>0</v>
      </c>
      <c r="U273">
        <v>525.69000000000005</v>
      </c>
    </row>
    <row r="274" spans="1:21">
      <c r="A274">
        <v>1168</v>
      </c>
      <c r="B274" t="s">
        <v>760</v>
      </c>
      <c r="C274" s="1">
        <v>45625</v>
      </c>
      <c r="D274" s="1">
        <v>45627</v>
      </c>
      <c r="E274" t="s">
        <v>101</v>
      </c>
      <c r="F274" t="s">
        <v>604</v>
      </c>
      <c r="G274" t="s">
        <v>125</v>
      </c>
      <c r="H274" t="s">
        <v>108</v>
      </c>
      <c r="I274" t="s">
        <v>26</v>
      </c>
      <c r="J274" t="s">
        <v>346</v>
      </c>
      <c r="K274" t="s">
        <v>132</v>
      </c>
      <c r="L274" t="s">
        <v>41</v>
      </c>
      <c r="M274" t="s">
        <v>118</v>
      </c>
      <c r="N274" t="s">
        <v>761</v>
      </c>
      <c r="O274" t="s">
        <v>188</v>
      </c>
      <c r="P274" t="s">
        <v>189</v>
      </c>
      <c r="Q274" t="s">
        <v>386</v>
      </c>
      <c r="R274">
        <v>1734.16</v>
      </c>
      <c r="S274">
        <v>1</v>
      </c>
      <c r="T274">
        <v>0.15</v>
      </c>
      <c r="U274">
        <v>43.42</v>
      </c>
    </row>
    <row r="275" spans="1:21">
      <c r="A275">
        <v>1666</v>
      </c>
      <c r="B275" t="s">
        <v>762</v>
      </c>
      <c r="C275" s="1">
        <v>45296</v>
      </c>
      <c r="D275" s="1">
        <v>45300</v>
      </c>
      <c r="E275" t="s">
        <v>48</v>
      </c>
      <c r="F275" t="s">
        <v>520</v>
      </c>
      <c r="G275" t="s">
        <v>50</v>
      </c>
      <c r="H275" t="s">
        <v>126</v>
      </c>
      <c r="I275" t="s">
        <v>26</v>
      </c>
      <c r="J275" t="s">
        <v>131</v>
      </c>
      <c r="K275" t="s">
        <v>132</v>
      </c>
      <c r="L275" t="s">
        <v>92</v>
      </c>
      <c r="M275" t="s">
        <v>42</v>
      </c>
      <c r="N275" t="s">
        <v>297</v>
      </c>
      <c r="O275" t="s">
        <v>138</v>
      </c>
      <c r="P275" t="s">
        <v>121</v>
      </c>
      <c r="Q275" t="s">
        <v>122</v>
      </c>
      <c r="R275">
        <v>2459.09</v>
      </c>
      <c r="S275">
        <v>5</v>
      </c>
      <c r="T275">
        <v>0.25</v>
      </c>
      <c r="U275">
        <v>102.32</v>
      </c>
    </row>
    <row r="276" spans="1:21">
      <c r="A276">
        <v>1584</v>
      </c>
      <c r="B276" t="s">
        <v>763</v>
      </c>
      <c r="C276" s="1">
        <v>45597</v>
      </c>
      <c r="D276" s="1">
        <v>45599</v>
      </c>
      <c r="E276" t="s">
        <v>101</v>
      </c>
      <c r="F276" t="s">
        <v>113</v>
      </c>
      <c r="G276" t="s">
        <v>50</v>
      </c>
      <c r="H276" t="s">
        <v>108</v>
      </c>
      <c r="I276" t="s">
        <v>26</v>
      </c>
      <c r="J276" t="s">
        <v>109</v>
      </c>
      <c r="K276" t="s">
        <v>110</v>
      </c>
      <c r="L276" t="s">
        <v>63</v>
      </c>
      <c r="M276" t="s">
        <v>42</v>
      </c>
      <c r="N276" t="s">
        <v>614</v>
      </c>
      <c r="O276" t="s">
        <v>94</v>
      </c>
      <c r="P276" t="s">
        <v>211</v>
      </c>
      <c r="Q276" t="s">
        <v>223</v>
      </c>
      <c r="R276">
        <v>5686.96</v>
      </c>
      <c r="S276">
        <v>3</v>
      </c>
      <c r="T276">
        <v>0</v>
      </c>
      <c r="U276">
        <v>627.9</v>
      </c>
    </row>
    <row r="277" spans="1:21">
      <c r="A277">
        <v>1696</v>
      </c>
      <c r="B277" t="s">
        <v>764</v>
      </c>
      <c r="C277" s="1">
        <v>45315</v>
      </c>
      <c r="D277" s="1">
        <v>45316</v>
      </c>
      <c r="E277" t="s">
        <v>101</v>
      </c>
      <c r="F277" t="s">
        <v>765</v>
      </c>
      <c r="G277" t="s">
        <v>24</v>
      </c>
      <c r="H277" t="s">
        <v>310</v>
      </c>
      <c r="I277" t="s">
        <v>26</v>
      </c>
      <c r="J277" t="s">
        <v>90</v>
      </c>
      <c r="K277" t="s">
        <v>91</v>
      </c>
      <c r="L277" t="s">
        <v>215</v>
      </c>
      <c r="M277" t="s">
        <v>42</v>
      </c>
      <c r="N277" t="s">
        <v>766</v>
      </c>
      <c r="O277" t="s">
        <v>138</v>
      </c>
      <c r="P277" t="s">
        <v>182</v>
      </c>
      <c r="Q277" t="s">
        <v>183</v>
      </c>
      <c r="R277">
        <v>323.25</v>
      </c>
      <c r="S277">
        <v>1</v>
      </c>
      <c r="T277">
        <v>0.25</v>
      </c>
      <c r="U277">
        <v>9.5399999999999991</v>
      </c>
    </row>
    <row r="278" spans="1:21">
      <c r="A278">
        <v>1179</v>
      </c>
      <c r="B278" t="s">
        <v>767</v>
      </c>
      <c r="C278" s="1">
        <v>45505</v>
      </c>
      <c r="D278" s="1">
        <v>45510</v>
      </c>
      <c r="E278" t="s">
        <v>48</v>
      </c>
      <c r="F278" t="s">
        <v>36</v>
      </c>
      <c r="G278" t="s">
        <v>71</v>
      </c>
      <c r="H278" t="s">
        <v>25</v>
      </c>
      <c r="I278" t="s">
        <v>26</v>
      </c>
      <c r="J278" t="s">
        <v>115</v>
      </c>
      <c r="K278" t="s">
        <v>116</v>
      </c>
      <c r="L278" t="s">
        <v>41</v>
      </c>
      <c r="M278" t="s">
        <v>170</v>
      </c>
      <c r="N278" t="s">
        <v>768</v>
      </c>
      <c r="O278" t="s">
        <v>240</v>
      </c>
      <c r="P278" t="s">
        <v>182</v>
      </c>
      <c r="Q278" t="s">
        <v>183</v>
      </c>
      <c r="R278">
        <v>831.82</v>
      </c>
      <c r="S278">
        <v>2</v>
      </c>
      <c r="T278">
        <v>0</v>
      </c>
      <c r="U278">
        <v>173.5</v>
      </c>
    </row>
    <row r="279" spans="1:21">
      <c r="A279">
        <v>1487</v>
      </c>
      <c r="B279" t="s">
        <v>769</v>
      </c>
      <c r="C279" s="1">
        <v>45611</v>
      </c>
      <c r="D279" s="1">
        <v>45613</v>
      </c>
      <c r="E279" t="s">
        <v>101</v>
      </c>
      <c r="F279" t="s">
        <v>517</v>
      </c>
      <c r="G279" t="s">
        <v>71</v>
      </c>
      <c r="H279" t="s">
        <v>38</v>
      </c>
      <c r="I279" t="s">
        <v>26</v>
      </c>
      <c r="J279" t="s">
        <v>346</v>
      </c>
      <c r="K279" t="s">
        <v>132</v>
      </c>
      <c r="L279" t="s">
        <v>92</v>
      </c>
      <c r="M279" t="s">
        <v>30</v>
      </c>
      <c r="N279" t="s">
        <v>128</v>
      </c>
      <c r="O279" t="s">
        <v>83</v>
      </c>
      <c r="P279" t="s">
        <v>84</v>
      </c>
      <c r="Q279" t="s">
        <v>85</v>
      </c>
      <c r="R279">
        <v>18586.830000000002</v>
      </c>
      <c r="S279">
        <v>8</v>
      </c>
      <c r="T279">
        <v>0.3</v>
      </c>
      <c r="U279">
        <v>876.57</v>
      </c>
    </row>
    <row r="280" spans="1:21">
      <c r="A280">
        <v>1715</v>
      </c>
      <c r="B280" t="s">
        <v>770</v>
      </c>
      <c r="C280" s="1">
        <v>45503</v>
      </c>
      <c r="D280" s="1">
        <v>45507</v>
      </c>
      <c r="E280" t="s">
        <v>101</v>
      </c>
      <c r="F280" t="s">
        <v>771</v>
      </c>
      <c r="G280" t="s">
        <v>136</v>
      </c>
      <c r="H280" t="s">
        <v>51</v>
      </c>
      <c r="I280" t="s">
        <v>26</v>
      </c>
      <c r="J280" t="s">
        <v>27</v>
      </c>
      <c r="K280" t="s">
        <v>28</v>
      </c>
      <c r="L280" t="s">
        <v>63</v>
      </c>
      <c r="M280" t="s">
        <v>74</v>
      </c>
      <c r="N280" t="s">
        <v>772</v>
      </c>
      <c r="O280" t="s">
        <v>138</v>
      </c>
      <c r="P280" t="s">
        <v>121</v>
      </c>
      <c r="Q280" t="s">
        <v>122</v>
      </c>
      <c r="R280">
        <v>498.35</v>
      </c>
      <c r="S280">
        <v>1</v>
      </c>
      <c r="T280">
        <v>0.25</v>
      </c>
      <c r="U280">
        <v>22.13</v>
      </c>
    </row>
    <row r="281" spans="1:21">
      <c r="A281">
        <v>1178</v>
      </c>
      <c r="B281" t="s">
        <v>773</v>
      </c>
      <c r="C281" s="1">
        <v>45375</v>
      </c>
      <c r="D281" s="1">
        <v>45379</v>
      </c>
      <c r="E281" t="s">
        <v>48</v>
      </c>
      <c r="F281" t="s">
        <v>774</v>
      </c>
      <c r="G281" t="s">
        <v>174</v>
      </c>
      <c r="H281" t="s">
        <v>108</v>
      </c>
      <c r="I281" t="s">
        <v>26</v>
      </c>
      <c r="J281" t="s">
        <v>166</v>
      </c>
      <c r="K281" t="s">
        <v>132</v>
      </c>
      <c r="L281" t="s">
        <v>29</v>
      </c>
      <c r="M281" t="s">
        <v>81</v>
      </c>
      <c r="N281" t="s">
        <v>775</v>
      </c>
      <c r="O281" t="s">
        <v>120</v>
      </c>
      <c r="P281" t="s">
        <v>139</v>
      </c>
      <c r="Q281" t="s">
        <v>140</v>
      </c>
      <c r="R281">
        <v>707.78</v>
      </c>
      <c r="S281">
        <v>1</v>
      </c>
      <c r="T281">
        <v>0.2</v>
      </c>
      <c r="U281">
        <v>53.07</v>
      </c>
    </row>
    <row r="282" spans="1:21">
      <c r="A282">
        <v>1618</v>
      </c>
      <c r="B282" t="s">
        <v>776</v>
      </c>
      <c r="C282" s="1">
        <v>45394</v>
      </c>
      <c r="D282" s="1">
        <v>45396</v>
      </c>
      <c r="E282" t="s">
        <v>101</v>
      </c>
      <c r="F282" t="s">
        <v>449</v>
      </c>
      <c r="G282" t="s">
        <v>136</v>
      </c>
      <c r="H282" t="s">
        <v>25</v>
      </c>
      <c r="I282" t="s">
        <v>26</v>
      </c>
      <c r="J282" t="s">
        <v>52</v>
      </c>
      <c r="K282" t="s">
        <v>52</v>
      </c>
      <c r="L282" t="s">
        <v>29</v>
      </c>
      <c r="M282" t="s">
        <v>74</v>
      </c>
      <c r="N282" t="s">
        <v>777</v>
      </c>
      <c r="O282" t="s">
        <v>138</v>
      </c>
      <c r="P282" t="s">
        <v>182</v>
      </c>
      <c r="Q282" t="s">
        <v>183</v>
      </c>
      <c r="R282">
        <v>1751.5</v>
      </c>
      <c r="S282">
        <v>4</v>
      </c>
      <c r="T282">
        <v>0.05</v>
      </c>
      <c r="U282">
        <v>274.08999999999997</v>
      </c>
    </row>
    <row r="283" spans="1:21">
      <c r="A283">
        <v>1532</v>
      </c>
      <c r="B283" t="s">
        <v>778</v>
      </c>
      <c r="C283" s="1">
        <v>45397</v>
      </c>
      <c r="D283" s="1">
        <v>45402</v>
      </c>
      <c r="E283" t="s">
        <v>48</v>
      </c>
      <c r="F283" t="s">
        <v>198</v>
      </c>
      <c r="G283" t="s">
        <v>174</v>
      </c>
      <c r="H283" t="s">
        <v>51</v>
      </c>
      <c r="I283" t="s">
        <v>26</v>
      </c>
      <c r="J283" t="s">
        <v>115</v>
      </c>
      <c r="K283" t="s">
        <v>116</v>
      </c>
      <c r="L283" t="s">
        <v>63</v>
      </c>
      <c r="M283" t="s">
        <v>30</v>
      </c>
      <c r="N283" t="s">
        <v>779</v>
      </c>
      <c r="O283" t="s">
        <v>44</v>
      </c>
      <c r="P283" t="s">
        <v>211</v>
      </c>
      <c r="Q283" t="s">
        <v>212</v>
      </c>
      <c r="R283" t="s">
        <v>319</v>
      </c>
      <c r="S283">
        <v>1</v>
      </c>
      <c r="T283">
        <v>0</v>
      </c>
      <c r="U283">
        <v>132.01</v>
      </c>
    </row>
    <row r="284" spans="1:21">
      <c r="A284">
        <v>1258</v>
      </c>
      <c r="B284" t="s">
        <v>780</v>
      </c>
      <c r="C284" s="1">
        <v>45516</v>
      </c>
      <c r="D284" s="1">
        <v>45517</v>
      </c>
      <c r="E284" t="s">
        <v>69</v>
      </c>
      <c r="F284" t="s">
        <v>781</v>
      </c>
      <c r="G284" t="s">
        <v>147</v>
      </c>
      <c r="H284" t="s">
        <v>51</v>
      </c>
      <c r="I284" t="s">
        <v>26</v>
      </c>
      <c r="J284" t="s">
        <v>346</v>
      </c>
      <c r="K284" t="s">
        <v>132</v>
      </c>
      <c r="L284" t="s">
        <v>63</v>
      </c>
      <c r="M284" t="s">
        <v>127</v>
      </c>
      <c r="N284" t="s">
        <v>782</v>
      </c>
      <c r="O284" t="s">
        <v>138</v>
      </c>
      <c r="P284" t="s">
        <v>182</v>
      </c>
      <c r="Q284" t="s">
        <v>183</v>
      </c>
      <c r="R284">
        <v>2086.2800000000002</v>
      </c>
      <c r="S284">
        <v>5</v>
      </c>
      <c r="T284">
        <v>0</v>
      </c>
      <c r="U284">
        <v>318.44</v>
      </c>
    </row>
    <row r="285" spans="1:21">
      <c r="A285">
        <v>1508</v>
      </c>
      <c r="B285" t="s">
        <v>783</v>
      </c>
      <c r="C285" s="1">
        <v>45457</v>
      </c>
      <c r="D285" s="1">
        <v>45463</v>
      </c>
      <c r="E285" t="s">
        <v>69</v>
      </c>
      <c r="F285" t="s">
        <v>225</v>
      </c>
      <c r="G285" t="s">
        <v>24</v>
      </c>
      <c r="H285" t="s">
        <v>51</v>
      </c>
      <c r="I285" t="s">
        <v>26</v>
      </c>
      <c r="J285" t="s">
        <v>160</v>
      </c>
      <c r="K285" t="s">
        <v>161</v>
      </c>
      <c r="L285" t="s">
        <v>41</v>
      </c>
      <c r="M285" t="s">
        <v>74</v>
      </c>
      <c r="N285" t="s">
        <v>407</v>
      </c>
      <c r="O285" t="s">
        <v>328</v>
      </c>
      <c r="P285" t="s">
        <v>189</v>
      </c>
      <c r="Q285" t="s">
        <v>190</v>
      </c>
      <c r="R285">
        <v>10184.32</v>
      </c>
      <c r="S285">
        <v>2</v>
      </c>
      <c r="T285">
        <v>0.15</v>
      </c>
      <c r="U285">
        <v>401.37</v>
      </c>
    </row>
    <row r="286" spans="1:21">
      <c r="A286">
        <v>1522</v>
      </c>
      <c r="B286" t="s">
        <v>784</v>
      </c>
      <c r="D286" s="1">
        <v>45383</v>
      </c>
      <c r="E286" t="s">
        <v>48</v>
      </c>
      <c r="F286" t="s">
        <v>340</v>
      </c>
      <c r="G286" t="s">
        <v>174</v>
      </c>
      <c r="H286" t="s">
        <v>51</v>
      </c>
      <c r="I286" t="s">
        <v>26</v>
      </c>
      <c r="J286" t="s">
        <v>131</v>
      </c>
      <c r="K286" t="s">
        <v>132</v>
      </c>
      <c r="L286" t="s">
        <v>29</v>
      </c>
      <c r="M286" t="s">
        <v>118</v>
      </c>
      <c r="N286" t="s">
        <v>785</v>
      </c>
      <c r="O286" t="s">
        <v>138</v>
      </c>
      <c r="P286" t="s">
        <v>156</v>
      </c>
      <c r="Q286" t="s">
        <v>157</v>
      </c>
      <c r="R286" t="s">
        <v>786</v>
      </c>
      <c r="S286">
        <v>2</v>
      </c>
      <c r="T286">
        <v>0</v>
      </c>
      <c r="U286">
        <v>156.88</v>
      </c>
    </row>
    <row r="287" spans="1:21">
      <c r="A287">
        <v>1016</v>
      </c>
      <c r="B287" t="s">
        <v>787</v>
      </c>
      <c r="C287" s="1">
        <v>45451</v>
      </c>
      <c r="D287" s="1">
        <v>45455</v>
      </c>
      <c r="E287" t="s">
        <v>48</v>
      </c>
      <c r="F287" t="s">
        <v>560</v>
      </c>
      <c r="G287" t="s">
        <v>71</v>
      </c>
      <c r="H287" t="s">
        <v>108</v>
      </c>
      <c r="I287" t="s">
        <v>26</v>
      </c>
      <c r="J287" t="s">
        <v>79</v>
      </c>
      <c r="K287" t="s">
        <v>80</v>
      </c>
      <c r="L287" t="s">
        <v>29</v>
      </c>
      <c r="M287" t="s">
        <v>74</v>
      </c>
      <c r="N287" t="s">
        <v>788</v>
      </c>
      <c r="O287" t="s">
        <v>65</v>
      </c>
      <c r="P287" t="s">
        <v>98</v>
      </c>
      <c r="Q287" t="s">
        <v>99</v>
      </c>
      <c r="R287">
        <v>35154.68</v>
      </c>
      <c r="S287">
        <v>6</v>
      </c>
      <c r="T287">
        <v>0.1</v>
      </c>
      <c r="U287">
        <v>2789.52</v>
      </c>
    </row>
    <row r="288" spans="1:21">
      <c r="A288">
        <v>1458</v>
      </c>
      <c r="B288" t="s">
        <v>789</v>
      </c>
      <c r="C288" s="1">
        <v>45420</v>
      </c>
      <c r="D288" s="1">
        <v>45424</v>
      </c>
      <c r="E288" t="s">
        <v>22</v>
      </c>
      <c r="F288" t="s">
        <v>442</v>
      </c>
      <c r="G288" t="s">
        <v>147</v>
      </c>
      <c r="H288" t="s">
        <v>51</v>
      </c>
      <c r="I288" t="s">
        <v>26</v>
      </c>
      <c r="J288" t="s">
        <v>27</v>
      </c>
      <c r="K288" t="s">
        <v>28</v>
      </c>
      <c r="L288" t="s">
        <v>154</v>
      </c>
      <c r="M288" t="s">
        <v>118</v>
      </c>
      <c r="N288" t="s">
        <v>556</v>
      </c>
      <c r="O288" t="s">
        <v>55</v>
      </c>
      <c r="P288" t="s">
        <v>98</v>
      </c>
      <c r="Q288" t="s">
        <v>99</v>
      </c>
      <c r="R288">
        <v>17423.900000000001</v>
      </c>
      <c r="S288">
        <v>3</v>
      </c>
      <c r="T288">
        <v>0.1</v>
      </c>
      <c r="U288">
        <v>1602.41</v>
      </c>
    </row>
    <row r="289" spans="1:21">
      <c r="A289">
        <v>1257</v>
      </c>
      <c r="B289" t="s">
        <v>790</v>
      </c>
      <c r="C289" s="1">
        <v>45517</v>
      </c>
      <c r="D289" s="1">
        <v>45522</v>
      </c>
      <c r="E289" t="s">
        <v>69</v>
      </c>
      <c r="F289" t="s">
        <v>791</v>
      </c>
      <c r="G289" t="s">
        <v>50</v>
      </c>
      <c r="H289" t="s">
        <v>51</v>
      </c>
      <c r="I289" t="s">
        <v>26</v>
      </c>
      <c r="J289" t="s">
        <v>115</v>
      </c>
      <c r="K289" t="s">
        <v>116</v>
      </c>
      <c r="L289" t="s">
        <v>92</v>
      </c>
      <c r="M289" t="s">
        <v>42</v>
      </c>
      <c r="N289" t="s">
        <v>792</v>
      </c>
      <c r="O289" t="s">
        <v>83</v>
      </c>
      <c r="P289" t="s">
        <v>84</v>
      </c>
      <c r="Q289" t="s">
        <v>85</v>
      </c>
      <c r="R289">
        <v>27372.46</v>
      </c>
      <c r="S289">
        <v>8</v>
      </c>
      <c r="T289">
        <v>0</v>
      </c>
      <c r="U289">
        <v>8095.62</v>
      </c>
    </row>
    <row r="290" spans="1:21">
      <c r="A290">
        <v>1329</v>
      </c>
      <c r="B290" t="s">
        <v>793</v>
      </c>
      <c r="C290" s="1">
        <v>45360</v>
      </c>
      <c r="D290" s="1">
        <v>45363</v>
      </c>
      <c r="E290" t="s">
        <v>101</v>
      </c>
      <c r="F290" t="s">
        <v>87</v>
      </c>
      <c r="G290" t="s">
        <v>88</v>
      </c>
      <c r="H290" t="s">
        <v>108</v>
      </c>
      <c r="I290" t="s">
        <v>26</v>
      </c>
      <c r="J290" t="s">
        <v>61</v>
      </c>
      <c r="K290" t="s">
        <v>62</v>
      </c>
      <c r="L290" t="s">
        <v>215</v>
      </c>
      <c r="M290" t="s">
        <v>42</v>
      </c>
      <c r="N290" t="s">
        <v>794</v>
      </c>
      <c r="O290" t="s">
        <v>240</v>
      </c>
      <c r="P290" t="s">
        <v>182</v>
      </c>
      <c r="Q290" t="s">
        <v>183</v>
      </c>
      <c r="R290">
        <v>1563.95</v>
      </c>
      <c r="S290">
        <v>4</v>
      </c>
      <c r="T290">
        <v>0.1</v>
      </c>
      <c r="U290">
        <v>196.68</v>
      </c>
    </row>
    <row r="291" spans="1:21">
      <c r="A291">
        <v>1347</v>
      </c>
      <c r="B291" t="s">
        <v>795</v>
      </c>
      <c r="C291" s="1">
        <v>45299</v>
      </c>
      <c r="D291" s="1">
        <v>45302</v>
      </c>
      <c r="E291" t="s">
        <v>69</v>
      </c>
      <c r="F291" t="s">
        <v>701</v>
      </c>
      <c r="G291" t="s">
        <v>125</v>
      </c>
      <c r="H291" t="s">
        <v>51</v>
      </c>
      <c r="I291" t="s">
        <v>26</v>
      </c>
      <c r="J291" t="s">
        <v>39</v>
      </c>
      <c r="K291" t="s">
        <v>40</v>
      </c>
      <c r="L291" t="s">
        <v>53</v>
      </c>
      <c r="M291" t="s">
        <v>81</v>
      </c>
      <c r="N291" t="s">
        <v>796</v>
      </c>
      <c r="O291" t="s">
        <v>55</v>
      </c>
      <c r="P291" t="s">
        <v>98</v>
      </c>
      <c r="Q291" t="s">
        <v>99</v>
      </c>
      <c r="R291">
        <v>15378.7</v>
      </c>
      <c r="S291">
        <v>3</v>
      </c>
      <c r="T291">
        <v>0.2</v>
      </c>
      <c r="U291">
        <v>401.94</v>
      </c>
    </row>
    <row r="292" spans="1:21">
      <c r="A292">
        <v>1620</v>
      </c>
      <c r="B292" t="s">
        <v>797</v>
      </c>
      <c r="C292" s="1">
        <v>45505</v>
      </c>
      <c r="D292" s="1">
        <v>45507</v>
      </c>
      <c r="E292" t="s">
        <v>101</v>
      </c>
      <c r="F292" t="s">
        <v>333</v>
      </c>
      <c r="G292" t="s">
        <v>24</v>
      </c>
      <c r="H292" t="s">
        <v>51</v>
      </c>
      <c r="I292" t="s">
        <v>26</v>
      </c>
      <c r="J292" t="s">
        <v>90</v>
      </c>
      <c r="K292" t="s">
        <v>91</v>
      </c>
      <c r="L292" t="s">
        <v>92</v>
      </c>
      <c r="M292" t="s">
        <v>74</v>
      </c>
      <c r="N292" t="s">
        <v>666</v>
      </c>
      <c r="O292" t="s">
        <v>138</v>
      </c>
      <c r="P292" t="s">
        <v>182</v>
      </c>
      <c r="Q292" t="s">
        <v>183</v>
      </c>
      <c r="R292">
        <v>1644.61</v>
      </c>
      <c r="S292">
        <v>4</v>
      </c>
      <c r="T292">
        <v>0.15</v>
      </c>
      <c r="U292">
        <v>142.07</v>
      </c>
    </row>
    <row r="293" spans="1:21">
      <c r="A293">
        <v>1426</v>
      </c>
      <c r="B293" t="s">
        <v>798</v>
      </c>
      <c r="C293" s="1">
        <v>45573</v>
      </c>
      <c r="D293" s="1">
        <v>45576</v>
      </c>
      <c r="E293" t="s">
        <v>48</v>
      </c>
      <c r="F293" t="s">
        <v>378</v>
      </c>
      <c r="G293" t="s">
        <v>88</v>
      </c>
      <c r="H293" t="s">
        <v>51</v>
      </c>
      <c r="I293" t="s">
        <v>26</v>
      </c>
      <c r="J293" t="s">
        <v>72</v>
      </c>
      <c r="K293" t="s">
        <v>73</v>
      </c>
      <c r="L293" t="s">
        <v>63</v>
      </c>
      <c r="M293" t="s">
        <v>30</v>
      </c>
      <c r="N293" t="s">
        <v>222</v>
      </c>
      <c r="O293" t="s">
        <v>138</v>
      </c>
      <c r="P293" t="s">
        <v>121</v>
      </c>
      <c r="Q293" t="s">
        <v>122</v>
      </c>
      <c r="R293">
        <v>2419.9</v>
      </c>
      <c r="S293">
        <v>4</v>
      </c>
      <c r="T293">
        <v>0</v>
      </c>
      <c r="U293">
        <v>544.47</v>
      </c>
    </row>
    <row r="294" spans="1:21">
      <c r="A294">
        <v>1689</v>
      </c>
      <c r="B294" t="s">
        <v>799</v>
      </c>
      <c r="C294" s="1">
        <v>45414</v>
      </c>
      <c r="D294" s="1">
        <v>45418</v>
      </c>
      <c r="E294" t="s">
        <v>22</v>
      </c>
      <c r="F294" t="s">
        <v>701</v>
      </c>
      <c r="G294" t="s">
        <v>88</v>
      </c>
      <c r="H294" t="s">
        <v>51</v>
      </c>
      <c r="I294" t="s">
        <v>26</v>
      </c>
      <c r="J294" t="s">
        <v>52</v>
      </c>
      <c r="K294" t="s">
        <v>52</v>
      </c>
      <c r="L294" t="s">
        <v>103</v>
      </c>
      <c r="M294" t="s">
        <v>30</v>
      </c>
      <c r="N294" t="s">
        <v>400</v>
      </c>
      <c r="O294" t="s">
        <v>138</v>
      </c>
      <c r="P294" t="s">
        <v>139</v>
      </c>
      <c r="Q294" t="s">
        <v>140</v>
      </c>
      <c r="R294">
        <v>1789.2</v>
      </c>
      <c r="S294">
        <v>2</v>
      </c>
      <c r="T294">
        <v>0.05</v>
      </c>
      <c r="U294">
        <v>301.91000000000003</v>
      </c>
    </row>
    <row r="295" spans="1:21">
      <c r="A295">
        <v>1330</v>
      </c>
      <c r="B295" t="s">
        <v>800</v>
      </c>
      <c r="C295" s="1">
        <v>45500</v>
      </c>
      <c r="D295" s="1">
        <v>45506</v>
      </c>
      <c r="E295" t="s">
        <v>101</v>
      </c>
      <c r="F295" t="s">
        <v>417</v>
      </c>
      <c r="G295" t="s">
        <v>136</v>
      </c>
      <c r="H295" t="s">
        <v>25</v>
      </c>
      <c r="I295" t="s">
        <v>26</v>
      </c>
      <c r="J295" t="s">
        <v>109</v>
      </c>
      <c r="K295" t="s">
        <v>110</v>
      </c>
      <c r="L295" t="s">
        <v>63</v>
      </c>
      <c r="M295" t="s">
        <v>127</v>
      </c>
      <c r="N295" t="s">
        <v>801</v>
      </c>
      <c r="O295" t="s">
        <v>120</v>
      </c>
      <c r="P295" t="s">
        <v>139</v>
      </c>
      <c r="Q295" t="s">
        <v>140</v>
      </c>
      <c r="R295">
        <v>874.96</v>
      </c>
      <c r="S295">
        <v>1</v>
      </c>
      <c r="T295">
        <v>0.1</v>
      </c>
      <c r="U295">
        <v>122.3</v>
      </c>
    </row>
    <row r="296" spans="1:21">
      <c r="A296">
        <v>1303</v>
      </c>
      <c r="B296" t="s">
        <v>802</v>
      </c>
      <c r="C296" s="1">
        <v>45591</v>
      </c>
      <c r="D296" s="1">
        <v>45593</v>
      </c>
      <c r="E296" t="s">
        <v>69</v>
      </c>
      <c r="F296" t="s">
        <v>452</v>
      </c>
      <c r="G296" t="s">
        <v>107</v>
      </c>
      <c r="H296" t="s">
        <v>51</v>
      </c>
      <c r="I296" t="s">
        <v>26</v>
      </c>
      <c r="J296" t="s">
        <v>27</v>
      </c>
      <c r="K296" t="s">
        <v>28</v>
      </c>
      <c r="L296" t="s">
        <v>154</v>
      </c>
      <c r="M296" t="s">
        <v>42</v>
      </c>
      <c r="N296" t="s">
        <v>803</v>
      </c>
      <c r="O296" t="s">
        <v>144</v>
      </c>
      <c r="P296" t="s">
        <v>66</v>
      </c>
      <c r="Q296" t="s">
        <v>67</v>
      </c>
      <c r="R296">
        <v>51098.01</v>
      </c>
      <c r="S296">
        <v>8</v>
      </c>
      <c r="T296">
        <v>0.2</v>
      </c>
      <c r="U296">
        <v>1502.88</v>
      </c>
    </row>
    <row r="297" spans="1:21">
      <c r="A297">
        <v>1408</v>
      </c>
      <c r="B297" t="s">
        <v>804</v>
      </c>
      <c r="C297" s="1">
        <v>45601</v>
      </c>
      <c r="D297" s="1">
        <v>45602</v>
      </c>
      <c r="E297" t="s">
        <v>69</v>
      </c>
      <c r="F297" t="s">
        <v>560</v>
      </c>
      <c r="G297" t="s">
        <v>60</v>
      </c>
      <c r="H297" t="s">
        <v>25</v>
      </c>
      <c r="I297" t="s">
        <v>26</v>
      </c>
      <c r="J297" t="s">
        <v>109</v>
      </c>
      <c r="K297" t="s">
        <v>110</v>
      </c>
      <c r="L297" t="s">
        <v>92</v>
      </c>
      <c r="M297" t="s">
        <v>74</v>
      </c>
      <c r="N297" t="s">
        <v>805</v>
      </c>
      <c r="O297" t="s">
        <v>55</v>
      </c>
      <c r="P297" t="s">
        <v>56</v>
      </c>
      <c r="Q297" t="s">
        <v>57</v>
      </c>
      <c r="R297">
        <v>10676.57</v>
      </c>
      <c r="S297">
        <v>2</v>
      </c>
      <c r="T297">
        <v>0.3</v>
      </c>
      <c r="U297">
        <v>-377.2</v>
      </c>
    </row>
    <row r="298" spans="1:21">
      <c r="A298">
        <v>1010</v>
      </c>
      <c r="B298" t="s">
        <v>806</v>
      </c>
      <c r="C298" s="1">
        <v>45552</v>
      </c>
      <c r="D298" s="1">
        <v>45556</v>
      </c>
      <c r="E298" t="s">
        <v>22</v>
      </c>
      <c r="F298" t="s">
        <v>106</v>
      </c>
      <c r="G298" t="s">
        <v>229</v>
      </c>
      <c r="H298" t="s">
        <v>25</v>
      </c>
      <c r="I298" t="s">
        <v>26</v>
      </c>
      <c r="J298" t="s">
        <v>109</v>
      </c>
      <c r="K298" t="s">
        <v>110</v>
      </c>
      <c r="L298" t="s">
        <v>41</v>
      </c>
      <c r="M298" t="s">
        <v>30</v>
      </c>
      <c r="N298" t="s">
        <v>761</v>
      </c>
      <c r="O298" t="s">
        <v>188</v>
      </c>
      <c r="P298" t="s">
        <v>189</v>
      </c>
      <c r="Q298" t="s">
        <v>190</v>
      </c>
      <c r="R298">
        <v>10900.01</v>
      </c>
      <c r="S298">
        <v>2</v>
      </c>
      <c r="T298">
        <v>0.05</v>
      </c>
      <c r="U298">
        <v>951.82</v>
      </c>
    </row>
    <row r="299" spans="1:21">
      <c r="A299">
        <v>1250</v>
      </c>
      <c r="B299" t="s">
        <v>807</v>
      </c>
      <c r="C299" s="1">
        <v>45597</v>
      </c>
      <c r="D299" s="1">
        <v>45601</v>
      </c>
      <c r="E299" t="s">
        <v>101</v>
      </c>
      <c r="F299" t="s">
        <v>774</v>
      </c>
      <c r="G299" t="s">
        <v>50</v>
      </c>
      <c r="H299" t="s">
        <v>153</v>
      </c>
      <c r="I299" t="s">
        <v>26</v>
      </c>
      <c r="J299" t="s">
        <v>90</v>
      </c>
      <c r="K299" t="s">
        <v>91</v>
      </c>
      <c r="L299" t="s">
        <v>117</v>
      </c>
      <c r="M299" t="s">
        <v>42</v>
      </c>
      <c r="N299" t="s">
        <v>808</v>
      </c>
      <c r="O299" t="s">
        <v>188</v>
      </c>
      <c r="P299" t="s">
        <v>189</v>
      </c>
      <c r="Q299" t="s">
        <v>386</v>
      </c>
      <c r="R299">
        <v>13255.13</v>
      </c>
      <c r="S299">
        <v>7</v>
      </c>
      <c r="T299">
        <v>0.2</v>
      </c>
      <c r="U299">
        <v>0</v>
      </c>
    </row>
    <row r="300" spans="1:21">
      <c r="A300">
        <v>1023</v>
      </c>
      <c r="B300" t="s">
        <v>809</v>
      </c>
      <c r="C300" s="1">
        <v>45371</v>
      </c>
      <c r="D300" s="1">
        <v>45373</v>
      </c>
      <c r="E300" t="s">
        <v>48</v>
      </c>
      <c r="F300" t="s">
        <v>810</v>
      </c>
      <c r="G300" t="s">
        <v>229</v>
      </c>
      <c r="H300" t="s">
        <v>38</v>
      </c>
      <c r="I300" t="s">
        <v>26</v>
      </c>
      <c r="J300" t="s">
        <v>27</v>
      </c>
      <c r="K300" t="s">
        <v>28</v>
      </c>
      <c r="L300" t="s">
        <v>263</v>
      </c>
      <c r="M300" t="s">
        <v>81</v>
      </c>
      <c r="N300" t="s">
        <v>518</v>
      </c>
      <c r="O300" t="s">
        <v>138</v>
      </c>
      <c r="P300" t="s">
        <v>182</v>
      </c>
      <c r="Q300" t="s">
        <v>183</v>
      </c>
      <c r="R300">
        <v>1211.3699999999999</v>
      </c>
      <c r="S300">
        <v>4</v>
      </c>
      <c r="T300">
        <v>0.3</v>
      </c>
      <c r="U300">
        <v>6.55</v>
      </c>
    </row>
    <row r="301" spans="1:21">
      <c r="A301">
        <v>1222</v>
      </c>
      <c r="B301" t="s">
        <v>394</v>
      </c>
      <c r="C301" s="1">
        <v>45346</v>
      </c>
      <c r="D301" s="1">
        <v>45347</v>
      </c>
      <c r="E301" t="s">
        <v>69</v>
      </c>
      <c r="F301" t="s">
        <v>395</v>
      </c>
      <c r="G301" t="s">
        <v>107</v>
      </c>
      <c r="H301" t="s">
        <v>51</v>
      </c>
      <c r="I301" t="s">
        <v>26</v>
      </c>
      <c r="J301" t="s">
        <v>160</v>
      </c>
      <c r="K301" t="s">
        <v>161</v>
      </c>
      <c r="L301" t="s">
        <v>63</v>
      </c>
      <c r="M301" t="s">
        <v>127</v>
      </c>
      <c r="N301" t="s">
        <v>396</v>
      </c>
      <c r="O301" t="s">
        <v>120</v>
      </c>
      <c r="P301" t="s">
        <v>156</v>
      </c>
      <c r="Q301" t="s">
        <v>157</v>
      </c>
      <c r="R301">
        <v>2476.17</v>
      </c>
      <c r="S301">
        <v>7</v>
      </c>
      <c r="T301">
        <v>0.05</v>
      </c>
      <c r="U301">
        <v>387.93</v>
      </c>
    </row>
    <row r="302" spans="1:21">
      <c r="A302">
        <v>1519</v>
      </c>
      <c r="B302" t="s">
        <v>811</v>
      </c>
      <c r="C302" s="1">
        <v>45384</v>
      </c>
      <c r="D302" s="1">
        <v>45389</v>
      </c>
      <c r="E302" t="s">
        <v>69</v>
      </c>
      <c r="F302" t="s">
        <v>663</v>
      </c>
      <c r="G302" t="s">
        <v>78</v>
      </c>
      <c r="H302" t="s">
        <v>153</v>
      </c>
      <c r="I302" t="s">
        <v>26</v>
      </c>
      <c r="J302" t="s">
        <v>79</v>
      </c>
      <c r="K302" t="s">
        <v>80</v>
      </c>
      <c r="L302" t="s">
        <v>103</v>
      </c>
      <c r="M302" t="s">
        <v>74</v>
      </c>
      <c r="N302" t="s">
        <v>812</v>
      </c>
      <c r="O302" t="s">
        <v>138</v>
      </c>
      <c r="P302" t="s">
        <v>182</v>
      </c>
      <c r="Q302" t="s">
        <v>183</v>
      </c>
      <c r="R302">
        <v>920.79</v>
      </c>
      <c r="S302">
        <v>3</v>
      </c>
      <c r="T302">
        <v>0.3</v>
      </c>
      <c r="U302">
        <v>5.12</v>
      </c>
    </row>
    <row r="303" spans="1:21">
      <c r="A303">
        <v>1498</v>
      </c>
      <c r="B303" t="s">
        <v>813</v>
      </c>
      <c r="C303" s="1">
        <v>45386</v>
      </c>
      <c r="D303" s="1">
        <v>45389</v>
      </c>
      <c r="E303" t="s">
        <v>69</v>
      </c>
      <c r="F303" t="s">
        <v>214</v>
      </c>
      <c r="G303" t="s">
        <v>229</v>
      </c>
      <c r="H303" t="s">
        <v>310</v>
      </c>
      <c r="I303" t="s">
        <v>26</v>
      </c>
      <c r="J303" t="s">
        <v>166</v>
      </c>
      <c r="K303" t="s">
        <v>132</v>
      </c>
      <c r="L303" t="s">
        <v>117</v>
      </c>
      <c r="M303" t="s">
        <v>118</v>
      </c>
      <c r="N303" t="s">
        <v>814</v>
      </c>
      <c r="O303" t="s">
        <v>55</v>
      </c>
      <c r="P303" t="s">
        <v>56</v>
      </c>
      <c r="Q303" t="s">
        <v>57</v>
      </c>
      <c r="R303">
        <v>21119.53</v>
      </c>
      <c r="S303">
        <v>3</v>
      </c>
      <c r="T303">
        <v>0</v>
      </c>
      <c r="U303">
        <v>2689.08</v>
      </c>
    </row>
    <row r="304" spans="1:21">
      <c r="A304">
        <v>1743</v>
      </c>
      <c r="B304" t="s">
        <v>815</v>
      </c>
      <c r="C304" s="1">
        <v>45591</v>
      </c>
      <c r="D304" s="1">
        <v>45596</v>
      </c>
      <c r="E304" t="s">
        <v>48</v>
      </c>
      <c r="F304" t="s">
        <v>517</v>
      </c>
      <c r="G304" t="s">
        <v>60</v>
      </c>
      <c r="H304" t="s">
        <v>389</v>
      </c>
      <c r="I304" t="s">
        <v>26</v>
      </c>
      <c r="J304" t="s">
        <v>115</v>
      </c>
      <c r="K304" t="s">
        <v>116</v>
      </c>
      <c r="L304" t="s">
        <v>41</v>
      </c>
      <c r="M304" t="s">
        <v>42</v>
      </c>
      <c r="N304" t="s">
        <v>816</v>
      </c>
      <c r="O304" t="s">
        <v>188</v>
      </c>
      <c r="P304" t="s">
        <v>189</v>
      </c>
      <c r="Q304" t="s">
        <v>386</v>
      </c>
      <c r="R304">
        <v>15395.43</v>
      </c>
      <c r="S304">
        <v>8</v>
      </c>
      <c r="T304">
        <v>0.1</v>
      </c>
      <c r="U304">
        <v>933.89</v>
      </c>
    </row>
    <row r="305" spans="1:21">
      <c r="A305">
        <v>1406</v>
      </c>
      <c r="B305" t="s">
        <v>817</v>
      </c>
      <c r="C305" s="1">
        <v>45312</v>
      </c>
      <c r="D305" s="1">
        <v>45318</v>
      </c>
      <c r="E305" t="s">
        <v>48</v>
      </c>
      <c r="F305" t="s">
        <v>173</v>
      </c>
      <c r="G305" t="s">
        <v>24</v>
      </c>
      <c r="H305" t="s">
        <v>310</v>
      </c>
      <c r="I305" t="s">
        <v>26</v>
      </c>
      <c r="J305" t="s">
        <v>226</v>
      </c>
      <c r="K305" t="s">
        <v>110</v>
      </c>
      <c r="L305" t="s">
        <v>63</v>
      </c>
      <c r="M305" t="s">
        <v>127</v>
      </c>
      <c r="N305" t="s">
        <v>818</v>
      </c>
      <c r="O305" t="s">
        <v>55</v>
      </c>
      <c r="P305" t="s">
        <v>98</v>
      </c>
      <c r="Q305" t="s">
        <v>99</v>
      </c>
      <c r="R305">
        <v>13792.95</v>
      </c>
      <c r="S305">
        <v>2</v>
      </c>
      <c r="T305">
        <v>0</v>
      </c>
      <c r="U305">
        <v>2580.8200000000002</v>
      </c>
    </row>
    <row r="306" spans="1:21">
      <c r="A306">
        <v>1636</v>
      </c>
      <c r="B306" t="s">
        <v>819</v>
      </c>
      <c r="C306" s="1">
        <v>45407</v>
      </c>
      <c r="D306" s="1">
        <v>45412</v>
      </c>
      <c r="E306" t="s">
        <v>101</v>
      </c>
      <c r="F306" t="s">
        <v>449</v>
      </c>
      <c r="G306" t="s">
        <v>88</v>
      </c>
      <c r="H306" t="s">
        <v>25</v>
      </c>
      <c r="I306" t="s">
        <v>26</v>
      </c>
      <c r="J306" t="s">
        <v>115</v>
      </c>
      <c r="K306" t="s">
        <v>116</v>
      </c>
      <c r="L306" t="s">
        <v>29</v>
      </c>
      <c r="M306" t="s">
        <v>30</v>
      </c>
      <c r="N306" t="s">
        <v>820</v>
      </c>
      <c r="O306" t="s">
        <v>120</v>
      </c>
      <c r="P306" t="s">
        <v>182</v>
      </c>
      <c r="Q306" t="s">
        <v>183</v>
      </c>
      <c r="R306">
        <v>649.65</v>
      </c>
      <c r="S306">
        <v>2</v>
      </c>
      <c r="T306">
        <v>0.3</v>
      </c>
      <c r="U306">
        <v>3.83</v>
      </c>
    </row>
    <row r="307" spans="1:21">
      <c r="A307">
        <v>1204</v>
      </c>
      <c r="B307" t="s">
        <v>821</v>
      </c>
      <c r="C307" s="1">
        <v>45406</v>
      </c>
      <c r="D307" s="1">
        <v>45407</v>
      </c>
      <c r="E307" t="s">
        <v>22</v>
      </c>
      <c r="F307" t="s">
        <v>520</v>
      </c>
      <c r="G307" t="s">
        <v>165</v>
      </c>
      <c r="H307" t="s">
        <v>51</v>
      </c>
      <c r="I307" t="s">
        <v>26</v>
      </c>
      <c r="J307" t="s">
        <v>226</v>
      </c>
      <c r="K307" t="s">
        <v>110</v>
      </c>
      <c r="L307" t="s">
        <v>29</v>
      </c>
      <c r="M307" t="s">
        <v>170</v>
      </c>
      <c r="N307" t="s">
        <v>822</v>
      </c>
      <c r="O307" t="s">
        <v>44</v>
      </c>
      <c r="P307" t="s">
        <v>45</v>
      </c>
      <c r="Q307" t="s">
        <v>46</v>
      </c>
      <c r="R307">
        <v>100781.13</v>
      </c>
      <c r="S307">
        <v>3</v>
      </c>
      <c r="T307">
        <v>0.05</v>
      </c>
      <c r="U307">
        <v>5900.23</v>
      </c>
    </row>
    <row r="308" spans="1:21">
      <c r="A308">
        <v>1479</v>
      </c>
      <c r="B308" t="s">
        <v>823</v>
      </c>
      <c r="C308" s="1">
        <v>45584</v>
      </c>
      <c r="D308" s="1">
        <v>45588</v>
      </c>
      <c r="E308" t="s">
        <v>69</v>
      </c>
      <c r="F308" t="s">
        <v>214</v>
      </c>
      <c r="G308" t="s">
        <v>50</v>
      </c>
      <c r="H308" t="s">
        <v>310</v>
      </c>
      <c r="I308" t="s">
        <v>26</v>
      </c>
      <c r="J308" t="s">
        <v>79</v>
      </c>
      <c r="K308" t="s">
        <v>80</v>
      </c>
      <c r="L308" t="s">
        <v>63</v>
      </c>
      <c r="M308" t="s">
        <v>127</v>
      </c>
      <c r="N308" t="s">
        <v>824</v>
      </c>
      <c r="O308" t="s">
        <v>44</v>
      </c>
      <c r="P308" t="s">
        <v>211</v>
      </c>
      <c r="Q308" t="s">
        <v>223</v>
      </c>
      <c r="R308">
        <v>9027.24</v>
      </c>
      <c r="S308">
        <v>5</v>
      </c>
      <c r="T308">
        <v>0</v>
      </c>
      <c r="U308">
        <v>768.07</v>
      </c>
    </row>
    <row r="309" spans="1:21">
      <c r="A309">
        <v>1094</v>
      </c>
      <c r="B309" t="s">
        <v>825</v>
      </c>
      <c r="C309" s="1">
        <v>45602</v>
      </c>
      <c r="D309" s="1">
        <v>45608</v>
      </c>
      <c r="E309" t="s">
        <v>101</v>
      </c>
      <c r="G309" t="s">
        <v>71</v>
      </c>
      <c r="H309" t="s">
        <v>51</v>
      </c>
      <c r="I309" t="s">
        <v>26</v>
      </c>
      <c r="J309" t="s">
        <v>109</v>
      </c>
      <c r="K309" t="s">
        <v>110</v>
      </c>
      <c r="L309" t="s">
        <v>117</v>
      </c>
      <c r="M309" t="s">
        <v>127</v>
      </c>
      <c r="N309" t="s">
        <v>826</v>
      </c>
      <c r="O309" t="s">
        <v>55</v>
      </c>
      <c r="P309" t="s">
        <v>66</v>
      </c>
      <c r="Q309" t="s">
        <v>67</v>
      </c>
      <c r="R309">
        <v>44657.11</v>
      </c>
      <c r="S309">
        <v>5</v>
      </c>
      <c r="T309">
        <v>0</v>
      </c>
      <c r="U309">
        <v>7342.35</v>
      </c>
    </row>
    <row r="310" spans="1:21">
      <c r="A310">
        <v>1356</v>
      </c>
      <c r="B310" t="s">
        <v>827</v>
      </c>
      <c r="C310" s="1">
        <v>45585</v>
      </c>
      <c r="D310" s="1">
        <v>45591</v>
      </c>
      <c r="E310" t="s">
        <v>101</v>
      </c>
      <c r="F310" t="s">
        <v>309</v>
      </c>
      <c r="G310" t="s">
        <v>50</v>
      </c>
      <c r="H310" t="s">
        <v>51</v>
      </c>
      <c r="I310" t="s">
        <v>26</v>
      </c>
      <c r="J310" t="s">
        <v>226</v>
      </c>
      <c r="K310" t="s">
        <v>110</v>
      </c>
      <c r="L310" t="s">
        <v>41</v>
      </c>
      <c r="M310" t="s">
        <v>81</v>
      </c>
      <c r="N310" t="s">
        <v>828</v>
      </c>
      <c r="O310" t="s">
        <v>293</v>
      </c>
      <c r="P310" t="s">
        <v>211</v>
      </c>
      <c r="Q310" t="s">
        <v>223</v>
      </c>
      <c r="R310">
        <v>7499.78</v>
      </c>
      <c r="S310">
        <v>4</v>
      </c>
      <c r="T310">
        <v>0</v>
      </c>
      <c r="U310">
        <v>864.43</v>
      </c>
    </row>
    <row r="311" spans="1:21">
      <c r="A311">
        <v>1320</v>
      </c>
      <c r="B311" t="s">
        <v>829</v>
      </c>
      <c r="C311" s="1">
        <v>45487</v>
      </c>
      <c r="D311" s="1">
        <v>45490</v>
      </c>
      <c r="E311" t="s">
        <v>69</v>
      </c>
      <c r="F311" t="s">
        <v>260</v>
      </c>
      <c r="G311" t="s">
        <v>229</v>
      </c>
      <c r="H311" t="s">
        <v>25</v>
      </c>
      <c r="I311" t="s">
        <v>26</v>
      </c>
      <c r="J311" t="s">
        <v>115</v>
      </c>
      <c r="K311" t="s">
        <v>116</v>
      </c>
      <c r="L311" t="s">
        <v>63</v>
      </c>
      <c r="M311" t="s">
        <v>118</v>
      </c>
      <c r="N311" t="s">
        <v>515</v>
      </c>
      <c r="O311" t="s">
        <v>44</v>
      </c>
      <c r="P311" t="s">
        <v>45</v>
      </c>
      <c r="Q311" t="s">
        <v>46</v>
      </c>
      <c r="R311">
        <v>55473.35</v>
      </c>
      <c r="S311">
        <v>2</v>
      </c>
      <c r="T311">
        <v>0.2</v>
      </c>
      <c r="U311">
        <v>-1041.3900000000001</v>
      </c>
    </row>
    <row r="312" spans="1:21">
      <c r="A312">
        <v>1452</v>
      </c>
      <c r="B312" t="s">
        <v>830</v>
      </c>
      <c r="C312" s="1">
        <v>45445</v>
      </c>
      <c r="D312" s="1">
        <v>45446</v>
      </c>
      <c r="E312" t="s">
        <v>101</v>
      </c>
      <c r="F312" t="s">
        <v>398</v>
      </c>
      <c r="G312" t="s">
        <v>78</v>
      </c>
      <c r="H312" t="s">
        <v>51</v>
      </c>
      <c r="I312" t="s">
        <v>26</v>
      </c>
      <c r="J312" t="s">
        <v>39</v>
      </c>
      <c r="K312" t="s">
        <v>40</v>
      </c>
      <c r="L312" t="s">
        <v>92</v>
      </c>
      <c r="M312" t="s">
        <v>127</v>
      </c>
      <c r="N312" t="s">
        <v>831</v>
      </c>
      <c r="O312" t="s">
        <v>138</v>
      </c>
      <c r="P312" t="s">
        <v>121</v>
      </c>
      <c r="Q312" t="s">
        <v>122</v>
      </c>
      <c r="R312">
        <v>2590.85</v>
      </c>
      <c r="S312">
        <v>6</v>
      </c>
      <c r="T312">
        <v>0.3</v>
      </c>
      <c r="U312">
        <v>13.49</v>
      </c>
    </row>
    <row r="313" spans="1:21">
      <c r="A313">
        <v>1285</v>
      </c>
      <c r="B313" t="s">
        <v>832</v>
      </c>
      <c r="C313" s="1">
        <v>45383</v>
      </c>
      <c r="D313" s="1">
        <v>45385</v>
      </c>
      <c r="E313" t="s">
        <v>22</v>
      </c>
      <c r="F313" t="s">
        <v>232</v>
      </c>
      <c r="G313" t="s">
        <v>50</v>
      </c>
      <c r="H313" t="s">
        <v>51</v>
      </c>
      <c r="I313" t="s">
        <v>26</v>
      </c>
      <c r="J313" t="s">
        <v>131</v>
      </c>
      <c r="K313" t="s">
        <v>132</v>
      </c>
      <c r="L313" t="s">
        <v>186</v>
      </c>
      <c r="M313" t="s">
        <v>127</v>
      </c>
      <c r="N313" t="s">
        <v>313</v>
      </c>
      <c r="O313" t="s">
        <v>138</v>
      </c>
      <c r="P313" t="s">
        <v>139</v>
      </c>
      <c r="Q313" t="s">
        <v>140</v>
      </c>
      <c r="R313">
        <v>3034.3</v>
      </c>
      <c r="S313">
        <v>3</v>
      </c>
      <c r="T313">
        <v>0</v>
      </c>
      <c r="U313">
        <v>560.82000000000005</v>
      </c>
    </row>
    <row r="314" spans="1:21">
      <c r="A314">
        <v>1185</v>
      </c>
      <c r="B314" t="s">
        <v>833</v>
      </c>
      <c r="C314" s="1">
        <v>45439</v>
      </c>
      <c r="D314" s="1">
        <v>45440</v>
      </c>
      <c r="E314" t="s">
        <v>101</v>
      </c>
      <c r="F314" t="s">
        <v>177</v>
      </c>
      <c r="G314" t="s">
        <v>37</v>
      </c>
      <c r="H314" t="s">
        <v>108</v>
      </c>
      <c r="I314" t="s">
        <v>26</v>
      </c>
      <c r="J314" t="s">
        <v>226</v>
      </c>
      <c r="K314" t="s">
        <v>110</v>
      </c>
      <c r="L314" t="s">
        <v>63</v>
      </c>
      <c r="M314" t="s">
        <v>127</v>
      </c>
      <c r="N314" t="s">
        <v>305</v>
      </c>
      <c r="O314" t="s">
        <v>138</v>
      </c>
      <c r="P314" t="s">
        <v>121</v>
      </c>
      <c r="Q314" t="s">
        <v>122</v>
      </c>
      <c r="R314">
        <v>2628.04</v>
      </c>
      <c r="S314">
        <v>5</v>
      </c>
      <c r="T314">
        <v>0.15</v>
      </c>
      <c r="U314">
        <v>211.37</v>
      </c>
    </row>
    <row r="315" spans="1:21">
      <c r="A315">
        <v>1619</v>
      </c>
      <c r="B315" t="s">
        <v>834</v>
      </c>
      <c r="C315" s="1">
        <v>45406</v>
      </c>
      <c r="D315" s="1">
        <v>45407</v>
      </c>
      <c r="E315" t="s">
        <v>22</v>
      </c>
      <c r="F315" t="s">
        <v>309</v>
      </c>
      <c r="G315" t="s">
        <v>78</v>
      </c>
      <c r="H315" t="s">
        <v>25</v>
      </c>
      <c r="I315" t="s">
        <v>26</v>
      </c>
      <c r="J315" t="s">
        <v>61</v>
      </c>
      <c r="K315" t="s">
        <v>62</v>
      </c>
      <c r="L315" t="s">
        <v>63</v>
      </c>
      <c r="M315" t="s">
        <v>81</v>
      </c>
      <c r="N315" t="s">
        <v>835</v>
      </c>
      <c r="O315" t="s">
        <v>55</v>
      </c>
      <c r="P315" t="s">
        <v>66</v>
      </c>
      <c r="Q315" t="s">
        <v>67</v>
      </c>
      <c r="R315">
        <v>12593.74</v>
      </c>
      <c r="S315">
        <v>2</v>
      </c>
      <c r="T315">
        <v>0.3</v>
      </c>
      <c r="U315">
        <v>-434.88</v>
      </c>
    </row>
    <row r="316" spans="1:21">
      <c r="A316">
        <v>1352</v>
      </c>
      <c r="B316" t="s">
        <v>836</v>
      </c>
      <c r="C316" s="1">
        <v>45505</v>
      </c>
      <c r="D316" s="1">
        <v>45509</v>
      </c>
      <c r="E316" t="s">
        <v>101</v>
      </c>
      <c r="F316" t="s">
        <v>442</v>
      </c>
      <c r="G316" t="s">
        <v>136</v>
      </c>
      <c r="H316" t="s">
        <v>25</v>
      </c>
      <c r="I316" t="s">
        <v>26</v>
      </c>
      <c r="J316" t="s">
        <v>90</v>
      </c>
      <c r="K316" t="s">
        <v>91</v>
      </c>
      <c r="L316" t="s">
        <v>63</v>
      </c>
      <c r="M316" t="s">
        <v>118</v>
      </c>
      <c r="N316" t="s">
        <v>624</v>
      </c>
      <c r="O316" t="s">
        <v>94</v>
      </c>
      <c r="P316" t="s">
        <v>45</v>
      </c>
      <c r="Q316" t="s">
        <v>46</v>
      </c>
      <c r="R316">
        <v>35058.839999999997</v>
      </c>
      <c r="S316">
        <v>1</v>
      </c>
      <c r="T316">
        <v>0</v>
      </c>
      <c r="U316">
        <v>3151.54</v>
      </c>
    </row>
    <row r="317" spans="1:21">
      <c r="A317">
        <v>1154</v>
      </c>
      <c r="B317" t="s">
        <v>837</v>
      </c>
      <c r="C317" s="1">
        <v>45546</v>
      </c>
      <c r="D317" s="1">
        <v>45552</v>
      </c>
      <c r="E317" t="s">
        <v>101</v>
      </c>
      <c r="F317" t="s">
        <v>446</v>
      </c>
      <c r="G317" t="s">
        <v>71</v>
      </c>
      <c r="H317" t="s">
        <v>108</v>
      </c>
      <c r="I317" t="s">
        <v>26</v>
      </c>
      <c r="J317" t="s">
        <v>160</v>
      </c>
      <c r="K317" t="s">
        <v>161</v>
      </c>
      <c r="L317" t="s">
        <v>63</v>
      </c>
      <c r="M317" t="s">
        <v>127</v>
      </c>
      <c r="N317" t="s">
        <v>838</v>
      </c>
      <c r="O317" t="s">
        <v>138</v>
      </c>
      <c r="P317" t="s">
        <v>182</v>
      </c>
      <c r="Q317" t="s">
        <v>183</v>
      </c>
      <c r="R317">
        <v>857.23</v>
      </c>
      <c r="S317">
        <v>2</v>
      </c>
      <c r="T317">
        <v>0.05</v>
      </c>
      <c r="U317">
        <v>130.88</v>
      </c>
    </row>
    <row r="318" spans="1:21">
      <c r="A318">
        <v>1076</v>
      </c>
      <c r="B318" t="s">
        <v>839</v>
      </c>
      <c r="C318" s="1">
        <v>45532</v>
      </c>
      <c r="D318" s="1">
        <v>45535</v>
      </c>
      <c r="E318" t="s">
        <v>101</v>
      </c>
      <c r="F318" t="s">
        <v>744</v>
      </c>
      <c r="G318" t="s">
        <v>174</v>
      </c>
      <c r="H318" t="s">
        <v>25</v>
      </c>
      <c r="I318" t="s">
        <v>26</v>
      </c>
      <c r="J318" t="s">
        <v>79</v>
      </c>
      <c r="K318" t="s">
        <v>80</v>
      </c>
      <c r="L318" t="s">
        <v>263</v>
      </c>
      <c r="M318" t="s">
        <v>127</v>
      </c>
      <c r="N318" t="s">
        <v>840</v>
      </c>
      <c r="O318" t="s">
        <v>55</v>
      </c>
      <c r="P318" t="s">
        <v>98</v>
      </c>
      <c r="Q318" t="s">
        <v>99</v>
      </c>
      <c r="R318">
        <v>20454.189999999999</v>
      </c>
      <c r="S318">
        <v>3</v>
      </c>
      <c r="T318">
        <v>0</v>
      </c>
      <c r="U318">
        <v>2846.51</v>
      </c>
    </row>
    <row r="319" spans="1:21">
      <c r="A319">
        <v>1494</v>
      </c>
      <c r="B319" t="s">
        <v>841</v>
      </c>
      <c r="C319" s="1">
        <v>45473</v>
      </c>
      <c r="D319" s="1">
        <v>45479</v>
      </c>
      <c r="E319" t="s">
        <v>48</v>
      </c>
      <c r="F319" t="s">
        <v>395</v>
      </c>
      <c r="G319" t="s">
        <v>136</v>
      </c>
      <c r="H319" t="s">
        <v>51</v>
      </c>
      <c r="I319" t="s">
        <v>26</v>
      </c>
      <c r="J319" t="s">
        <v>109</v>
      </c>
      <c r="K319" t="s">
        <v>110</v>
      </c>
      <c r="L319" t="s">
        <v>63</v>
      </c>
      <c r="M319" t="s">
        <v>127</v>
      </c>
      <c r="N319" t="s">
        <v>842</v>
      </c>
      <c r="O319" t="s">
        <v>83</v>
      </c>
      <c r="P319" t="s">
        <v>33</v>
      </c>
      <c r="Q319" t="s">
        <v>34</v>
      </c>
      <c r="R319">
        <v>2307.52</v>
      </c>
      <c r="S319">
        <v>2</v>
      </c>
      <c r="T319">
        <v>0.2</v>
      </c>
      <c r="U319">
        <v>267.88</v>
      </c>
    </row>
    <row r="320" spans="1:21">
      <c r="A320">
        <v>1278</v>
      </c>
      <c r="B320" t="s">
        <v>843</v>
      </c>
      <c r="C320" s="1">
        <v>45450</v>
      </c>
      <c r="D320" s="1">
        <v>45456</v>
      </c>
      <c r="E320" t="s">
        <v>101</v>
      </c>
      <c r="F320" t="s">
        <v>214</v>
      </c>
      <c r="G320" t="s">
        <v>88</v>
      </c>
      <c r="H320" t="s">
        <v>51</v>
      </c>
      <c r="I320" t="s">
        <v>26</v>
      </c>
      <c r="J320" t="s">
        <v>52</v>
      </c>
      <c r="K320" t="s">
        <v>52</v>
      </c>
      <c r="L320" t="s">
        <v>92</v>
      </c>
      <c r="M320" t="s">
        <v>74</v>
      </c>
      <c r="N320" t="s">
        <v>844</v>
      </c>
      <c r="O320" t="s">
        <v>55</v>
      </c>
      <c r="P320" t="s">
        <v>56</v>
      </c>
      <c r="Q320" t="s">
        <v>57</v>
      </c>
      <c r="R320">
        <v>22901.71</v>
      </c>
      <c r="S320">
        <v>3</v>
      </c>
      <c r="T320">
        <v>0</v>
      </c>
      <c r="U320">
        <v>3487.44</v>
      </c>
    </row>
    <row r="321" spans="1:21">
      <c r="A321">
        <v>1069</v>
      </c>
      <c r="B321" t="s">
        <v>845</v>
      </c>
      <c r="C321" s="1">
        <v>45518</v>
      </c>
      <c r="D321" s="1">
        <v>45521</v>
      </c>
      <c r="E321" t="s">
        <v>101</v>
      </c>
      <c r="F321" t="s">
        <v>124</v>
      </c>
      <c r="G321" t="s">
        <v>114</v>
      </c>
      <c r="H321" t="s">
        <v>153</v>
      </c>
      <c r="I321" t="s">
        <v>26</v>
      </c>
      <c r="J321" t="s">
        <v>27</v>
      </c>
      <c r="K321" t="s">
        <v>28</v>
      </c>
      <c r="L321" t="s">
        <v>263</v>
      </c>
      <c r="M321" t="s">
        <v>170</v>
      </c>
      <c r="N321" t="s">
        <v>846</v>
      </c>
      <c r="O321" t="s">
        <v>138</v>
      </c>
      <c r="P321" t="s">
        <v>139</v>
      </c>
      <c r="Q321" t="s">
        <v>140</v>
      </c>
      <c r="R321">
        <v>2001</v>
      </c>
      <c r="S321">
        <v>3</v>
      </c>
      <c r="T321">
        <v>0.3</v>
      </c>
      <c r="U321">
        <v>11.02</v>
      </c>
    </row>
    <row r="322" spans="1:21">
      <c r="A322">
        <v>1596</v>
      </c>
      <c r="B322" t="s">
        <v>847</v>
      </c>
      <c r="C322" s="1">
        <v>45537</v>
      </c>
      <c r="D322" s="1">
        <v>45543</v>
      </c>
      <c r="E322" t="s">
        <v>48</v>
      </c>
      <c r="F322" t="s">
        <v>195</v>
      </c>
      <c r="G322" t="s">
        <v>24</v>
      </c>
      <c r="H322" t="s">
        <v>51</v>
      </c>
      <c r="I322" t="s">
        <v>26</v>
      </c>
      <c r="J322" t="s">
        <v>226</v>
      </c>
      <c r="K322" t="s">
        <v>110</v>
      </c>
      <c r="L322" t="s">
        <v>29</v>
      </c>
      <c r="M322" t="s">
        <v>127</v>
      </c>
      <c r="N322" t="s">
        <v>848</v>
      </c>
      <c r="O322" t="s">
        <v>55</v>
      </c>
      <c r="P322" t="s">
        <v>66</v>
      </c>
      <c r="Q322" t="s">
        <v>67</v>
      </c>
      <c r="R322">
        <v>63292.77</v>
      </c>
      <c r="S322">
        <v>8</v>
      </c>
      <c r="T322">
        <v>0</v>
      </c>
      <c r="U322">
        <v>10542.91</v>
      </c>
    </row>
    <row r="323" spans="1:21">
      <c r="A323">
        <v>1189</v>
      </c>
      <c r="B323" t="s">
        <v>849</v>
      </c>
      <c r="C323" s="1">
        <v>45456</v>
      </c>
      <c r="D323" s="1">
        <v>45459</v>
      </c>
      <c r="E323" t="s">
        <v>22</v>
      </c>
      <c r="F323" t="s">
        <v>333</v>
      </c>
      <c r="G323" t="s">
        <v>147</v>
      </c>
      <c r="H323" t="s">
        <v>25</v>
      </c>
      <c r="I323" t="s">
        <v>26</v>
      </c>
      <c r="J323" t="s">
        <v>39</v>
      </c>
      <c r="K323" t="s">
        <v>40</v>
      </c>
      <c r="L323" t="s">
        <v>263</v>
      </c>
      <c r="M323" t="s">
        <v>81</v>
      </c>
      <c r="N323" t="s">
        <v>702</v>
      </c>
      <c r="O323" t="s">
        <v>138</v>
      </c>
      <c r="P323" t="s">
        <v>182</v>
      </c>
      <c r="Q323" t="s">
        <v>183</v>
      </c>
      <c r="R323">
        <v>1614.43</v>
      </c>
      <c r="S323">
        <v>4</v>
      </c>
      <c r="T323">
        <v>0.15</v>
      </c>
      <c r="U323">
        <v>126.03</v>
      </c>
    </row>
    <row r="324" spans="1:21">
      <c r="A324">
        <v>1272</v>
      </c>
      <c r="B324" t="s">
        <v>850</v>
      </c>
      <c r="C324" s="1">
        <v>45453</v>
      </c>
      <c r="D324" s="1">
        <v>45455</v>
      </c>
      <c r="E324" t="s">
        <v>69</v>
      </c>
      <c r="F324" t="s">
        <v>660</v>
      </c>
      <c r="G324" t="s">
        <v>125</v>
      </c>
      <c r="H324" t="s">
        <v>89</v>
      </c>
      <c r="I324" t="s">
        <v>26</v>
      </c>
      <c r="J324" t="s">
        <v>27</v>
      </c>
      <c r="K324" t="s">
        <v>28</v>
      </c>
      <c r="L324" t="s">
        <v>41</v>
      </c>
      <c r="M324" t="s">
        <v>30</v>
      </c>
      <c r="N324" t="s">
        <v>851</v>
      </c>
      <c r="O324" t="s">
        <v>44</v>
      </c>
      <c r="P324" t="s">
        <v>45</v>
      </c>
      <c r="Q324" t="s">
        <v>46</v>
      </c>
      <c r="R324">
        <v>51655.47</v>
      </c>
      <c r="S324">
        <v>2</v>
      </c>
      <c r="U324">
        <v>-2944.73</v>
      </c>
    </row>
    <row r="325" spans="1:21">
      <c r="A325">
        <v>1237</v>
      </c>
      <c r="B325" t="s">
        <v>852</v>
      </c>
      <c r="C325" s="1">
        <v>45445</v>
      </c>
      <c r="D325" s="1">
        <v>45448</v>
      </c>
      <c r="E325" t="s">
        <v>69</v>
      </c>
      <c r="F325" t="s">
        <v>434</v>
      </c>
      <c r="G325" t="s">
        <v>174</v>
      </c>
      <c r="H325" t="s">
        <v>25</v>
      </c>
      <c r="I325" t="s">
        <v>26</v>
      </c>
      <c r="J325" t="s">
        <v>109</v>
      </c>
      <c r="K325" t="s">
        <v>110</v>
      </c>
      <c r="L325" t="s">
        <v>92</v>
      </c>
      <c r="M325" t="s">
        <v>118</v>
      </c>
      <c r="N325" t="s">
        <v>853</v>
      </c>
      <c r="O325" t="s">
        <v>188</v>
      </c>
      <c r="P325" t="s">
        <v>189</v>
      </c>
      <c r="Q325" t="s">
        <v>386</v>
      </c>
      <c r="R325">
        <v>7748.93</v>
      </c>
      <c r="S325">
        <v>4</v>
      </c>
      <c r="T325">
        <v>0.05</v>
      </c>
      <c r="U325">
        <v>903.28</v>
      </c>
    </row>
    <row r="326" spans="1:21">
      <c r="A326">
        <v>1089</v>
      </c>
      <c r="B326" t="s">
        <v>854</v>
      </c>
      <c r="C326" s="1">
        <v>45519</v>
      </c>
      <c r="D326" s="1">
        <v>45521</v>
      </c>
      <c r="E326" t="s">
        <v>48</v>
      </c>
      <c r="F326" t="s">
        <v>315</v>
      </c>
      <c r="G326" t="s">
        <v>229</v>
      </c>
      <c r="H326" t="s">
        <v>108</v>
      </c>
      <c r="I326" t="s">
        <v>26</v>
      </c>
      <c r="J326" t="s">
        <v>131</v>
      </c>
      <c r="K326" t="s">
        <v>132</v>
      </c>
      <c r="L326" t="s">
        <v>41</v>
      </c>
      <c r="M326" t="s">
        <v>42</v>
      </c>
      <c r="N326" t="s">
        <v>855</v>
      </c>
      <c r="O326" t="s">
        <v>55</v>
      </c>
      <c r="P326" t="s">
        <v>98</v>
      </c>
      <c r="Q326" t="s">
        <v>99</v>
      </c>
      <c r="R326">
        <v>26382.080000000002</v>
      </c>
      <c r="S326">
        <v>4</v>
      </c>
      <c r="T326">
        <v>0</v>
      </c>
      <c r="U326">
        <v>3982.08</v>
      </c>
    </row>
    <row r="327" spans="1:21">
      <c r="A327">
        <v>1645</v>
      </c>
      <c r="B327" t="s">
        <v>856</v>
      </c>
      <c r="C327" s="1">
        <v>45583</v>
      </c>
      <c r="D327" s="1">
        <v>45589</v>
      </c>
      <c r="E327" t="s">
        <v>101</v>
      </c>
      <c r="F327" t="s">
        <v>221</v>
      </c>
      <c r="G327" t="s">
        <v>136</v>
      </c>
      <c r="H327" t="s">
        <v>25</v>
      </c>
      <c r="I327" t="s">
        <v>26</v>
      </c>
      <c r="J327" t="s">
        <v>166</v>
      </c>
      <c r="K327" t="s">
        <v>132</v>
      </c>
      <c r="L327" t="s">
        <v>29</v>
      </c>
      <c r="M327" t="s">
        <v>118</v>
      </c>
      <c r="N327" t="s">
        <v>538</v>
      </c>
      <c r="O327" t="s">
        <v>65</v>
      </c>
      <c r="P327" t="s">
        <v>66</v>
      </c>
      <c r="Q327" t="s">
        <v>67</v>
      </c>
      <c r="R327">
        <v>23595.47</v>
      </c>
      <c r="S327">
        <v>3</v>
      </c>
      <c r="T327">
        <v>0</v>
      </c>
      <c r="U327">
        <v>2979.78</v>
      </c>
    </row>
    <row r="328" spans="1:21">
      <c r="A328">
        <v>1118</v>
      </c>
      <c r="B328" t="s">
        <v>857</v>
      </c>
      <c r="C328" s="1">
        <v>45338</v>
      </c>
      <c r="D328" s="1">
        <v>45344</v>
      </c>
      <c r="E328" t="s">
        <v>69</v>
      </c>
      <c r="F328" t="s">
        <v>678</v>
      </c>
      <c r="G328" t="s">
        <v>37</v>
      </c>
      <c r="H328" t="s">
        <v>51</v>
      </c>
      <c r="I328" t="s">
        <v>26</v>
      </c>
      <c r="J328" t="s">
        <v>109</v>
      </c>
      <c r="K328" t="s">
        <v>110</v>
      </c>
      <c r="L328" t="s">
        <v>334</v>
      </c>
      <c r="M328" t="s">
        <v>42</v>
      </c>
      <c r="N328" t="s">
        <v>602</v>
      </c>
      <c r="O328" t="s">
        <v>44</v>
      </c>
      <c r="P328" t="s">
        <v>45</v>
      </c>
      <c r="Q328" t="s">
        <v>46</v>
      </c>
      <c r="R328">
        <v>102733.8</v>
      </c>
      <c r="S328">
        <v>3</v>
      </c>
      <c r="T328">
        <v>0</v>
      </c>
      <c r="U328">
        <v>12557.65</v>
      </c>
    </row>
    <row r="329" spans="1:21">
      <c r="A329">
        <v>1126</v>
      </c>
      <c r="B329" t="s">
        <v>858</v>
      </c>
      <c r="C329" s="1">
        <v>45331</v>
      </c>
      <c r="D329" s="1">
        <v>45336</v>
      </c>
      <c r="E329" t="s">
        <v>22</v>
      </c>
      <c r="F329" t="s">
        <v>288</v>
      </c>
      <c r="G329" t="s">
        <v>136</v>
      </c>
      <c r="H329" t="s">
        <v>51</v>
      </c>
      <c r="I329" t="s">
        <v>26</v>
      </c>
      <c r="J329" t="s">
        <v>115</v>
      </c>
      <c r="K329" t="s">
        <v>116</v>
      </c>
      <c r="L329" t="s">
        <v>92</v>
      </c>
      <c r="M329" t="s">
        <v>127</v>
      </c>
      <c r="N329" t="s">
        <v>859</v>
      </c>
      <c r="O329" t="s">
        <v>83</v>
      </c>
      <c r="P329" t="s">
        <v>33</v>
      </c>
      <c r="Q329" t="s">
        <v>34</v>
      </c>
      <c r="R329">
        <v>2572.52</v>
      </c>
      <c r="S329">
        <v>2</v>
      </c>
      <c r="T329">
        <v>0.05</v>
      </c>
      <c r="U329">
        <v>527.38</v>
      </c>
    </row>
    <row r="330" spans="1:21">
      <c r="A330">
        <v>1625</v>
      </c>
      <c r="B330" t="s">
        <v>860</v>
      </c>
      <c r="C330" s="1">
        <v>45365</v>
      </c>
      <c r="D330" s="1">
        <v>45366</v>
      </c>
      <c r="E330" t="s">
        <v>69</v>
      </c>
      <c r="F330" t="s">
        <v>277</v>
      </c>
      <c r="G330" t="s">
        <v>78</v>
      </c>
      <c r="H330" t="s">
        <v>153</v>
      </c>
      <c r="I330" t="s">
        <v>26</v>
      </c>
      <c r="J330" t="s">
        <v>160</v>
      </c>
      <c r="K330" t="s">
        <v>161</v>
      </c>
      <c r="L330" t="s">
        <v>63</v>
      </c>
      <c r="M330" t="s">
        <v>127</v>
      </c>
      <c r="N330" t="s">
        <v>82</v>
      </c>
      <c r="O330" t="s">
        <v>32</v>
      </c>
      <c r="P330" t="s">
        <v>33</v>
      </c>
      <c r="Q330" t="s">
        <v>34</v>
      </c>
      <c r="R330">
        <v>3586.25</v>
      </c>
      <c r="S330">
        <v>3</v>
      </c>
      <c r="T330">
        <v>0.2</v>
      </c>
      <c r="U330">
        <v>455.45</v>
      </c>
    </row>
    <row r="331" spans="1:21">
      <c r="A331">
        <v>1290</v>
      </c>
      <c r="B331" t="s">
        <v>861</v>
      </c>
      <c r="C331" s="1">
        <v>45589</v>
      </c>
      <c r="D331" s="1">
        <v>45590</v>
      </c>
      <c r="E331" t="s">
        <v>69</v>
      </c>
      <c r="F331" t="s">
        <v>255</v>
      </c>
      <c r="G331" t="s">
        <v>88</v>
      </c>
      <c r="H331" t="s">
        <v>108</v>
      </c>
      <c r="I331" t="s">
        <v>26</v>
      </c>
      <c r="J331" t="s">
        <v>109</v>
      </c>
      <c r="K331" t="s">
        <v>110</v>
      </c>
      <c r="L331" t="s">
        <v>334</v>
      </c>
      <c r="M331" t="s">
        <v>74</v>
      </c>
      <c r="N331" t="s">
        <v>862</v>
      </c>
      <c r="O331" t="s">
        <v>83</v>
      </c>
      <c r="P331" t="s">
        <v>33</v>
      </c>
      <c r="Q331" t="s">
        <v>34</v>
      </c>
      <c r="R331">
        <v>2796.47</v>
      </c>
      <c r="S331">
        <v>2</v>
      </c>
      <c r="T331">
        <v>0</v>
      </c>
      <c r="U331">
        <v>614.61</v>
      </c>
    </row>
    <row r="332" spans="1:21">
      <c r="A332">
        <v>1239</v>
      </c>
      <c r="B332" t="s">
        <v>863</v>
      </c>
      <c r="C332" s="1">
        <v>45528</v>
      </c>
      <c r="D332" s="1">
        <v>45534</v>
      </c>
      <c r="E332" t="s">
        <v>69</v>
      </c>
      <c r="F332" t="s">
        <v>560</v>
      </c>
      <c r="G332" t="s">
        <v>147</v>
      </c>
      <c r="H332" t="s">
        <v>89</v>
      </c>
      <c r="I332" t="s">
        <v>26</v>
      </c>
      <c r="J332" t="s">
        <v>79</v>
      </c>
      <c r="K332" t="s">
        <v>80</v>
      </c>
      <c r="L332" t="s">
        <v>63</v>
      </c>
      <c r="M332" t="s">
        <v>127</v>
      </c>
      <c r="N332" t="s">
        <v>710</v>
      </c>
      <c r="O332" t="s">
        <v>44</v>
      </c>
      <c r="P332" t="s">
        <v>211</v>
      </c>
      <c r="Q332" t="s">
        <v>223</v>
      </c>
      <c r="R332">
        <v>5031.76</v>
      </c>
      <c r="S332">
        <v>3</v>
      </c>
      <c r="T332">
        <v>0</v>
      </c>
      <c r="U332">
        <v>568.4</v>
      </c>
    </row>
    <row r="333" spans="1:21">
      <c r="A333">
        <v>1001</v>
      </c>
      <c r="B333" t="s">
        <v>864</v>
      </c>
      <c r="C333" s="1">
        <v>45363</v>
      </c>
      <c r="D333" s="1">
        <v>45369</v>
      </c>
      <c r="E333" t="s">
        <v>22</v>
      </c>
      <c r="F333" t="s">
        <v>375</v>
      </c>
      <c r="G333" t="s">
        <v>24</v>
      </c>
      <c r="H333" t="s">
        <v>51</v>
      </c>
      <c r="I333" t="s">
        <v>26</v>
      </c>
      <c r="J333" t="s">
        <v>90</v>
      </c>
      <c r="K333" t="s">
        <v>91</v>
      </c>
      <c r="L333" t="s">
        <v>41</v>
      </c>
      <c r="M333" t="s">
        <v>170</v>
      </c>
      <c r="N333" t="s">
        <v>376</v>
      </c>
      <c r="O333" t="s">
        <v>44</v>
      </c>
      <c r="P333" t="s">
        <v>45</v>
      </c>
      <c r="Q333" t="s">
        <v>46</v>
      </c>
      <c r="R333">
        <v>63499.23</v>
      </c>
      <c r="S333">
        <v>2</v>
      </c>
      <c r="T333">
        <v>0.1</v>
      </c>
      <c r="U333">
        <v>3501.42</v>
      </c>
    </row>
    <row r="334" spans="1:21">
      <c r="A334">
        <v>1750</v>
      </c>
      <c r="B334" t="s">
        <v>865</v>
      </c>
      <c r="C334" s="1">
        <v>45295</v>
      </c>
      <c r="D334" s="1">
        <v>45297</v>
      </c>
      <c r="E334" t="s">
        <v>101</v>
      </c>
      <c r="F334" t="s">
        <v>102</v>
      </c>
      <c r="G334" t="s">
        <v>88</v>
      </c>
      <c r="H334" t="s">
        <v>51</v>
      </c>
      <c r="I334" t="s">
        <v>26</v>
      </c>
      <c r="J334" t="s">
        <v>226</v>
      </c>
      <c r="K334" t="s">
        <v>110</v>
      </c>
      <c r="M334" t="s">
        <v>170</v>
      </c>
      <c r="N334" t="s">
        <v>349</v>
      </c>
      <c r="O334" t="s">
        <v>293</v>
      </c>
      <c r="P334" t="s">
        <v>207</v>
      </c>
      <c r="Q334" t="s">
        <v>208</v>
      </c>
      <c r="R334">
        <v>275399.02</v>
      </c>
      <c r="S334">
        <v>6</v>
      </c>
      <c r="T334">
        <v>0.1</v>
      </c>
      <c r="U334">
        <v>14644.34</v>
      </c>
    </row>
    <row r="335" spans="1:21">
      <c r="A335">
        <v>1341</v>
      </c>
      <c r="B335" t="s">
        <v>866</v>
      </c>
      <c r="C335" s="1">
        <v>45442</v>
      </c>
      <c r="D335" s="1">
        <v>45443</v>
      </c>
      <c r="E335" t="s">
        <v>101</v>
      </c>
      <c r="F335" t="s">
        <v>736</v>
      </c>
      <c r="G335" t="s">
        <v>24</v>
      </c>
      <c r="H335" t="s">
        <v>89</v>
      </c>
      <c r="I335" t="s">
        <v>26</v>
      </c>
      <c r="J335" t="s">
        <v>52</v>
      </c>
      <c r="K335" t="s">
        <v>52</v>
      </c>
      <c r="L335" t="s">
        <v>63</v>
      </c>
      <c r="M335" t="s">
        <v>81</v>
      </c>
      <c r="N335" t="s">
        <v>867</v>
      </c>
      <c r="O335" t="s">
        <v>55</v>
      </c>
      <c r="P335" t="s">
        <v>66</v>
      </c>
      <c r="Q335" t="s">
        <v>67</v>
      </c>
      <c r="R335">
        <v>42423.29</v>
      </c>
      <c r="S335">
        <v>5</v>
      </c>
      <c r="T335">
        <v>0.05</v>
      </c>
      <c r="U335">
        <v>4754.22</v>
      </c>
    </row>
    <row r="336" spans="1:21">
      <c r="A336">
        <v>1663</v>
      </c>
      <c r="B336" t="s">
        <v>868</v>
      </c>
      <c r="C336" s="1">
        <v>45650</v>
      </c>
      <c r="D336" s="1">
        <v>45651</v>
      </c>
      <c r="E336" t="s">
        <v>48</v>
      </c>
      <c r="F336" t="s">
        <v>130</v>
      </c>
      <c r="G336" t="s">
        <v>37</v>
      </c>
      <c r="H336" t="s">
        <v>108</v>
      </c>
      <c r="I336" t="s">
        <v>26</v>
      </c>
      <c r="J336" t="s">
        <v>109</v>
      </c>
      <c r="K336" t="s">
        <v>110</v>
      </c>
      <c r="M336" t="s">
        <v>81</v>
      </c>
      <c r="N336" t="s">
        <v>869</v>
      </c>
      <c r="O336" t="s">
        <v>55</v>
      </c>
      <c r="P336" t="s">
        <v>66</v>
      </c>
      <c r="Q336" t="s">
        <v>67</v>
      </c>
      <c r="R336">
        <v>7317.74</v>
      </c>
      <c r="S336">
        <v>1</v>
      </c>
      <c r="T336">
        <v>0.2</v>
      </c>
      <c r="U336">
        <v>201.63</v>
      </c>
    </row>
    <row r="337" spans="1:21">
      <c r="A337">
        <v>1542</v>
      </c>
      <c r="B337" t="s">
        <v>870</v>
      </c>
      <c r="C337" s="1">
        <v>45642</v>
      </c>
      <c r="D337" s="1">
        <v>45647</v>
      </c>
      <c r="E337" t="s">
        <v>101</v>
      </c>
      <c r="F337" t="s">
        <v>553</v>
      </c>
      <c r="G337" t="s">
        <v>165</v>
      </c>
      <c r="H337" t="s">
        <v>108</v>
      </c>
      <c r="I337" t="s">
        <v>26</v>
      </c>
      <c r="J337" t="s">
        <v>166</v>
      </c>
      <c r="K337" t="s">
        <v>132</v>
      </c>
      <c r="L337" t="s">
        <v>169</v>
      </c>
      <c r="M337" t="s">
        <v>74</v>
      </c>
      <c r="N337" t="s">
        <v>569</v>
      </c>
      <c r="O337" t="s">
        <v>55</v>
      </c>
      <c r="P337" t="s">
        <v>66</v>
      </c>
      <c r="Q337" t="s">
        <v>67</v>
      </c>
      <c r="R337">
        <v>8387.91</v>
      </c>
      <c r="S337">
        <v>1</v>
      </c>
      <c r="T337">
        <v>0</v>
      </c>
      <c r="U337">
        <v>1596.47</v>
      </c>
    </row>
    <row r="338" spans="1:21">
      <c r="A338">
        <v>1279</v>
      </c>
      <c r="B338" t="s">
        <v>871</v>
      </c>
      <c r="C338" s="1">
        <v>45450</v>
      </c>
      <c r="D338" s="1">
        <v>45456</v>
      </c>
      <c r="E338" t="s">
        <v>69</v>
      </c>
      <c r="F338" t="s">
        <v>442</v>
      </c>
      <c r="G338" t="s">
        <v>229</v>
      </c>
      <c r="H338" t="s">
        <v>51</v>
      </c>
      <c r="I338" t="s">
        <v>26</v>
      </c>
      <c r="J338" t="s">
        <v>131</v>
      </c>
      <c r="K338" t="s">
        <v>132</v>
      </c>
      <c r="L338" t="s">
        <v>92</v>
      </c>
      <c r="M338" t="s">
        <v>81</v>
      </c>
      <c r="N338" t="s">
        <v>872</v>
      </c>
      <c r="O338" t="s">
        <v>188</v>
      </c>
      <c r="P338" t="s">
        <v>189</v>
      </c>
      <c r="Q338" t="s">
        <v>190</v>
      </c>
      <c r="R338">
        <v>10920.73</v>
      </c>
      <c r="S338">
        <v>2</v>
      </c>
      <c r="T338">
        <v>0</v>
      </c>
      <c r="U338">
        <v>1085.2</v>
      </c>
    </row>
    <row r="339" spans="1:21">
      <c r="A339">
        <v>1594</v>
      </c>
      <c r="B339" t="s">
        <v>873</v>
      </c>
      <c r="C339" s="1">
        <v>45532</v>
      </c>
      <c r="D339" s="1">
        <v>45538</v>
      </c>
      <c r="E339" t="s">
        <v>22</v>
      </c>
      <c r="F339" t="s">
        <v>791</v>
      </c>
      <c r="G339" t="s">
        <v>136</v>
      </c>
      <c r="H339" t="s">
        <v>51</v>
      </c>
      <c r="I339" t="s">
        <v>26</v>
      </c>
      <c r="J339" t="s">
        <v>79</v>
      </c>
      <c r="K339" t="s">
        <v>80</v>
      </c>
      <c r="L339" t="s">
        <v>29</v>
      </c>
      <c r="M339" t="s">
        <v>118</v>
      </c>
      <c r="N339" t="s">
        <v>874</v>
      </c>
      <c r="O339" t="s">
        <v>328</v>
      </c>
      <c r="P339" t="s">
        <v>189</v>
      </c>
      <c r="Q339" t="s">
        <v>190</v>
      </c>
      <c r="R339">
        <v>47794.86</v>
      </c>
      <c r="S339">
        <v>8</v>
      </c>
      <c r="T339">
        <v>0</v>
      </c>
      <c r="U339">
        <v>4870.75</v>
      </c>
    </row>
    <row r="340" spans="1:21">
      <c r="A340">
        <v>1117</v>
      </c>
      <c r="B340" t="s">
        <v>875</v>
      </c>
      <c r="C340" s="1">
        <v>45465</v>
      </c>
      <c r="D340" s="1">
        <v>45468</v>
      </c>
      <c r="E340" t="s">
        <v>22</v>
      </c>
      <c r="F340" t="s">
        <v>437</v>
      </c>
      <c r="G340" t="s">
        <v>88</v>
      </c>
      <c r="H340" t="s">
        <v>38</v>
      </c>
      <c r="I340" t="s">
        <v>26</v>
      </c>
      <c r="J340" t="s">
        <v>61</v>
      </c>
      <c r="K340" t="s">
        <v>62</v>
      </c>
      <c r="L340" t="s">
        <v>103</v>
      </c>
      <c r="M340" t="s">
        <v>170</v>
      </c>
      <c r="N340" t="s">
        <v>430</v>
      </c>
      <c r="O340" t="s">
        <v>543</v>
      </c>
      <c r="P340" t="s">
        <v>33</v>
      </c>
      <c r="Q340" t="s">
        <v>34</v>
      </c>
      <c r="R340">
        <v>1204.6400000000001</v>
      </c>
      <c r="S340">
        <v>1</v>
      </c>
      <c r="T340">
        <v>0.15</v>
      </c>
      <c r="U340">
        <v>183.02</v>
      </c>
    </row>
    <row r="341" spans="1:21">
      <c r="A341">
        <v>1229</v>
      </c>
      <c r="B341" t="s">
        <v>876</v>
      </c>
      <c r="C341" s="1">
        <v>45459</v>
      </c>
      <c r="D341" s="1">
        <v>45460</v>
      </c>
      <c r="E341" t="s">
        <v>48</v>
      </c>
      <c r="F341" t="s">
        <v>274</v>
      </c>
      <c r="G341" t="s">
        <v>165</v>
      </c>
      <c r="H341" t="s">
        <v>25</v>
      </c>
      <c r="I341" t="s">
        <v>26</v>
      </c>
      <c r="J341" t="s">
        <v>131</v>
      </c>
      <c r="K341" t="s">
        <v>132</v>
      </c>
      <c r="L341" t="s">
        <v>334</v>
      </c>
      <c r="M341" t="s">
        <v>30</v>
      </c>
      <c r="N341" t="s">
        <v>877</v>
      </c>
      <c r="O341" t="s">
        <v>65</v>
      </c>
      <c r="P341" t="s">
        <v>56</v>
      </c>
      <c r="Q341" t="s">
        <v>57</v>
      </c>
      <c r="R341">
        <v>14933.43</v>
      </c>
      <c r="S341">
        <v>3</v>
      </c>
      <c r="T341">
        <v>0.25</v>
      </c>
      <c r="U341">
        <v>-36.75</v>
      </c>
    </row>
    <row r="342" spans="1:21">
      <c r="A342">
        <v>1591</v>
      </c>
      <c r="B342" t="s">
        <v>878</v>
      </c>
      <c r="C342" s="1">
        <v>45361</v>
      </c>
      <c r="D342" s="1">
        <v>45362</v>
      </c>
      <c r="E342" t="s">
        <v>101</v>
      </c>
      <c r="F342" t="s">
        <v>192</v>
      </c>
      <c r="G342" t="s">
        <v>37</v>
      </c>
      <c r="H342" t="s">
        <v>51</v>
      </c>
      <c r="I342" t="s">
        <v>26</v>
      </c>
      <c r="J342" t="s">
        <v>226</v>
      </c>
      <c r="K342" t="s">
        <v>110</v>
      </c>
      <c r="L342" t="s">
        <v>92</v>
      </c>
      <c r="M342" t="s">
        <v>127</v>
      </c>
      <c r="N342" t="s">
        <v>879</v>
      </c>
      <c r="O342" t="s">
        <v>44</v>
      </c>
      <c r="P342" t="s">
        <v>211</v>
      </c>
      <c r="Q342" t="s">
        <v>212</v>
      </c>
      <c r="R342">
        <v>3286.68</v>
      </c>
      <c r="S342">
        <v>3</v>
      </c>
      <c r="T342">
        <v>0.15</v>
      </c>
      <c r="U342">
        <v>37.840000000000003</v>
      </c>
    </row>
    <row r="343" spans="1:21">
      <c r="A343">
        <v>1691</v>
      </c>
      <c r="B343" t="s">
        <v>880</v>
      </c>
      <c r="C343" s="1">
        <v>45542</v>
      </c>
      <c r="D343" s="1">
        <v>45546</v>
      </c>
      <c r="E343" t="s">
        <v>101</v>
      </c>
      <c r="F343" t="s">
        <v>479</v>
      </c>
      <c r="G343" t="s">
        <v>78</v>
      </c>
      <c r="H343" t="s">
        <v>25</v>
      </c>
      <c r="I343" t="s">
        <v>26</v>
      </c>
      <c r="J343" t="s">
        <v>166</v>
      </c>
      <c r="K343" t="s">
        <v>132</v>
      </c>
      <c r="L343" t="s">
        <v>29</v>
      </c>
      <c r="M343" t="s">
        <v>74</v>
      </c>
      <c r="N343" t="s">
        <v>881</v>
      </c>
      <c r="O343" t="s">
        <v>55</v>
      </c>
      <c r="P343" t="s">
        <v>56</v>
      </c>
      <c r="Q343" t="s">
        <v>57</v>
      </c>
      <c r="R343">
        <v>30655.71</v>
      </c>
      <c r="S343">
        <v>5</v>
      </c>
      <c r="T343">
        <v>0.1</v>
      </c>
      <c r="U343">
        <v>2753.69</v>
      </c>
    </row>
    <row r="344" spans="1:21">
      <c r="A344">
        <v>1275</v>
      </c>
      <c r="B344" t="s">
        <v>882</v>
      </c>
      <c r="C344" s="1">
        <v>45479</v>
      </c>
      <c r="D344" s="1">
        <v>45484</v>
      </c>
      <c r="E344" t="s">
        <v>69</v>
      </c>
      <c r="F344" t="s">
        <v>417</v>
      </c>
      <c r="G344" t="s">
        <v>165</v>
      </c>
      <c r="H344" t="s">
        <v>51</v>
      </c>
      <c r="I344" t="s">
        <v>26</v>
      </c>
      <c r="J344" t="s">
        <v>226</v>
      </c>
      <c r="K344" t="s">
        <v>110</v>
      </c>
      <c r="L344" t="s">
        <v>53</v>
      </c>
      <c r="M344" t="s">
        <v>74</v>
      </c>
      <c r="N344" t="s">
        <v>766</v>
      </c>
      <c r="O344" t="s">
        <v>188</v>
      </c>
      <c r="P344" t="s">
        <v>189</v>
      </c>
      <c r="Q344" t="s">
        <v>190</v>
      </c>
      <c r="R344">
        <v>8728.27</v>
      </c>
      <c r="S344">
        <v>2</v>
      </c>
      <c r="T344">
        <v>0.25</v>
      </c>
      <c r="U344">
        <v>-322.29000000000002</v>
      </c>
    </row>
    <row r="345" spans="1:21">
      <c r="A345">
        <v>1319</v>
      </c>
      <c r="B345" t="s">
        <v>883</v>
      </c>
      <c r="C345" s="1">
        <v>45534</v>
      </c>
      <c r="D345" s="1">
        <v>45535</v>
      </c>
      <c r="E345" t="s">
        <v>48</v>
      </c>
      <c r="F345" t="s">
        <v>274</v>
      </c>
      <c r="G345" t="s">
        <v>37</v>
      </c>
      <c r="H345" t="s">
        <v>51</v>
      </c>
      <c r="I345" t="s">
        <v>26</v>
      </c>
      <c r="J345" t="s">
        <v>346</v>
      </c>
      <c r="K345" t="s">
        <v>132</v>
      </c>
      <c r="L345" t="s">
        <v>29</v>
      </c>
      <c r="M345" t="s">
        <v>118</v>
      </c>
      <c r="N345" t="s">
        <v>884</v>
      </c>
      <c r="O345" t="s">
        <v>44</v>
      </c>
      <c r="P345" t="s">
        <v>211</v>
      </c>
      <c r="Q345" t="s">
        <v>223</v>
      </c>
      <c r="R345">
        <v>3618.79</v>
      </c>
      <c r="S345">
        <v>2</v>
      </c>
      <c r="T345">
        <v>0</v>
      </c>
      <c r="U345">
        <v>346.81</v>
      </c>
    </row>
    <row r="346" spans="1:21">
      <c r="A346">
        <v>1523</v>
      </c>
      <c r="B346" t="s">
        <v>885</v>
      </c>
      <c r="C346" s="1">
        <v>45566</v>
      </c>
      <c r="D346" s="1">
        <v>45569</v>
      </c>
      <c r="E346" t="s">
        <v>101</v>
      </c>
      <c r="F346" t="s">
        <v>274</v>
      </c>
      <c r="G346" t="s">
        <v>88</v>
      </c>
      <c r="H346" t="s">
        <v>51</v>
      </c>
      <c r="I346" t="s">
        <v>26</v>
      </c>
      <c r="J346" t="s">
        <v>346</v>
      </c>
      <c r="K346" t="s">
        <v>132</v>
      </c>
      <c r="L346" t="s">
        <v>29</v>
      </c>
      <c r="M346" t="s">
        <v>81</v>
      </c>
      <c r="N346" t="s">
        <v>801</v>
      </c>
      <c r="O346" t="s">
        <v>138</v>
      </c>
      <c r="P346" t="s">
        <v>156</v>
      </c>
      <c r="Q346" t="s">
        <v>157</v>
      </c>
      <c r="R346">
        <v>282.43</v>
      </c>
      <c r="S346">
        <v>1</v>
      </c>
      <c r="T346">
        <v>0.3</v>
      </c>
      <c r="U346">
        <v>1.49</v>
      </c>
    </row>
    <row r="347" spans="1:21">
      <c r="A347">
        <v>1145</v>
      </c>
      <c r="B347" t="s">
        <v>886</v>
      </c>
      <c r="D347" s="1">
        <v>45608</v>
      </c>
      <c r="E347" t="s">
        <v>22</v>
      </c>
      <c r="F347" t="s">
        <v>701</v>
      </c>
      <c r="G347" t="s">
        <v>78</v>
      </c>
      <c r="H347" t="s">
        <v>51</v>
      </c>
      <c r="I347" t="s">
        <v>26</v>
      </c>
      <c r="J347" t="s">
        <v>160</v>
      </c>
      <c r="K347" t="s">
        <v>161</v>
      </c>
      <c r="L347" t="s">
        <v>92</v>
      </c>
      <c r="M347" t="s">
        <v>127</v>
      </c>
      <c r="N347" t="s">
        <v>887</v>
      </c>
      <c r="O347" t="s">
        <v>188</v>
      </c>
      <c r="P347" t="s">
        <v>189</v>
      </c>
      <c r="Q347" t="s">
        <v>386</v>
      </c>
      <c r="R347">
        <v>5949.62</v>
      </c>
      <c r="S347">
        <v>4</v>
      </c>
      <c r="T347">
        <v>0.3</v>
      </c>
      <c r="U347">
        <v>-404.29</v>
      </c>
    </row>
    <row r="348" spans="1:21">
      <c r="A348">
        <v>1746</v>
      </c>
      <c r="B348" t="s">
        <v>888</v>
      </c>
      <c r="C348" s="1">
        <v>45636</v>
      </c>
      <c r="D348" s="1">
        <v>45638</v>
      </c>
      <c r="E348" t="s">
        <v>101</v>
      </c>
      <c r="F348" t="s">
        <v>142</v>
      </c>
      <c r="G348" t="s">
        <v>71</v>
      </c>
      <c r="H348" t="s">
        <v>51</v>
      </c>
      <c r="I348" t="s">
        <v>26</v>
      </c>
      <c r="J348" t="s">
        <v>90</v>
      </c>
      <c r="K348" t="s">
        <v>91</v>
      </c>
      <c r="L348" t="s">
        <v>186</v>
      </c>
      <c r="M348" t="s">
        <v>127</v>
      </c>
      <c r="N348" t="s">
        <v>889</v>
      </c>
      <c r="O348" t="s">
        <v>188</v>
      </c>
      <c r="P348" t="s">
        <v>189</v>
      </c>
      <c r="Q348" t="s">
        <v>190</v>
      </c>
      <c r="R348">
        <v>16669.32</v>
      </c>
      <c r="S348">
        <v>3</v>
      </c>
      <c r="T348">
        <v>0</v>
      </c>
      <c r="U348">
        <v>2029.68</v>
      </c>
    </row>
    <row r="349" spans="1:21">
      <c r="A349">
        <v>1451</v>
      </c>
      <c r="B349" t="s">
        <v>890</v>
      </c>
      <c r="C349" s="1">
        <v>45371</v>
      </c>
      <c r="D349" s="1">
        <v>45374</v>
      </c>
      <c r="E349" t="s">
        <v>22</v>
      </c>
      <c r="F349" t="s">
        <v>180</v>
      </c>
      <c r="G349" t="s">
        <v>136</v>
      </c>
      <c r="H349" t="s">
        <v>51</v>
      </c>
      <c r="I349" t="s">
        <v>26</v>
      </c>
      <c r="J349" t="s">
        <v>27</v>
      </c>
      <c r="K349" t="s">
        <v>28</v>
      </c>
      <c r="L349" t="s">
        <v>92</v>
      </c>
      <c r="M349" t="s">
        <v>42</v>
      </c>
      <c r="N349" t="s">
        <v>891</v>
      </c>
      <c r="O349" t="s">
        <v>44</v>
      </c>
      <c r="P349" t="s">
        <v>45</v>
      </c>
      <c r="Q349" t="s">
        <v>46</v>
      </c>
      <c r="R349">
        <v>58339.62</v>
      </c>
      <c r="S349">
        <v>2</v>
      </c>
      <c r="T349">
        <v>0.15</v>
      </c>
      <c r="U349">
        <v>556.61</v>
      </c>
    </row>
    <row r="350" spans="1:21">
      <c r="A350">
        <v>1719</v>
      </c>
      <c r="B350" t="s">
        <v>892</v>
      </c>
      <c r="C350" s="1">
        <v>45335</v>
      </c>
      <c r="D350" s="1">
        <v>45336</v>
      </c>
      <c r="E350" t="s">
        <v>48</v>
      </c>
      <c r="F350" t="s">
        <v>262</v>
      </c>
      <c r="G350" t="s">
        <v>24</v>
      </c>
      <c r="H350" t="s">
        <v>89</v>
      </c>
      <c r="I350" t="s">
        <v>26</v>
      </c>
      <c r="J350" t="s">
        <v>27</v>
      </c>
      <c r="K350" t="s">
        <v>28</v>
      </c>
      <c r="L350" t="s">
        <v>92</v>
      </c>
      <c r="M350" t="s">
        <v>170</v>
      </c>
      <c r="N350" t="s">
        <v>893</v>
      </c>
      <c r="O350" t="s">
        <v>543</v>
      </c>
      <c r="P350" t="s">
        <v>84</v>
      </c>
      <c r="Q350" t="s">
        <v>85</v>
      </c>
      <c r="R350">
        <v>10545.64</v>
      </c>
      <c r="S350">
        <v>4</v>
      </c>
      <c r="T350">
        <v>0.15</v>
      </c>
      <c r="U350">
        <v>1772.79</v>
      </c>
    </row>
    <row r="351" spans="1:21">
      <c r="A351">
        <v>1610</v>
      </c>
      <c r="B351" t="s">
        <v>894</v>
      </c>
      <c r="C351" s="1">
        <v>45526</v>
      </c>
      <c r="D351" s="1">
        <v>45529</v>
      </c>
      <c r="E351" t="s">
        <v>69</v>
      </c>
      <c r="F351" t="s">
        <v>180</v>
      </c>
      <c r="G351" t="s">
        <v>24</v>
      </c>
      <c r="H351" t="s">
        <v>51</v>
      </c>
      <c r="I351" t="s">
        <v>26</v>
      </c>
      <c r="J351" t="s">
        <v>131</v>
      </c>
      <c r="K351" t="s">
        <v>132</v>
      </c>
      <c r="L351" t="s">
        <v>63</v>
      </c>
      <c r="M351" t="s">
        <v>81</v>
      </c>
      <c r="N351" t="s">
        <v>895</v>
      </c>
      <c r="O351" t="s">
        <v>188</v>
      </c>
      <c r="P351" t="s">
        <v>189</v>
      </c>
      <c r="Q351" t="s">
        <v>190</v>
      </c>
      <c r="R351">
        <v>39523.519999999997</v>
      </c>
      <c r="S351">
        <v>7</v>
      </c>
      <c r="T351">
        <v>0.05</v>
      </c>
      <c r="U351">
        <v>3416.67</v>
      </c>
    </row>
    <row r="352" spans="1:21">
      <c r="A352">
        <v>1269</v>
      </c>
      <c r="B352" t="s">
        <v>896</v>
      </c>
      <c r="C352" s="1">
        <v>45344</v>
      </c>
      <c r="D352" s="1">
        <v>45347</v>
      </c>
      <c r="E352" t="s">
        <v>48</v>
      </c>
      <c r="F352" t="s">
        <v>765</v>
      </c>
      <c r="G352" t="s">
        <v>78</v>
      </c>
      <c r="H352" t="s">
        <v>51</v>
      </c>
      <c r="I352" t="s">
        <v>26</v>
      </c>
      <c r="J352" t="s">
        <v>39</v>
      </c>
      <c r="K352" t="s">
        <v>40</v>
      </c>
      <c r="L352" t="s">
        <v>92</v>
      </c>
      <c r="M352" t="s">
        <v>118</v>
      </c>
      <c r="N352" t="s">
        <v>897</v>
      </c>
      <c r="O352" t="s">
        <v>293</v>
      </c>
      <c r="P352" t="s">
        <v>45</v>
      </c>
      <c r="Q352" t="s">
        <v>46</v>
      </c>
      <c r="R352">
        <v>38013.97</v>
      </c>
      <c r="S352">
        <v>1</v>
      </c>
      <c r="T352">
        <v>0</v>
      </c>
      <c r="U352">
        <v>3653.3</v>
      </c>
    </row>
    <row r="353" spans="1:21">
      <c r="A353">
        <v>1539</v>
      </c>
      <c r="B353" t="s">
        <v>898</v>
      </c>
      <c r="C353" s="1">
        <v>45594</v>
      </c>
      <c r="D353" s="1">
        <v>45598</v>
      </c>
      <c r="E353" t="s">
        <v>69</v>
      </c>
      <c r="F353" t="s">
        <v>604</v>
      </c>
      <c r="G353" t="s">
        <v>107</v>
      </c>
      <c r="H353" t="s">
        <v>89</v>
      </c>
      <c r="I353" t="s">
        <v>26</v>
      </c>
      <c r="J353" t="s">
        <v>90</v>
      </c>
      <c r="K353" t="s">
        <v>91</v>
      </c>
      <c r="L353" t="s">
        <v>92</v>
      </c>
      <c r="M353" t="s">
        <v>118</v>
      </c>
      <c r="N353" t="s">
        <v>899</v>
      </c>
      <c r="O353" t="s">
        <v>94</v>
      </c>
      <c r="P353" t="s">
        <v>45</v>
      </c>
      <c r="Q353" t="s">
        <v>46</v>
      </c>
      <c r="R353">
        <v>79500.87</v>
      </c>
      <c r="S353">
        <v>3</v>
      </c>
      <c r="T353">
        <v>0.25</v>
      </c>
      <c r="U353">
        <v>-4548.7</v>
      </c>
    </row>
    <row r="354" spans="1:21">
      <c r="A354">
        <v>1308</v>
      </c>
      <c r="B354" t="s">
        <v>900</v>
      </c>
      <c r="C354" s="1">
        <v>45561</v>
      </c>
      <c r="D354" s="1">
        <v>45564</v>
      </c>
      <c r="E354" t="s">
        <v>22</v>
      </c>
      <c r="F354" t="s">
        <v>446</v>
      </c>
      <c r="G354" t="s">
        <v>24</v>
      </c>
      <c r="H354" t="s">
        <v>25</v>
      </c>
      <c r="I354" t="s">
        <v>26</v>
      </c>
      <c r="J354" t="s">
        <v>166</v>
      </c>
      <c r="K354" t="s">
        <v>132</v>
      </c>
      <c r="L354" t="s">
        <v>29</v>
      </c>
      <c r="M354" t="s">
        <v>170</v>
      </c>
      <c r="N354" t="s">
        <v>901</v>
      </c>
      <c r="O354" t="s">
        <v>138</v>
      </c>
      <c r="P354" t="s">
        <v>139</v>
      </c>
      <c r="Q354" t="s">
        <v>140</v>
      </c>
      <c r="R354">
        <v>1006.78</v>
      </c>
      <c r="S354">
        <v>1</v>
      </c>
      <c r="T354">
        <v>0</v>
      </c>
      <c r="U354">
        <v>243.73</v>
      </c>
    </row>
    <row r="355" spans="1:21">
      <c r="A355">
        <v>1311</v>
      </c>
      <c r="B355" t="s">
        <v>902</v>
      </c>
      <c r="C355" s="1">
        <v>45619</v>
      </c>
      <c r="D355" s="1">
        <v>45624</v>
      </c>
      <c r="E355" t="s">
        <v>22</v>
      </c>
      <c r="F355" t="s">
        <v>242</v>
      </c>
      <c r="G355" t="s">
        <v>165</v>
      </c>
      <c r="H355" t="s">
        <v>310</v>
      </c>
      <c r="I355" t="s">
        <v>26</v>
      </c>
      <c r="J355" t="s">
        <v>79</v>
      </c>
      <c r="K355" t="s">
        <v>80</v>
      </c>
      <c r="L355" t="s">
        <v>92</v>
      </c>
      <c r="M355" t="s">
        <v>42</v>
      </c>
      <c r="N355" t="s">
        <v>903</v>
      </c>
      <c r="O355" t="s">
        <v>94</v>
      </c>
      <c r="P355" t="s">
        <v>207</v>
      </c>
      <c r="Q355" t="s">
        <v>208</v>
      </c>
      <c r="R355">
        <v>88875.39</v>
      </c>
      <c r="S355">
        <v>2</v>
      </c>
      <c r="T355">
        <v>0.1</v>
      </c>
      <c r="U355">
        <v>3418.18</v>
      </c>
    </row>
    <row r="356" spans="1:21">
      <c r="A356">
        <v>1549</v>
      </c>
      <c r="B356" t="s">
        <v>904</v>
      </c>
      <c r="C356" s="1">
        <v>45620</v>
      </c>
      <c r="D356" s="1">
        <v>45624</v>
      </c>
      <c r="E356" t="s">
        <v>101</v>
      </c>
      <c r="F356" t="s">
        <v>177</v>
      </c>
      <c r="G356" t="s">
        <v>147</v>
      </c>
      <c r="H356" t="s">
        <v>302</v>
      </c>
      <c r="I356" t="s">
        <v>26</v>
      </c>
      <c r="J356" t="s">
        <v>90</v>
      </c>
      <c r="K356" t="s">
        <v>91</v>
      </c>
      <c r="L356" t="s">
        <v>186</v>
      </c>
      <c r="M356" t="s">
        <v>170</v>
      </c>
      <c r="N356" t="s">
        <v>905</v>
      </c>
      <c r="O356" t="s">
        <v>55</v>
      </c>
      <c r="P356" t="s">
        <v>98</v>
      </c>
      <c r="Q356" t="s">
        <v>99</v>
      </c>
      <c r="R356">
        <v>5808.09</v>
      </c>
      <c r="S356">
        <v>1</v>
      </c>
      <c r="T356">
        <v>0.05</v>
      </c>
      <c r="U356">
        <v>624.42999999999995</v>
      </c>
    </row>
    <row r="357" spans="1:21">
      <c r="A357">
        <v>1047</v>
      </c>
      <c r="B357" t="s">
        <v>906</v>
      </c>
      <c r="C357" s="1">
        <v>45432</v>
      </c>
      <c r="D357" s="1">
        <v>45436</v>
      </c>
      <c r="E357" t="s">
        <v>22</v>
      </c>
      <c r="F357" t="s">
        <v>225</v>
      </c>
      <c r="G357" t="s">
        <v>78</v>
      </c>
      <c r="H357" t="s">
        <v>25</v>
      </c>
      <c r="I357" t="s">
        <v>26</v>
      </c>
      <c r="J357" t="s">
        <v>115</v>
      </c>
      <c r="K357" t="s">
        <v>116</v>
      </c>
      <c r="L357" t="s">
        <v>92</v>
      </c>
      <c r="M357" t="s">
        <v>42</v>
      </c>
      <c r="N357" t="s">
        <v>907</v>
      </c>
      <c r="O357" t="s">
        <v>83</v>
      </c>
      <c r="P357" t="s">
        <v>84</v>
      </c>
      <c r="Q357" t="s">
        <v>85</v>
      </c>
      <c r="R357">
        <v>9000.51</v>
      </c>
      <c r="S357">
        <v>3</v>
      </c>
      <c r="T357">
        <v>0.1</v>
      </c>
      <c r="U357">
        <v>1716.11</v>
      </c>
    </row>
    <row r="358" spans="1:21">
      <c r="A358">
        <v>1350</v>
      </c>
      <c r="B358" t="s">
        <v>908</v>
      </c>
      <c r="C358" s="1">
        <v>45406</v>
      </c>
      <c r="D358" s="1">
        <v>45412</v>
      </c>
      <c r="E358" t="s">
        <v>69</v>
      </c>
      <c r="F358" t="s">
        <v>810</v>
      </c>
      <c r="G358" t="s">
        <v>24</v>
      </c>
      <c r="H358" t="s">
        <v>108</v>
      </c>
      <c r="I358" t="s">
        <v>26</v>
      </c>
      <c r="J358" t="s">
        <v>166</v>
      </c>
      <c r="K358" t="s">
        <v>132</v>
      </c>
      <c r="L358" t="s">
        <v>41</v>
      </c>
      <c r="M358" t="s">
        <v>170</v>
      </c>
      <c r="N358" t="s">
        <v>909</v>
      </c>
      <c r="O358" t="s">
        <v>328</v>
      </c>
      <c r="P358" t="s">
        <v>189</v>
      </c>
      <c r="Q358" t="s">
        <v>190</v>
      </c>
      <c r="R358">
        <v>9862.65</v>
      </c>
      <c r="S358">
        <v>2</v>
      </c>
      <c r="T358">
        <v>0.1</v>
      </c>
      <c r="U358">
        <v>635.03</v>
      </c>
    </row>
    <row r="359" spans="1:21">
      <c r="A359">
        <v>1262</v>
      </c>
      <c r="B359" t="s">
        <v>910</v>
      </c>
      <c r="C359" s="1">
        <v>45498</v>
      </c>
      <c r="D359" s="1">
        <v>45503</v>
      </c>
      <c r="E359" t="s">
        <v>48</v>
      </c>
      <c r="F359" t="s">
        <v>23</v>
      </c>
      <c r="G359" t="s">
        <v>71</v>
      </c>
      <c r="H359" t="s">
        <v>51</v>
      </c>
      <c r="I359" t="s">
        <v>26</v>
      </c>
      <c r="J359" t="s">
        <v>109</v>
      </c>
      <c r="K359" t="s">
        <v>110</v>
      </c>
      <c r="L359" t="s">
        <v>63</v>
      </c>
      <c r="M359" t="s">
        <v>118</v>
      </c>
      <c r="N359" t="s">
        <v>327</v>
      </c>
      <c r="O359" t="s">
        <v>138</v>
      </c>
      <c r="P359" t="s">
        <v>182</v>
      </c>
      <c r="Q359" t="s">
        <v>183</v>
      </c>
      <c r="R359">
        <v>2419.17</v>
      </c>
      <c r="S359">
        <v>5</v>
      </c>
      <c r="T359">
        <v>0</v>
      </c>
      <c r="U359">
        <v>566.6</v>
      </c>
    </row>
    <row r="360" spans="1:21">
      <c r="A360">
        <v>1196</v>
      </c>
      <c r="B360" t="s">
        <v>911</v>
      </c>
      <c r="C360" s="1">
        <v>45643</v>
      </c>
      <c r="D360" s="1">
        <v>45648</v>
      </c>
      <c r="E360" t="s">
        <v>48</v>
      </c>
      <c r="F360" t="s">
        <v>23</v>
      </c>
      <c r="G360" t="s">
        <v>50</v>
      </c>
      <c r="H360" t="s">
        <v>51</v>
      </c>
      <c r="I360" t="s">
        <v>26</v>
      </c>
      <c r="J360" t="s">
        <v>346</v>
      </c>
      <c r="K360" t="s">
        <v>132</v>
      </c>
      <c r="L360" t="s">
        <v>215</v>
      </c>
      <c r="M360" t="s">
        <v>42</v>
      </c>
      <c r="N360" t="s">
        <v>362</v>
      </c>
      <c r="O360" t="s">
        <v>138</v>
      </c>
      <c r="P360" t="s">
        <v>156</v>
      </c>
      <c r="Q360" t="s">
        <v>157</v>
      </c>
      <c r="R360">
        <v>614.73</v>
      </c>
      <c r="S360">
        <v>2</v>
      </c>
      <c r="T360">
        <v>0.25</v>
      </c>
      <c r="U360">
        <v>22.05</v>
      </c>
    </row>
    <row r="361" spans="1:21">
      <c r="A361">
        <v>1352</v>
      </c>
      <c r="B361" t="s">
        <v>836</v>
      </c>
      <c r="C361" s="1">
        <v>45505</v>
      </c>
      <c r="D361" s="1">
        <v>45509</v>
      </c>
      <c r="E361" t="s">
        <v>101</v>
      </c>
      <c r="F361" t="s">
        <v>442</v>
      </c>
      <c r="G361" t="s">
        <v>136</v>
      </c>
      <c r="H361" t="s">
        <v>25</v>
      </c>
      <c r="I361" t="s">
        <v>26</v>
      </c>
      <c r="J361" t="s">
        <v>90</v>
      </c>
      <c r="K361" t="s">
        <v>91</v>
      </c>
      <c r="L361" t="s">
        <v>63</v>
      </c>
      <c r="M361" t="s">
        <v>118</v>
      </c>
      <c r="N361" t="s">
        <v>624</v>
      </c>
      <c r="O361" t="s">
        <v>94</v>
      </c>
      <c r="P361" t="s">
        <v>45</v>
      </c>
      <c r="Q361" t="s">
        <v>46</v>
      </c>
      <c r="R361">
        <v>35058.839999999997</v>
      </c>
      <c r="S361">
        <v>1</v>
      </c>
      <c r="T361">
        <v>0</v>
      </c>
      <c r="U361">
        <v>3151.54</v>
      </c>
    </row>
    <row r="362" spans="1:21">
      <c r="A362">
        <v>1637</v>
      </c>
      <c r="B362" t="s">
        <v>912</v>
      </c>
      <c r="C362" s="1">
        <v>45383</v>
      </c>
      <c r="D362" s="1">
        <v>45384</v>
      </c>
      <c r="E362" t="s">
        <v>101</v>
      </c>
      <c r="F362" t="s">
        <v>375</v>
      </c>
      <c r="G362" t="s">
        <v>50</v>
      </c>
      <c r="H362" t="s">
        <v>25</v>
      </c>
      <c r="I362" t="s">
        <v>26</v>
      </c>
      <c r="J362" t="s">
        <v>131</v>
      </c>
      <c r="K362" t="s">
        <v>132</v>
      </c>
      <c r="L362" t="s">
        <v>29</v>
      </c>
      <c r="M362" t="s">
        <v>118</v>
      </c>
      <c r="N362" t="s">
        <v>527</v>
      </c>
      <c r="O362" t="s">
        <v>188</v>
      </c>
      <c r="P362" t="s">
        <v>189</v>
      </c>
      <c r="Q362" t="s">
        <v>190</v>
      </c>
      <c r="R362">
        <v>14543.28</v>
      </c>
      <c r="S362">
        <v>3</v>
      </c>
      <c r="T362">
        <v>0.2</v>
      </c>
      <c r="U362">
        <v>0</v>
      </c>
    </row>
    <row r="363" spans="1:21">
      <c r="A363">
        <v>1108</v>
      </c>
      <c r="B363" t="s">
        <v>913</v>
      </c>
      <c r="C363" s="1">
        <v>45561</v>
      </c>
      <c r="D363" s="1">
        <v>45562</v>
      </c>
      <c r="E363" t="s">
        <v>22</v>
      </c>
      <c r="F363" t="s">
        <v>479</v>
      </c>
      <c r="G363" t="s">
        <v>165</v>
      </c>
      <c r="H363" t="s">
        <v>51</v>
      </c>
      <c r="I363" t="s">
        <v>26</v>
      </c>
      <c r="J363" t="s">
        <v>346</v>
      </c>
      <c r="K363" t="s">
        <v>132</v>
      </c>
      <c r="L363" t="s">
        <v>63</v>
      </c>
      <c r="M363" t="s">
        <v>170</v>
      </c>
      <c r="N363" t="s">
        <v>914</v>
      </c>
      <c r="O363" t="s">
        <v>44</v>
      </c>
      <c r="P363" t="s">
        <v>211</v>
      </c>
      <c r="Q363" t="s">
        <v>212</v>
      </c>
      <c r="R363">
        <v>930.55</v>
      </c>
      <c r="S363">
        <v>1</v>
      </c>
      <c r="T363">
        <v>0.25</v>
      </c>
      <c r="U363">
        <v>-42.44</v>
      </c>
    </row>
    <row r="364" spans="1:21">
      <c r="A364">
        <v>1060</v>
      </c>
      <c r="B364" t="s">
        <v>915</v>
      </c>
      <c r="C364" s="1">
        <v>45416</v>
      </c>
      <c r="D364" s="1">
        <v>45420</v>
      </c>
      <c r="E364" t="s">
        <v>101</v>
      </c>
      <c r="F364" t="s">
        <v>361</v>
      </c>
      <c r="G364" t="s">
        <v>229</v>
      </c>
      <c r="H364" t="s">
        <v>108</v>
      </c>
      <c r="I364" t="s">
        <v>26</v>
      </c>
      <c r="J364" t="s">
        <v>72</v>
      </c>
      <c r="K364" t="s">
        <v>73</v>
      </c>
      <c r="L364" t="s">
        <v>29</v>
      </c>
      <c r="M364" t="s">
        <v>127</v>
      </c>
      <c r="N364" t="s">
        <v>562</v>
      </c>
      <c r="O364" t="s">
        <v>188</v>
      </c>
      <c r="P364" t="s">
        <v>189</v>
      </c>
      <c r="Q364" t="s">
        <v>386</v>
      </c>
      <c r="R364">
        <v>3273.45</v>
      </c>
      <c r="S364">
        <v>2</v>
      </c>
      <c r="T364">
        <v>0.3</v>
      </c>
      <c r="U364">
        <v>-216.96</v>
      </c>
    </row>
    <row r="365" spans="1:21">
      <c r="A365">
        <v>1570</v>
      </c>
      <c r="B365" t="s">
        <v>916</v>
      </c>
      <c r="C365" s="1">
        <v>45301</v>
      </c>
      <c r="D365" s="1">
        <v>45305</v>
      </c>
      <c r="E365" t="s">
        <v>69</v>
      </c>
      <c r="F365" t="s">
        <v>411</v>
      </c>
      <c r="G365" t="s">
        <v>125</v>
      </c>
      <c r="H365" t="s">
        <v>389</v>
      </c>
      <c r="I365" t="s">
        <v>26</v>
      </c>
      <c r="J365" t="s">
        <v>131</v>
      </c>
      <c r="K365" t="s">
        <v>132</v>
      </c>
      <c r="L365" t="s">
        <v>41</v>
      </c>
      <c r="M365" t="s">
        <v>74</v>
      </c>
      <c r="N365" t="s">
        <v>917</v>
      </c>
      <c r="O365" t="s">
        <v>44</v>
      </c>
      <c r="P365" t="s">
        <v>45</v>
      </c>
      <c r="Q365" t="s">
        <v>46</v>
      </c>
      <c r="R365">
        <v>50243.45</v>
      </c>
      <c r="S365">
        <v>2</v>
      </c>
      <c r="T365">
        <v>0.3</v>
      </c>
      <c r="U365">
        <v>-4468.0200000000004</v>
      </c>
    </row>
    <row r="366" spans="1:21">
      <c r="A366">
        <v>1737</v>
      </c>
      <c r="B366" t="s">
        <v>918</v>
      </c>
      <c r="C366" s="1">
        <v>45639</v>
      </c>
      <c r="D366" s="1">
        <v>45641</v>
      </c>
      <c r="E366" t="s">
        <v>22</v>
      </c>
      <c r="F366" t="s">
        <v>113</v>
      </c>
      <c r="G366" t="s">
        <v>174</v>
      </c>
      <c r="H366" t="s">
        <v>25</v>
      </c>
      <c r="I366" t="s">
        <v>26</v>
      </c>
      <c r="J366" t="s">
        <v>166</v>
      </c>
      <c r="K366" t="s">
        <v>132</v>
      </c>
      <c r="L366" t="s">
        <v>92</v>
      </c>
      <c r="M366" t="s">
        <v>74</v>
      </c>
      <c r="N366" t="s">
        <v>706</v>
      </c>
      <c r="O366" t="s">
        <v>55</v>
      </c>
      <c r="P366" t="s">
        <v>66</v>
      </c>
      <c r="Q366" t="s">
        <v>67</v>
      </c>
      <c r="R366">
        <v>6761.09</v>
      </c>
      <c r="S366">
        <v>1</v>
      </c>
      <c r="T366">
        <v>0.25</v>
      </c>
      <c r="U366">
        <v>-16.09</v>
      </c>
    </row>
    <row r="367" spans="1:21">
      <c r="A367">
        <v>1101</v>
      </c>
      <c r="B367" t="s">
        <v>919</v>
      </c>
      <c r="C367" s="1">
        <v>45351</v>
      </c>
      <c r="D367" s="1">
        <v>45352</v>
      </c>
      <c r="E367" t="s">
        <v>69</v>
      </c>
      <c r="F367" t="s">
        <v>373</v>
      </c>
      <c r="G367" t="s">
        <v>136</v>
      </c>
      <c r="H367" t="s">
        <v>51</v>
      </c>
      <c r="I367" t="s">
        <v>26</v>
      </c>
      <c r="J367" t="s">
        <v>131</v>
      </c>
      <c r="K367" t="s">
        <v>132</v>
      </c>
      <c r="L367" t="s">
        <v>92</v>
      </c>
      <c r="M367" t="s">
        <v>118</v>
      </c>
      <c r="N367" t="s">
        <v>421</v>
      </c>
      <c r="O367" t="s">
        <v>44</v>
      </c>
      <c r="P367" t="s">
        <v>211</v>
      </c>
      <c r="Q367" t="s">
        <v>212</v>
      </c>
      <c r="R367">
        <v>859.09</v>
      </c>
      <c r="S367">
        <v>1</v>
      </c>
      <c r="T367">
        <v>0.3</v>
      </c>
      <c r="U367">
        <v>-57.84</v>
      </c>
    </row>
    <row r="368" spans="1:21">
      <c r="A368">
        <v>1425</v>
      </c>
      <c r="B368" t="s">
        <v>920</v>
      </c>
      <c r="C368" s="1">
        <v>45336</v>
      </c>
      <c r="D368" s="1">
        <v>45339</v>
      </c>
      <c r="E368" t="s">
        <v>101</v>
      </c>
      <c r="F368" t="s">
        <v>551</v>
      </c>
      <c r="G368" t="s">
        <v>125</v>
      </c>
      <c r="H368" t="s">
        <v>51</v>
      </c>
      <c r="I368" t="s">
        <v>26</v>
      </c>
      <c r="J368" t="s">
        <v>90</v>
      </c>
      <c r="K368" t="s">
        <v>91</v>
      </c>
      <c r="L368" t="s">
        <v>29</v>
      </c>
      <c r="M368" t="s">
        <v>118</v>
      </c>
      <c r="N368" t="s">
        <v>921</v>
      </c>
      <c r="O368" t="s">
        <v>44</v>
      </c>
      <c r="P368" t="s">
        <v>207</v>
      </c>
      <c r="Q368" t="s">
        <v>208</v>
      </c>
      <c r="R368">
        <v>197669.4</v>
      </c>
      <c r="S368">
        <v>4</v>
      </c>
      <c r="T368">
        <v>0.05</v>
      </c>
      <c r="U368">
        <v>16050</v>
      </c>
    </row>
    <row r="369" spans="1:21">
      <c r="A369">
        <v>1680</v>
      </c>
      <c r="B369" t="s">
        <v>922</v>
      </c>
      <c r="C369" s="1">
        <v>45465</v>
      </c>
      <c r="D369" s="1">
        <v>45469</v>
      </c>
      <c r="E369" t="s">
        <v>69</v>
      </c>
      <c r="F369" t="s">
        <v>185</v>
      </c>
      <c r="G369" t="s">
        <v>174</v>
      </c>
      <c r="H369" t="s">
        <v>51</v>
      </c>
      <c r="I369" t="s">
        <v>26</v>
      </c>
      <c r="J369" t="s">
        <v>346</v>
      </c>
      <c r="K369" t="s">
        <v>132</v>
      </c>
      <c r="L369" t="s">
        <v>29</v>
      </c>
      <c r="M369" t="s">
        <v>30</v>
      </c>
      <c r="N369" t="s">
        <v>607</v>
      </c>
      <c r="O369" t="s">
        <v>138</v>
      </c>
      <c r="P369" t="s">
        <v>139</v>
      </c>
      <c r="Q369" t="s">
        <v>140</v>
      </c>
      <c r="R369">
        <v>641.25</v>
      </c>
      <c r="S369">
        <v>1</v>
      </c>
      <c r="T369">
        <v>0.3</v>
      </c>
      <c r="U369">
        <v>3.35</v>
      </c>
    </row>
    <row r="370" spans="1:21">
      <c r="A370">
        <v>1630</v>
      </c>
      <c r="B370" t="s">
        <v>923</v>
      </c>
      <c r="C370" s="1">
        <v>45352</v>
      </c>
      <c r="D370" s="1">
        <v>45355</v>
      </c>
      <c r="E370" t="s">
        <v>22</v>
      </c>
      <c r="F370" t="s">
        <v>164</v>
      </c>
      <c r="G370" t="s">
        <v>78</v>
      </c>
      <c r="H370" t="s">
        <v>25</v>
      </c>
      <c r="I370" t="s">
        <v>26</v>
      </c>
      <c r="J370" t="s">
        <v>346</v>
      </c>
      <c r="K370" t="s">
        <v>132</v>
      </c>
      <c r="L370" t="s">
        <v>41</v>
      </c>
      <c r="M370" t="s">
        <v>127</v>
      </c>
      <c r="N370" t="s">
        <v>924</v>
      </c>
      <c r="O370" t="s">
        <v>83</v>
      </c>
      <c r="P370" t="s">
        <v>84</v>
      </c>
      <c r="Q370" t="s">
        <v>85</v>
      </c>
      <c r="R370">
        <v>6251.44</v>
      </c>
      <c r="S370">
        <v>3</v>
      </c>
      <c r="T370">
        <v>0.3</v>
      </c>
      <c r="U370">
        <v>357.92</v>
      </c>
    </row>
    <row r="371" spans="1:21">
      <c r="A371">
        <v>1405</v>
      </c>
      <c r="B371" t="s">
        <v>925</v>
      </c>
      <c r="C371" s="1">
        <v>45324</v>
      </c>
      <c r="D371" s="1">
        <v>45327</v>
      </c>
      <c r="E371" t="s">
        <v>48</v>
      </c>
      <c r="F371" t="s">
        <v>926</v>
      </c>
      <c r="G371" t="s">
        <v>229</v>
      </c>
      <c r="H371" t="s">
        <v>51</v>
      </c>
      <c r="I371" t="s">
        <v>26</v>
      </c>
      <c r="J371" t="s">
        <v>39</v>
      </c>
      <c r="K371" t="s">
        <v>40</v>
      </c>
      <c r="L371" t="s">
        <v>92</v>
      </c>
      <c r="M371" t="s">
        <v>170</v>
      </c>
      <c r="N371" t="s">
        <v>927</v>
      </c>
      <c r="O371" t="s">
        <v>55</v>
      </c>
      <c r="P371" t="s">
        <v>56</v>
      </c>
      <c r="Q371" t="s">
        <v>57</v>
      </c>
      <c r="R371">
        <v>25716.12</v>
      </c>
      <c r="S371">
        <v>4</v>
      </c>
      <c r="T371">
        <v>0.1</v>
      </c>
      <c r="U371">
        <v>1970.6</v>
      </c>
    </row>
    <row r="372" spans="1:21">
      <c r="A372">
        <v>1180</v>
      </c>
      <c r="B372" t="s">
        <v>928</v>
      </c>
      <c r="C372" s="1">
        <v>45318</v>
      </c>
      <c r="D372" s="1">
        <v>45323</v>
      </c>
      <c r="E372" t="s">
        <v>101</v>
      </c>
      <c r="F372" t="s">
        <v>633</v>
      </c>
      <c r="G372" t="s">
        <v>136</v>
      </c>
      <c r="H372" t="s">
        <v>89</v>
      </c>
      <c r="I372" t="s">
        <v>26</v>
      </c>
      <c r="J372" t="s">
        <v>115</v>
      </c>
      <c r="K372" t="s">
        <v>116</v>
      </c>
      <c r="L372" t="s">
        <v>29</v>
      </c>
      <c r="M372" t="s">
        <v>30</v>
      </c>
      <c r="N372" t="s">
        <v>929</v>
      </c>
      <c r="O372" t="s">
        <v>240</v>
      </c>
      <c r="P372" t="s">
        <v>156</v>
      </c>
      <c r="Q372" t="s">
        <v>157</v>
      </c>
      <c r="R372">
        <v>1464.36</v>
      </c>
      <c r="S372">
        <v>4</v>
      </c>
      <c r="T372">
        <v>0.1</v>
      </c>
      <c r="U372">
        <v>205.15</v>
      </c>
    </row>
    <row r="373" spans="1:21">
      <c r="A373">
        <v>1305</v>
      </c>
      <c r="B373" t="s">
        <v>930</v>
      </c>
      <c r="C373" s="1">
        <v>45652</v>
      </c>
      <c r="D373" s="1">
        <v>45658</v>
      </c>
      <c r="E373" t="s">
        <v>48</v>
      </c>
      <c r="F373" t="s">
        <v>931</v>
      </c>
      <c r="G373" t="s">
        <v>114</v>
      </c>
      <c r="H373" t="s">
        <v>389</v>
      </c>
      <c r="I373" t="s">
        <v>26</v>
      </c>
      <c r="J373" t="s">
        <v>79</v>
      </c>
      <c r="K373" t="s">
        <v>80</v>
      </c>
      <c r="L373" t="s">
        <v>92</v>
      </c>
      <c r="M373" t="s">
        <v>170</v>
      </c>
      <c r="N373" t="s">
        <v>932</v>
      </c>
      <c r="O373" t="s">
        <v>55</v>
      </c>
      <c r="P373" t="s">
        <v>56</v>
      </c>
      <c r="Q373" t="s">
        <v>57</v>
      </c>
      <c r="R373">
        <v>28815.75</v>
      </c>
      <c r="S373">
        <v>4</v>
      </c>
      <c r="T373">
        <v>0</v>
      </c>
      <c r="U373">
        <v>5049.43</v>
      </c>
    </row>
    <row r="374" spans="1:21">
      <c r="A374">
        <v>1383</v>
      </c>
      <c r="B374" t="s">
        <v>933</v>
      </c>
      <c r="C374" s="1">
        <v>45597</v>
      </c>
      <c r="D374" s="1">
        <v>45598</v>
      </c>
      <c r="E374" t="s">
        <v>48</v>
      </c>
      <c r="F374" t="s">
        <v>135</v>
      </c>
      <c r="G374" t="s">
        <v>147</v>
      </c>
      <c r="H374" t="s">
        <v>108</v>
      </c>
      <c r="I374" t="s">
        <v>26</v>
      </c>
      <c r="J374" t="s">
        <v>39</v>
      </c>
      <c r="K374" t="s">
        <v>40</v>
      </c>
      <c r="L374" t="s">
        <v>63</v>
      </c>
      <c r="M374" t="s">
        <v>74</v>
      </c>
      <c r="N374" t="s">
        <v>934</v>
      </c>
      <c r="O374" t="s">
        <v>83</v>
      </c>
      <c r="P374" t="s">
        <v>33</v>
      </c>
      <c r="Q374" t="s">
        <v>34</v>
      </c>
      <c r="R374">
        <v>1036.4100000000001</v>
      </c>
      <c r="S374">
        <v>1</v>
      </c>
      <c r="T374">
        <v>0.2</v>
      </c>
      <c r="U374">
        <v>128.72</v>
      </c>
    </row>
    <row r="375" spans="1:21">
      <c r="A375">
        <v>1424</v>
      </c>
      <c r="B375" t="s">
        <v>935</v>
      </c>
      <c r="C375" s="1">
        <v>45297</v>
      </c>
      <c r="D375" s="1">
        <v>45299</v>
      </c>
      <c r="E375" t="s">
        <v>48</v>
      </c>
      <c r="F375" t="s">
        <v>355</v>
      </c>
      <c r="G375" t="s">
        <v>229</v>
      </c>
      <c r="H375" t="s">
        <v>25</v>
      </c>
      <c r="I375" t="s">
        <v>26</v>
      </c>
      <c r="J375" t="s">
        <v>346</v>
      </c>
      <c r="K375" t="s">
        <v>132</v>
      </c>
      <c r="L375" t="s">
        <v>92</v>
      </c>
      <c r="M375" t="s">
        <v>170</v>
      </c>
      <c r="N375" t="s">
        <v>936</v>
      </c>
      <c r="O375" t="s">
        <v>83</v>
      </c>
      <c r="P375" t="s">
        <v>84</v>
      </c>
      <c r="Q375" t="s">
        <v>85</v>
      </c>
      <c r="R375">
        <v>6274.17</v>
      </c>
      <c r="S375">
        <v>3</v>
      </c>
      <c r="T375">
        <v>0.3</v>
      </c>
      <c r="U375">
        <v>430.81</v>
      </c>
    </row>
    <row r="376" spans="1:21">
      <c r="A376">
        <v>1730</v>
      </c>
      <c r="B376" t="s">
        <v>937</v>
      </c>
      <c r="C376" s="1">
        <v>45464</v>
      </c>
      <c r="D376" s="1">
        <v>45468</v>
      </c>
      <c r="E376" t="s">
        <v>101</v>
      </c>
      <c r="F376" t="s">
        <v>340</v>
      </c>
      <c r="G376" t="s">
        <v>24</v>
      </c>
      <c r="H376" t="s">
        <v>51</v>
      </c>
      <c r="I376" t="s">
        <v>26</v>
      </c>
      <c r="J376" t="s">
        <v>346</v>
      </c>
      <c r="K376" t="s">
        <v>132</v>
      </c>
      <c r="L376" t="s">
        <v>92</v>
      </c>
      <c r="M376" t="s">
        <v>127</v>
      </c>
      <c r="N376" t="s">
        <v>938</v>
      </c>
      <c r="O376" t="s">
        <v>55</v>
      </c>
      <c r="P376" t="s">
        <v>98</v>
      </c>
      <c r="Q376" t="s">
        <v>99</v>
      </c>
      <c r="R376">
        <v>8552.39</v>
      </c>
      <c r="S376">
        <v>2</v>
      </c>
      <c r="T376">
        <v>0.3</v>
      </c>
      <c r="U376">
        <v>-323.11</v>
      </c>
    </row>
    <row r="377" spans="1:21">
      <c r="A377">
        <v>1150</v>
      </c>
      <c r="B377" t="s">
        <v>939</v>
      </c>
      <c r="C377" s="1">
        <v>45589</v>
      </c>
      <c r="D377" s="1">
        <v>45595</v>
      </c>
      <c r="E377" t="s">
        <v>48</v>
      </c>
      <c r="F377" t="s">
        <v>526</v>
      </c>
      <c r="G377" t="s">
        <v>229</v>
      </c>
      <c r="H377" t="s">
        <v>51</v>
      </c>
      <c r="I377" t="s">
        <v>26</v>
      </c>
      <c r="J377" t="s">
        <v>131</v>
      </c>
      <c r="K377" t="s">
        <v>132</v>
      </c>
      <c r="L377" t="s">
        <v>63</v>
      </c>
      <c r="M377" t="s">
        <v>170</v>
      </c>
      <c r="N377" t="s">
        <v>940</v>
      </c>
      <c r="O377" t="s">
        <v>55</v>
      </c>
      <c r="P377" t="s">
        <v>56</v>
      </c>
      <c r="Q377" t="s">
        <v>57</v>
      </c>
      <c r="R377">
        <v>29366.28</v>
      </c>
      <c r="S377">
        <v>4</v>
      </c>
      <c r="T377">
        <v>0</v>
      </c>
      <c r="U377">
        <v>3724.46</v>
      </c>
    </row>
    <row r="378" spans="1:21">
      <c r="A378">
        <v>1125</v>
      </c>
      <c r="B378" t="s">
        <v>941</v>
      </c>
      <c r="C378" s="1">
        <v>45346</v>
      </c>
      <c r="D378" s="1">
        <v>45348</v>
      </c>
      <c r="E378" t="s">
        <v>101</v>
      </c>
      <c r="F378" t="s">
        <v>774</v>
      </c>
      <c r="G378" t="s">
        <v>37</v>
      </c>
      <c r="H378" t="s">
        <v>89</v>
      </c>
      <c r="I378" t="s">
        <v>26</v>
      </c>
      <c r="J378" t="s">
        <v>39</v>
      </c>
      <c r="K378" t="s">
        <v>40</v>
      </c>
      <c r="L378" t="s">
        <v>41</v>
      </c>
      <c r="M378" t="s">
        <v>118</v>
      </c>
      <c r="N378" t="s">
        <v>741</v>
      </c>
      <c r="O378" t="s">
        <v>188</v>
      </c>
      <c r="P378" t="s">
        <v>189</v>
      </c>
      <c r="Q378" t="s">
        <v>386</v>
      </c>
      <c r="R378" t="s">
        <v>942</v>
      </c>
      <c r="S378">
        <v>2</v>
      </c>
      <c r="T378">
        <v>0.25</v>
      </c>
      <c r="U378">
        <v>-135.54</v>
      </c>
    </row>
    <row r="379" spans="1:21">
      <c r="A379">
        <v>1603</v>
      </c>
      <c r="B379" t="s">
        <v>943</v>
      </c>
      <c r="C379" s="1">
        <v>45526</v>
      </c>
      <c r="D379" s="1">
        <v>45527</v>
      </c>
      <c r="E379" t="s">
        <v>22</v>
      </c>
      <c r="F379" t="s">
        <v>238</v>
      </c>
      <c r="G379" t="s">
        <v>71</v>
      </c>
      <c r="H379" t="s">
        <v>108</v>
      </c>
      <c r="I379" t="s">
        <v>26</v>
      </c>
      <c r="J379" t="s">
        <v>160</v>
      </c>
      <c r="K379" t="s">
        <v>161</v>
      </c>
      <c r="L379" t="s">
        <v>154</v>
      </c>
      <c r="M379" t="s">
        <v>42</v>
      </c>
      <c r="N379" t="s">
        <v>944</v>
      </c>
      <c r="O379" t="s">
        <v>83</v>
      </c>
      <c r="P379" t="s">
        <v>84</v>
      </c>
      <c r="Q379" t="s">
        <v>85</v>
      </c>
      <c r="R379">
        <v>17248.599999999999</v>
      </c>
      <c r="S379">
        <v>6</v>
      </c>
      <c r="T379">
        <v>0.1</v>
      </c>
      <c r="U379">
        <v>3622.42</v>
      </c>
    </row>
    <row r="380" spans="1:21">
      <c r="A380">
        <v>1660</v>
      </c>
      <c r="B380" t="s">
        <v>945</v>
      </c>
      <c r="C380" s="1">
        <v>45478</v>
      </c>
      <c r="D380" s="1">
        <v>45484</v>
      </c>
      <c r="E380" t="s">
        <v>22</v>
      </c>
      <c r="F380" t="s">
        <v>238</v>
      </c>
      <c r="G380" t="s">
        <v>88</v>
      </c>
      <c r="H380" t="s">
        <v>51</v>
      </c>
      <c r="I380" t="s">
        <v>26</v>
      </c>
      <c r="J380" t="s">
        <v>226</v>
      </c>
      <c r="K380" t="s">
        <v>110</v>
      </c>
      <c r="L380" t="s">
        <v>92</v>
      </c>
      <c r="M380" t="s">
        <v>30</v>
      </c>
      <c r="N380" t="s">
        <v>946</v>
      </c>
      <c r="O380" t="s">
        <v>138</v>
      </c>
      <c r="P380" t="s">
        <v>139</v>
      </c>
      <c r="Q380" t="s">
        <v>140</v>
      </c>
      <c r="R380">
        <v>664.81</v>
      </c>
      <c r="S380">
        <v>1</v>
      </c>
      <c r="T380">
        <v>0.25</v>
      </c>
      <c r="U380">
        <v>19.45</v>
      </c>
    </row>
    <row r="381" spans="1:21">
      <c r="A381">
        <v>1186</v>
      </c>
      <c r="B381" t="s">
        <v>947</v>
      </c>
      <c r="C381" s="1">
        <v>45469</v>
      </c>
      <c r="D381" s="1">
        <v>45473</v>
      </c>
      <c r="E381" t="s">
        <v>48</v>
      </c>
      <c r="F381" t="s">
        <v>645</v>
      </c>
      <c r="G381" t="s">
        <v>948</v>
      </c>
      <c r="H381" t="s">
        <v>51</v>
      </c>
      <c r="I381" t="s">
        <v>26</v>
      </c>
      <c r="J381" t="s">
        <v>166</v>
      </c>
      <c r="K381" t="s">
        <v>132</v>
      </c>
      <c r="L381" t="s">
        <v>154</v>
      </c>
      <c r="M381" t="s">
        <v>30</v>
      </c>
      <c r="N381" t="s">
        <v>949</v>
      </c>
      <c r="O381" t="s">
        <v>55</v>
      </c>
      <c r="P381" t="s">
        <v>66</v>
      </c>
      <c r="Q381" t="s">
        <v>67</v>
      </c>
      <c r="R381">
        <v>55699.41</v>
      </c>
      <c r="S381">
        <v>7</v>
      </c>
      <c r="T381" t="s">
        <v>717</v>
      </c>
      <c r="U381">
        <v>6765.12</v>
      </c>
    </row>
    <row r="382" spans="1:21">
      <c r="A382">
        <v>1513</v>
      </c>
      <c r="B382" t="s">
        <v>950</v>
      </c>
      <c r="C382" s="1">
        <v>45317</v>
      </c>
      <c r="D382" s="1">
        <v>45319</v>
      </c>
      <c r="E382" t="s">
        <v>69</v>
      </c>
      <c r="F382" t="s">
        <v>345</v>
      </c>
      <c r="G382" t="s">
        <v>125</v>
      </c>
      <c r="H382" t="s">
        <v>51</v>
      </c>
      <c r="I382" t="s">
        <v>26</v>
      </c>
      <c r="J382" t="s">
        <v>79</v>
      </c>
      <c r="K382" t="s">
        <v>80</v>
      </c>
      <c r="L382" t="s">
        <v>63</v>
      </c>
      <c r="M382" t="s">
        <v>74</v>
      </c>
      <c r="N382" t="s">
        <v>951</v>
      </c>
      <c r="O382" t="s">
        <v>44</v>
      </c>
      <c r="P382" t="s">
        <v>207</v>
      </c>
      <c r="Q382" t="s">
        <v>208</v>
      </c>
      <c r="R382">
        <v>150380</v>
      </c>
      <c r="S382">
        <v>3</v>
      </c>
      <c r="T382">
        <v>0.1</v>
      </c>
      <c r="U382">
        <v>6679.85</v>
      </c>
    </row>
    <row r="383" spans="1:21">
      <c r="A383">
        <v>1474</v>
      </c>
      <c r="B383" t="s">
        <v>952</v>
      </c>
      <c r="C383" s="1">
        <v>45345</v>
      </c>
      <c r="D383" s="1">
        <v>45347</v>
      </c>
      <c r="E383" t="s">
        <v>69</v>
      </c>
      <c r="F383" t="s">
        <v>198</v>
      </c>
      <c r="G383" t="s">
        <v>37</v>
      </c>
      <c r="H383" t="s">
        <v>25</v>
      </c>
      <c r="I383" t="s">
        <v>26</v>
      </c>
      <c r="J383" t="s">
        <v>27</v>
      </c>
      <c r="K383" t="s">
        <v>28</v>
      </c>
      <c r="L383" t="s">
        <v>117</v>
      </c>
      <c r="M383" t="s">
        <v>81</v>
      </c>
      <c r="N383" t="s">
        <v>602</v>
      </c>
      <c r="O383" t="s">
        <v>138</v>
      </c>
      <c r="P383" t="s">
        <v>156</v>
      </c>
      <c r="Q383" t="s">
        <v>157</v>
      </c>
      <c r="R383">
        <v>1073.77</v>
      </c>
      <c r="S383">
        <v>4</v>
      </c>
      <c r="T383">
        <v>0.25</v>
      </c>
      <c r="U383">
        <v>48.32</v>
      </c>
    </row>
    <row r="384" spans="1:21">
      <c r="A384">
        <v>1417</v>
      </c>
      <c r="B384" t="s">
        <v>953</v>
      </c>
      <c r="C384" s="1">
        <v>45509</v>
      </c>
      <c r="D384" s="1">
        <v>45511</v>
      </c>
      <c r="E384" t="s">
        <v>48</v>
      </c>
      <c r="F384" t="s">
        <v>434</v>
      </c>
      <c r="G384" t="s">
        <v>147</v>
      </c>
      <c r="H384" t="s">
        <v>25</v>
      </c>
      <c r="I384" t="s">
        <v>26</v>
      </c>
      <c r="J384" t="s">
        <v>109</v>
      </c>
      <c r="K384" t="s">
        <v>110</v>
      </c>
      <c r="L384" t="s">
        <v>103</v>
      </c>
      <c r="M384" t="s">
        <v>127</v>
      </c>
      <c r="N384" t="s">
        <v>275</v>
      </c>
      <c r="O384" t="s">
        <v>55</v>
      </c>
      <c r="P384" t="s">
        <v>56</v>
      </c>
      <c r="Q384" t="s">
        <v>57</v>
      </c>
      <c r="R384">
        <v>27145.07</v>
      </c>
      <c r="S384">
        <v>4</v>
      </c>
      <c r="T384">
        <v>0</v>
      </c>
      <c r="U384">
        <v>3640.45</v>
      </c>
    </row>
    <row r="385" spans="1:21">
      <c r="A385">
        <v>1748</v>
      </c>
      <c r="B385" t="s">
        <v>954</v>
      </c>
      <c r="C385" s="1">
        <v>45355</v>
      </c>
      <c r="D385" s="1">
        <v>45359</v>
      </c>
      <c r="E385" t="s">
        <v>48</v>
      </c>
      <c r="F385" t="s">
        <v>242</v>
      </c>
      <c r="G385" t="s">
        <v>107</v>
      </c>
      <c r="H385" t="s">
        <v>51</v>
      </c>
      <c r="I385" t="s">
        <v>26</v>
      </c>
      <c r="J385" t="s">
        <v>61</v>
      </c>
      <c r="K385" t="s">
        <v>62</v>
      </c>
      <c r="L385" t="s">
        <v>29</v>
      </c>
      <c r="M385" t="s">
        <v>74</v>
      </c>
      <c r="N385" t="s">
        <v>955</v>
      </c>
      <c r="O385" t="s">
        <v>138</v>
      </c>
      <c r="P385" t="s">
        <v>139</v>
      </c>
      <c r="Q385" t="s">
        <v>140</v>
      </c>
      <c r="R385">
        <v>965.72</v>
      </c>
      <c r="S385">
        <v>1</v>
      </c>
      <c r="T385">
        <v>0</v>
      </c>
      <c r="U385">
        <v>209.39</v>
      </c>
    </row>
    <row r="386" spans="1:21">
      <c r="A386">
        <v>1418</v>
      </c>
      <c r="B386" t="s">
        <v>956</v>
      </c>
      <c r="C386" s="1">
        <v>45294</v>
      </c>
      <c r="D386" s="1">
        <v>45300</v>
      </c>
      <c r="E386" t="s">
        <v>22</v>
      </c>
      <c r="F386" t="s">
        <v>649</v>
      </c>
      <c r="G386" t="s">
        <v>136</v>
      </c>
      <c r="H386" t="s">
        <v>126</v>
      </c>
      <c r="I386" t="s">
        <v>26</v>
      </c>
      <c r="J386" t="s">
        <v>115</v>
      </c>
      <c r="K386" t="s">
        <v>116</v>
      </c>
      <c r="L386" t="s">
        <v>263</v>
      </c>
      <c r="M386" t="s">
        <v>170</v>
      </c>
      <c r="N386" t="s">
        <v>831</v>
      </c>
      <c r="O386" t="s">
        <v>138</v>
      </c>
      <c r="P386" t="s">
        <v>139</v>
      </c>
      <c r="Q386" t="s">
        <v>140</v>
      </c>
      <c r="R386">
        <v>1709.55</v>
      </c>
      <c r="S386">
        <v>2</v>
      </c>
      <c r="T386">
        <v>0.1</v>
      </c>
      <c r="U386">
        <v>221.43</v>
      </c>
    </row>
    <row r="387" spans="1:21">
      <c r="A387">
        <v>1322</v>
      </c>
      <c r="B387" t="s">
        <v>957</v>
      </c>
      <c r="C387" s="1">
        <v>45559</v>
      </c>
      <c r="D387" s="1">
        <v>45563</v>
      </c>
      <c r="E387" t="s">
        <v>101</v>
      </c>
      <c r="F387" t="s">
        <v>649</v>
      </c>
      <c r="G387" t="s">
        <v>71</v>
      </c>
      <c r="H387" t="s">
        <v>25</v>
      </c>
      <c r="I387" t="s">
        <v>26</v>
      </c>
      <c r="J387" t="s">
        <v>109</v>
      </c>
      <c r="K387" t="s">
        <v>110</v>
      </c>
      <c r="L387" t="s">
        <v>92</v>
      </c>
      <c r="M387" t="s">
        <v>118</v>
      </c>
      <c r="N387" t="s">
        <v>655</v>
      </c>
      <c r="O387" t="s">
        <v>83</v>
      </c>
      <c r="P387" t="s">
        <v>84</v>
      </c>
      <c r="Q387" t="s">
        <v>85</v>
      </c>
      <c r="R387">
        <v>6867.59</v>
      </c>
      <c r="S387">
        <v>3</v>
      </c>
      <c r="T387">
        <v>0.25</v>
      </c>
      <c r="U387">
        <v>549.08000000000004</v>
      </c>
    </row>
    <row r="388" spans="1:21">
      <c r="A388">
        <v>1354</v>
      </c>
      <c r="B388" t="s">
        <v>958</v>
      </c>
      <c r="C388" s="1">
        <v>45436</v>
      </c>
      <c r="D388" s="1">
        <v>45437</v>
      </c>
      <c r="E388" t="s">
        <v>22</v>
      </c>
      <c r="F388" t="s">
        <v>461</v>
      </c>
      <c r="G388" t="s">
        <v>107</v>
      </c>
      <c r="H388" t="s">
        <v>51</v>
      </c>
      <c r="I388" t="s">
        <v>26</v>
      </c>
      <c r="J388" t="s">
        <v>160</v>
      </c>
      <c r="K388" t="s">
        <v>161</v>
      </c>
      <c r="L388" t="s">
        <v>92</v>
      </c>
      <c r="M388" t="s">
        <v>127</v>
      </c>
      <c r="N388" t="s">
        <v>959</v>
      </c>
      <c r="O388" t="s">
        <v>44</v>
      </c>
      <c r="P388" t="s">
        <v>211</v>
      </c>
      <c r="Q388" t="s">
        <v>212</v>
      </c>
      <c r="R388">
        <v>6995.35</v>
      </c>
      <c r="S388">
        <v>6</v>
      </c>
      <c r="T388">
        <v>0</v>
      </c>
      <c r="U388">
        <v>888.71</v>
      </c>
    </row>
    <row r="389" spans="1:21">
      <c r="A389">
        <v>1721</v>
      </c>
      <c r="B389" t="s">
        <v>960</v>
      </c>
      <c r="C389" s="1">
        <v>45322</v>
      </c>
      <c r="D389" s="1">
        <v>45325</v>
      </c>
      <c r="E389" t="s">
        <v>48</v>
      </c>
      <c r="F389" t="s">
        <v>708</v>
      </c>
      <c r="G389" t="s">
        <v>136</v>
      </c>
      <c r="H389" t="s">
        <v>89</v>
      </c>
      <c r="I389" t="s">
        <v>26</v>
      </c>
      <c r="J389" t="s">
        <v>27</v>
      </c>
      <c r="K389" t="s">
        <v>28</v>
      </c>
      <c r="L389" t="s">
        <v>63</v>
      </c>
      <c r="M389" t="s">
        <v>74</v>
      </c>
      <c r="N389" t="s">
        <v>961</v>
      </c>
      <c r="O389" t="s">
        <v>144</v>
      </c>
      <c r="P389" t="s">
        <v>66</v>
      </c>
      <c r="Q389" t="s">
        <v>67</v>
      </c>
      <c r="R389">
        <v>73112.639999999999</v>
      </c>
      <c r="S389">
        <v>8</v>
      </c>
      <c r="T389">
        <v>0</v>
      </c>
      <c r="U389">
        <v>9322.74</v>
      </c>
    </row>
    <row r="390" spans="1:21">
      <c r="A390">
        <v>1143</v>
      </c>
      <c r="B390" t="s">
        <v>962</v>
      </c>
      <c r="C390" s="1">
        <v>45305</v>
      </c>
      <c r="D390" s="1">
        <v>45309</v>
      </c>
      <c r="E390" t="s">
        <v>22</v>
      </c>
      <c r="F390" t="s">
        <v>238</v>
      </c>
      <c r="G390" t="s">
        <v>136</v>
      </c>
      <c r="H390" t="s">
        <v>51</v>
      </c>
      <c r="I390" t="s">
        <v>26</v>
      </c>
      <c r="J390" t="s">
        <v>131</v>
      </c>
      <c r="K390" t="s">
        <v>132</v>
      </c>
      <c r="L390" t="s">
        <v>63</v>
      </c>
      <c r="M390" t="s">
        <v>30</v>
      </c>
      <c r="N390" t="s">
        <v>204</v>
      </c>
      <c r="O390" t="s">
        <v>188</v>
      </c>
      <c r="P390" t="s">
        <v>189</v>
      </c>
      <c r="Q390" t="s">
        <v>190</v>
      </c>
      <c r="R390">
        <v>9396.23</v>
      </c>
      <c r="S390">
        <v>2</v>
      </c>
      <c r="T390">
        <v>0.2</v>
      </c>
      <c r="U390">
        <v>0</v>
      </c>
    </row>
    <row r="391" spans="1:21">
      <c r="A391">
        <v>1483</v>
      </c>
      <c r="B391" t="s">
        <v>963</v>
      </c>
      <c r="C391" s="1">
        <v>45405</v>
      </c>
      <c r="D391" s="1">
        <v>45409</v>
      </c>
      <c r="E391" t="s">
        <v>48</v>
      </c>
      <c r="F391" t="s">
        <v>274</v>
      </c>
      <c r="G391" t="s">
        <v>37</v>
      </c>
      <c r="H391" t="s">
        <v>108</v>
      </c>
      <c r="I391" t="s">
        <v>26</v>
      </c>
      <c r="J391" t="s">
        <v>90</v>
      </c>
      <c r="K391" t="s">
        <v>91</v>
      </c>
      <c r="L391" t="s">
        <v>92</v>
      </c>
      <c r="M391" t="s">
        <v>30</v>
      </c>
      <c r="N391" t="s">
        <v>964</v>
      </c>
      <c r="O391" t="s">
        <v>83</v>
      </c>
      <c r="P391" t="s">
        <v>33</v>
      </c>
      <c r="Q391" t="s">
        <v>34</v>
      </c>
      <c r="R391">
        <v>10821.34</v>
      </c>
      <c r="S391">
        <v>8</v>
      </c>
      <c r="T391">
        <v>0</v>
      </c>
      <c r="U391">
        <v>2510.11</v>
      </c>
    </row>
    <row r="392" spans="1:21">
      <c r="A392">
        <v>1142</v>
      </c>
      <c r="B392" t="s">
        <v>965</v>
      </c>
      <c r="C392" s="1">
        <v>45437</v>
      </c>
      <c r="D392" s="1">
        <v>45438</v>
      </c>
      <c r="E392" t="s">
        <v>69</v>
      </c>
      <c r="F392" t="s">
        <v>266</v>
      </c>
      <c r="G392" t="s">
        <v>165</v>
      </c>
      <c r="H392" t="s">
        <v>25</v>
      </c>
      <c r="I392" t="s">
        <v>26</v>
      </c>
      <c r="J392" t="s">
        <v>61</v>
      </c>
      <c r="K392" t="s">
        <v>62</v>
      </c>
      <c r="L392" t="s">
        <v>92</v>
      </c>
      <c r="M392" t="s">
        <v>127</v>
      </c>
      <c r="N392" t="s">
        <v>966</v>
      </c>
      <c r="O392" t="s">
        <v>55</v>
      </c>
      <c r="P392" t="s">
        <v>56</v>
      </c>
      <c r="Q392" t="s">
        <v>57</v>
      </c>
      <c r="R392">
        <v>7056.67</v>
      </c>
      <c r="S392">
        <v>1</v>
      </c>
      <c r="T392">
        <v>0</v>
      </c>
      <c r="U392">
        <v>899.86</v>
      </c>
    </row>
    <row r="393" spans="1:21">
      <c r="A393">
        <v>1590</v>
      </c>
      <c r="B393" t="s">
        <v>967</v>
      </c>
      <c r="C393" s="1">
        <v>45483</v>
      </c>
      <c r="D393" s="1">
        <v>45485</v>
      </c>
      <c r="E393" t="s">
        <v>101</v>
      </c>
      <c r="F393" t="s">
        <v>593</v>
      </c>
      <c r="G393" t="s">
        <v>107</v>
      </c>
      <c r="H393" t="s">
        <v>108</v>
      </c>
      <c r="I393" t="s">
        <v>26</v>
      </c>
      <c r="J393" t="s">
        <v>166</v>
      </c>
      <c r="K393" t="s">
        <v>132</v>
      </c>
      <c r="L393" t="s">
        <v>63</v>
      </c>
      <c r="M393" t="s">
        <v>42</v>
      </c>
      <c r="N393" t="s">
        <v>303</v>
      </c>
      <c r="O393" t="s">
        <v>293</v>
      </c>
      <c r="P393" t="s">
        <v>211</v>
      </c>
      <c r="Q393" t="s">
        <v>223</v>
      </c>
      <c r="R393">
        <v>2812.76</v>
      </c>
      <c r="S393">
        <v>2</v>
      </c>
      <c r="T393">
        <v>0.25</v>
      </c>
      <c r="U393">
        <v>-150.72</v>
      </c>
    </row>
    <row r="394" spans="1:21">
      <c r="A394">
        <v>1321</v>
      </c>
      <c r="B394" t="s">
        <v>968</v>
      </c>
      <c r="C394" s="1">
        <v>45648</v>
      </c>
      <c r="D394" s="1">
        <v>45654</v>
      </c>
      <c r="E394" t="s">
        <v>22</v>
      </c>
      <c r="F394" t="s">
        <v>285</v>
      </c>
      <c r="G394" t="s">
        <v>125</v>
      </c>
      <c r="H394" t="s">
        <v>25</v>
      </c>
      <c r="I394" t="s">
        <v>26</v>
      </c>
      <c r="J394" t="s">
        <v>115</v>
      </c>
      <c r="K394" t="s">
        <v>116</v>
      </c>
      <c r="L394" t="s">
        <v>63</v>
      </c>
      <c r="M394" t="s">
        <v>127</v>
      </c>
      <c r="N394" t="s">
        <v>969</v>
      </c>
      <c r="O394" t="s">
        <v>44</v>
      </c>
      <c r="P394" t="s">
        <v>211</v>
      </c>
      <c r="Q394" t="s">
        <v>223</v>
      </c>
      <c r="R394">
        <v>4736.07</v>
      </c>
      <c r="S394">
        <v>3</v>
      </c>
      <c r="T394">
        <v>0.05</v>
      </c>
      <c r="U394">
        <v>334.39</v>
      </c>
    </row>
    <row r="395" spans="1:21">
      <c r="A395">
        <v>1020</v>
      </c>
      <c r="B395" t="s">
        <v>970</v>
      </c>
      <c r="C395" s="1">
        <v>45419</v>
      </c>
      <c r="D395" s="1">
        <v>45421</v>
      </c>
      <c r="E395" t="s">
        <v>69</v>
      </c>
      <c r="F395" t="s">
        <v>420</v>
      </c>
      <c r="G395" t="s">
        <v>165</v>
      </c>
      <c r="H395" t="s">
        <v>51</v>
      </c>
      <c r="I395" t="s">
        <v>26</v>
      </c>
      <c r="J395" t="s">
        <v>90</v>
      </c>
      <c r="K395" t="s">
        <v>91</v>
      </c>
      <c r="L395" t="s">
        <v>92</v>
      </c>
      <c r="M395" t="s">
        <v>118</v>
      </c>
      <c r="N395" t="s">
        <v>971</v>
      </c>
      <c r="O395" t="s">
        <v>44</v>
      </c>
      <c r="P395" t="s">
        <v>45</v>
      </c>
      <c r="Q395" t="s">
        <v>46</v>
      </c>
      <c r="R395">
        <v>148244.73000000001</v>
      </c>
      <c r="S395">
        <v>4</v>
      </c>
      <c r="T395">
        <v>0</v>
      </c>
      <c r="U395">
        <v>15818.96</v>
      </c>
    </row>
    <row r="396" spans="1:21">
      <c r="A396">
        <v>1173</v>
      </c>
      <c r="B396" t="s">
        <v>972</v>
      </c>
      <c r="C396" s="1">
        <v>45493</v>
      </c>
      <c r="D396" s="1">
        <v>45498</v>
      </c>
      <c r="E396" t="s">
        <v>101</v>
      </c>
      <c r="F396" t="s">
        <v>395</v>
      </c>
      <c r="G396" t="s">
        <v>107</v>
      </c>
      <c r="H396" t="s">
        <v>108</v>
      </c>
      <c r="I396" t="s">
        <v>26</v>
      </c>
      <c r="J396" t="s">
        <v>39</v>
      </c>
      <c r="K396" t="s">
        <v>40</v>
      </c>
      <c r="L396" t="s">
        <v>63</v>
      </c>
      <c r="M396" t="s">
        <v>74</v>
      </c>
      <c r="N396" t="s">
        <v>554</v>
      </c>
      <c r="O396" t="s">
        <v>240</v>
      </c>
      <c r="P396" t="s">
        <v>182</v>
      </c>
      <c r="Q396" t="s">
        <v>183</v>
      </c>
      <c r="R396">
        <v>1328.08</v>
      </c>
      <c r="S396">
        <v>3</v>
      </c>
      <c r="T396">
        <v>0</v>
      </c>
      <c r="U396">
        <v>281</v>
      </c>
    </row>
    <row r="397" spans="1:21">
      <c r="A397">
        <v>1619</v>
      </c>
      <c r="B397" t="s">
        <v>834</v>
      </c>
      <c r="C397" s="1">
        <v>45406</v>
      </c>
      <c r="D397" s="1">
        <v>45407</v>
      </c>
      <c r="E397" t="s">
        <v>22</v>
      </c>
      <c r="F397" t="s">
        <v>309</v>
      </c>
      <c r="G397" t="s">
        <v>78</v>
      </c>
      <c r="H397" t="s">
        <v>25</v>
      </c>
      <c r="I397" t="s">
        <v>26</v>
      </c>
      <c r="J397" t="s">
        <v>61</v>
      </c>
      <c r="K397" t="s">
        <v>62</v>
      </c>
      <c r="L397" t="s">
        <v>63</v>
      </c>
      <c r="M397" t="s">
        <v>81</v>
      </c>
      <c r="N397" t="s">
        <v>835</v>
      </c>
      <c r="O397" t="s">
        <v>55</v>
      </c>
      <c r="P397" t="s">
        <v>66</v>
      </c>
      <c r="Q397" t="s">
        <v>67</v>
      </c>
      <c r="R397">
        <v>12593.74</v>
      </c>
      <c r="S397">
        <v>2</v>
      </c>
      <c r="T397">
        <v>0.3</v>
      </c>
      <c r="U397">
        <v>-434.88</v>
      </c>
    </row>
    <row r="398" spans="1:21">
      <c r="A398">
        <v>1313</v>
      </c>
      <c r="B398" t="s">
        <v>973</v>
      </c>
      <c r="C398" s="1">
        <v>45316</v>
      </c>
      <c r="D398" s="1">
        <v>45320</v>
      </c>
      <c r="E398" t="s">
        <v>101</v>
      </c>
      <c r="F398" t="s">
        <v>214</v>
      </c>
      <c r="G398" t="s">
        <v>37</v>
      </c>
      <c r="H398" t="s">
        <v>51</v>
      </c>
      <c r="I398" t="s">
        <v>26</v>
      </c>
      <c r="J398" t="s">
        <v>160</v>
      </c>
      <c r="K398" t="s">
        <v>161</v>
      </c>
      <c r="L398" t="s">
        <v>92</v>
      </c>
      <c r="M398" t="s">
        <v>118</v>
      </c>
      <c r="N398" t="s">
        <v>974</v>
      </c>
      <c r="O398" t="s">
        <v>44</v>
      </c>
      <c r="P398" t="s">
        <v>45</v>
      </c>
      <c r="Q398" t="s">
        <v>46</v>
      </c>
      <c r="R398">
        <v>183405.74</v>
      </c>
      <c r="S398">
        <v>5</v>
      </c>
      <c r="T398">
        <v>0</v>
      </c>
      <c r="U398">
        <v>18852.32</v>
      </c>
    </row>
    <row r="399" spans="1:21">
      <c r="A399">
        <v>1391</v>
      </c>
      <c r="B399" t="s">
        <v>975</v>
      </c>
      <c r="C399" s="1">
        <v>45620</v>
      </c>
      <c r="D399" s="1">
        <v>45626</v>
      </c>
      <c r="E399" t="s">
        <v>22</v>
      </c>
      <c r="F399" t="s">
        <v>106</v>
      </c>
      <c r="G399" t="s">
        <v>24</v>
      </c>
      <c r="H399" t="s">
        <v>51</v>
      </c>
      <c r="I399" t="s">
        <v>26</v>
      </c>
      <c r="J399" t="s">
        <v>109</v>
      </c>
      <c r="K399" t="s">
        <v>110</v>
      </c>
      <c r="L399" t="s">
        <v>41</v>
      </c>
      <c r="M399" t="s">
        <v>81</v>
      </c>
      <c r="N399" t="s">
        <v>976</v>
      </c>
      <c r="O399" t="s">
        <v>55</v>
      </c>
      <c r="P399" t="s">
        <v>56</v>
      </c>
      <c r="Q399" t="s">
        <v>57</v>
      </c>
      <c r="R399">
        <v>29693.71</v>
      </c>
      <c r="S399">
        <v>4</v>
      </c>
      <c r="T399">
        <v>0</v>
      </c>
      <c r="U399">
        <v>4852.49</v>
      </c>
    </row>
    <row r="400" spans="1:21">
      <c r="A400">
        <v>1706</v>
      </c>
      <c r="B400" t="s">
        <v>977</v>
      </c>
      <c r="C400" s="1">
        <v>45551</v>
      </c>
      <c r="D400" s="1">
        <v>45553</v>
      </c>
      <c r="E400" t="s">
        <v>48</v>
      </c>
      <c r="F400" t="s">
        <v>404</v>
      </c>
      <c r="G400" t="s">
        <v>114</v>
      </c>
      <c r="H400" t="s">
        <v>51</v>
      </c>
      <c r="I400" t="s">
        <v>26</v>
      </c>
      <c r="J400" t="s">
        <v>115</v>
      </c>
      <c r="K400" t="s">
        <v>116</v>
      </c>
      <c r="L400" t="s">
        <v>29</v>
      </c>
      <c r="M400" t="s">
        <v>30</v>
      </c>
      <c r="N400" t="s">
        <v>978</v>
      </c>
      <c r="O400" t="s">
        <v>83</v>
      </c>
      <c r="P400" t="s">
        <v>33</v>
      </c>
      <c r="Q400" t="s">
        <v>34</v>
      </c>
      <c r="R400">
        <v>2401.4</v>
      </c>
      <c r="S400">
        <v>2</v>
      </c>
      <c r="T400">
        <v>0.1</v>
      </c>
      <c r="U400">
        <v>358.05</v>
      </c>
    </row>
    <row r="401" spans="1:21">
      <c r="A401">
        <v>1013</v>
      </c>
      <c r="B401" t="s">
        <v>979</v>
      </c>
      <c r="C401" s="1">
        <v>45612</v>
      </c>
      <c r="D401" s="1">
        <v>45615</v>
      </c>
      <c r="E401" t="s">
        <v>69</v>
      </c>
      <c r="F401" t="s">
        <v>309</v>
      </c>
      <c r="G401" t="s">
        <v>174</v>
      </c>
      <c r="H401" t="s">
        <v>108</v>
      </c>
      <c r="I401" t="s">
        <v>26</v>
      </c>
      <c r="J401" t="s">
        <v>160</v>
      </c>
      <c r="K401" t="s">
        <v>161</v>
      </c>
      <c r="L401" t="s">
        <v>92</v>
      </c>
      <c r="M401" t="s">
        <v>170</v>
      </c>
      <c r="N401" t="s">
        <v>175</v>
      </c>
      <c r="O401" t="s">
        <v>55</v>
      </c>
      <c r="P401" t="s">
        <v>66</v>
      </c>
      <c r="Q401" t="s">
        <v>67</v>
      </c>
      <c r="R401">
        <v>33761.019999999997</v>
      </c>
      <c r="S401">
        <v>4</v>
      </c>
      <c r="T401">
        <v>0</v>
      </c>
      <c r="U401">
        <v>6171.99</v>
      </c>
    </row>
    <row r="402" spans="1:21">
      <c r="A402">
        <v>1306</v>
      </c>
      <c r="B402" t="s">
        <v>980</v>
      </c>
      <c r="C402" s="1">
        <v>45381</v>
      </c>
      <c r="D402" s="1">
        <v>45385</v>
      </c>
      <c r="E402" t="s">
        <v>22</v>
      </c>
      <c r="F402" t="s">
        <v>185</v>
      </c>
      <c r="G402" t="s">
        <v>229</v>
      </c>
      <c r="H402" t="s">
        <v>302</v>
      </c>
      <c r="I402" t="s">
        <v>26</v>
      </c>
      <c r="J402" t="s">
        <v>61</v>
      </c>
      <c r="K402" t="s">
        <v>62</v>
      </c>
      <c r="M402" t="s">
        <v>170</v>
      </c>
      <c r="N402" t="s">
        <v>558</v>
      </c>
      <c r="O402" t="s">
        <v>83</v>
      </c>
      <c r="P402" t="s">
        <v>84</v>
      </c>
      <c r="Q402" t="s">
        <v>85</v>
      </c>
      <c r="R402">
        <v>7558.53</v>
      </c>
      <c r="S402">
        <v>0</v>
      </c>
      <c r="T402">
        <v>0.15</v>
      </c>
      <c r="U402">
        <v>1325.24</v>
      </c>
    </row>
    <row r="403" spans="1:21">
      <c r="A403">
        <v>1355</v>
      </c>
      <c r="B403" t="s">
        <v>981</v>
      </c>
      <c r="C403" s="1">
        <v>45443</v>
      </c>
      <c r="D403" s="1">
        <v>45445</v>
      </c>
      <c r="E403" t="s">
        <v>22</v>
      </c>
      <c r="F403" t="s">
        <v>198</v>
      </c>
      <c r="G403" t="s">
        <v>165</v>
      </c>
      <c r="H403" t="s">
        <v>126</v>
      </c>
      <c r="I403" t="s">
        <v>26</v>
      </c>
      <c r="J403" t="s">
        <v>61</v>
      </c>
      <c r="K403" t="s">
        <v>62</v>
      </c>
      <c r="L403" t="s">
        <v>92</v>
      </c>
      <c r="M403" t="s">
        <v>81</v>
      </c>
      <c r="N403" t="s">
        <v>643</v>
      </c>
      <c r="O403" t="s">
        <v>138</v>
      </c>
      <c r="P403" t="s">
        <v>121</v>
      </c>
      <c r="Q403" t="s">
        <v>122</v>
      </c>
      <c r="R403">
        <v>936.72</v>
      </c>
      <c r="S403">
        <v>2</v>
      </c>
      <c r="T403">
        <v>0.25</v>
      </c>
      <c r="U403">
        <v>38.31</v>
      </c>
    </row>
    <row r="404" spans="1:21">
      <c r="A404">
        <v>1026</v>
      </c>
      <c r="B404" t="s">
        <v>982</v>
      </c>
      <c r="C404" s="1">
        <v>45414</v>
      </c>
      <c r="D404" s="1">
        <v>45417</v>
      </c>
      <c r="E404" t="s">
        <v>101</v>
      </c>
      <c r="F404" t="s">
        <v>736</v>
      </c>
      <c r="G404" t="s">
        <v>125</v>
      </c>
      <c r="H404" t="s">
        <v>51</v>
      </c>
      <c r="I404" t="s">
        <v>26</v>
      </c>
      <c r="J404" t="s">
        <v>79</v>
      </c>
      <c r="K404" t="s">
        <v>80</v>
      </c>
      <c r="L404" t="s">
        <v>117</v>
      </c>
      <c r="M404" t="s">
        <v>118</v>
      </c>
      <c r="N404" t="s">
        <v>747</v>
      </c>
      <c r="O404" t="s">
        <v>138</v>
      </c>
      <c r="P404" t="s">
        <v>121</v>
      </c>
      <c r="Q404" t="s">
        <v>122</v>
      </c>
      <c r="R404">
        <v>1118.1400000000001</v>
      </c>
      <c r="S404">
        <v>2</v>
      </c>
      <c r="T404">
        <v>0.2</v>
      </c>
      <c r="U404">
        <v>89.04</v>
      </c>
    </row>
    <row r="405" spans="1:21">
      <c r="A405">
        <v>1568</v>
      </c>
      <c r="B405" t="s">
        <v>983</v>
      </c>
      <c r="C405" s="1">
        <v>45427</v>
      </c>
      <c r="D405" s="1">
        <v>45429</v>
      </c>
      <c r="E405" t="s">
        <v>101</v>
      </c>
      <c r="F405" t="s">
        <v>164</v>
      </c>
      <c r="G405" t="s">
        <v>165</v>
      </c>
      <c r="H405" t="s">
        <v>51</v>
      </c>
      <c r="I405" t="s">
        <v>26</v>
      </c>
      <c r="J405" t="s">
        <v>346</v>
      </c>
      <c r="K405" t="s">
        <v>132</v>
      </c>
      <c r="L405" t="s">
        <v>154</v>
      </c>
      <c r="M405" t="s">
        <v>170</v>
      </c>
      <c r="N405" t="s">
        <v>889</v>
      </c>
      <c r="O405" t="s">
        <v>55</v>
      </c>
      <c r="P405" t="s">
        <v>98</v>
      </c>
      <c r="Q405" t="s">
        <v>99</v>
      </c>
      <c r="R405">
        <v>44796.07</v>
      </c>
      <c r="S405">
        <v>8</v>
      </c>
      <c r="T405">
        <v>0.15</v>
      </c>
      <c r="U405">
        <v>2206.39</v>
      </c>
    </row>
    <row r="406" spans="1:21">
      <c r="A406">
        <v>1170</v>
      </c>
      <c r="B406" t="s">
        <v>984</v>
      </c>
      <c r="C406" s="1">
        <v>45452</v>
      </c>
      <c r="D406" s="1">
        <v>45458</v>
      </c>
      <c r="E406" t="s">
        <v>48</v>
      </c>
      <c r="F406" t="s">
        <v>214</v>
      </c>
      <c r="G406" t="s">
        <v>88</v>
      </c>
      <c r="H406" t="s">
        <v>51</v>
      </c>
      <c r="I406" t="s">
        <v>26</v>
      </c>
      <c r="J406" t="s">
        <v>109</v>
      </c>
      <c r="K406" t="s">
        <v>110</v>
      </c>
      <c r="L406" t="s">
        <v>215</v>
      </c>
      <c r="M406" t="s">
        <v>118</v>
      </c>
      <c r="N406" t="s">
        <v>985</v>
      </c>
      <c r="O406" t="s">
        <v>240</v>
      </c>
      <c r="P406" t="s">
        <v>182</v>
      </c>
      <c r="Q406" t="s">
        <v>183</v>
      </c>
      <c r="R406">
        <v>851.47</v>
      </c>
      <c r="S406">
        <v>2</v>
      </c>
      <c r="T406">
        <v>0.05</v>
      </c>
      <c r="U406">
        <v>113.94</v>
      </c>
    </row>
    <row r="407" spans="1:21">
      <c r="A407">
        <v>1039</v>
      </c>
      <c r="B407" t="s">
        <v>986</v>
      </c>
      <c r="C407" s="1">
        <v>45445</v>
      </c>
      <c r="D407" s="1">
        <v>45450</v>
      </c>
      <c r="E407" t="s">
        <v>48</v>
      </c>
      <c r="F407" t="s">
        <v>70</v>
      </c>
      <c r="G407" t="s">
        <v>37</v>
      </c>
      <c r="H407" t="s">
        <v>302</v>
      </c>
      <c r="I407" t="s">
        <v>26</v>
      </c>
      <c r="J407" t="s">
        <v>131</v>
      </c>
      <c r="K407" t="s">
        <v>132</v>
      </c>
      <c r="L407" t="s">
        <v>63</v>
      </c>
      <c r="M407" t="s">
        <v>118</v>
      </c>
      <c r="N407" t="s">
        <v>483</v>
      </c>
      <c r="O407" t="s">
        <v>138</v>
      </c>
      <c r="P407" t="s">
        <v>156</v>
      </c>
      <c r="Q407" t="s">
        <v>157</v>
      </c>
      <c r="R407">
        <v>1189.48</v>
      </c>
      <c r="S407">
        <v>3</v>
      </c>
      <c r="T407">
        <v>0</v>
      </c>
      <c r="U407">
        <v>187.23</v>
      </c>
    </row>
    <row r="408" spans="1:21">
      <c r="A408">
        <v>1486</v>
      </c>
      <c r="B408" t="s">
        <v>987</v>
      </c>
      <c r="C408" s="1">
        <v>45508</v>
      </c>
      <c r="D408" s="1">
        <v>45511</v>
      </c>
      <c r="E408" t="s">
        <v>48</v>
      </c>
      <c r="F408" t="s">
        <v>355</v>
      </c>
      <c r="G408" t="s">
        <v>174</v>
      </c>
      <c r="H408" t="s">
        <v>108</v>
      </c>
      <c r="I408" t="s">
        <v>26</v>
      </c>
      <c r="J408" t="s">
        <v>226</v>
      </c>
      <c r="K408" t="s">
        <v>110</v>
      </c>
      <c r="L408" t="s">
        <v>63</v>
      </c>
      <c r="M408" t="s">
        <v>170</v>
      </c>
      <c r="N408" t="s">
        <v>383</v>
      </c>
      <c r="O408" t="s">
        <v>138</v>
      </c>
      <c r="P408" t="s">
        <v>156</v>
      </c>
      <c r="Q408" t="s">
        <v>157</v>
      </c>
      <c r="R408">
        <v>292.45999999999998</v>
      </c>
      <c r="S408">
        <v>1</v>
      </c>
      <c r="T408">
        <v>0.25</v>
      </c>
      <c r="U408">
        <v>13.36</v>
      </c>
    </row>
    <row r="409" spans="1:21">
      <c r="A409">
        <v>1246</v>
      </c>
      <c r="B409" t="s">
        <v>988</v>
      </c>
      <c r="C409" s="1">
        <v>45303</v>
      </c>
      <c r="D409" s="1">
        <v>45306</v>
      </c>
      <c r="E409" t="s">
        <v>22</v>
      </c>
      <c r="F409" t="s">
        <v>375</v>
      </c>
      <c r="G409" t="s">
        <v>147</v>
      </c>
      <c r="H409" t="s">
        <v>51</v>
      </c>
      <c r="I409" t="s">
        <v>26</v>
      </c>
      <c r="J409" t="s">
        <v>160</v>
      </c>
      <c r="K409" t="s">
        <v>161</v>
      </c>
      <c r="L409" t="s">
        <v>92</v>
      </c>
      <c r="M409" t="s">
        <v>81</v>
      </c>
      <c r="N409" t="s">
        <v>989</v>
      </c>
      <c r="O409" t="s">
        <v>138</v>
      </c>
      <c r="P409" t="s">
        <v>182</v>
      </c>
      <c r="Q409" t="s">
        <v>183</v>
      </c>
      <c r="R409">
        <v>893.61</v>
      </c>
      <c r="S409">
        <v>2</v>
      </c>
      <c r="T409">
        <v>0</v>
      </c>
      <c r="U409">
        <v>189.46</v>
      </c>
    </row>
    <row r="410" spans="1:21">
      <c r="A410">
        <v>1299</v>
      </c>
      <c r="B410" t="s">
        <v>990</v>
      </c>
      <c r="C410" s="1">
        <v>45473</v>
      </c>
      <c r="D410" s="1">
        <v>45475</v>
      </c>
      <c r="E410" t="s">
        <v>69</v>
      </c>
      <c r="F410" t="s">
        <v>660</v>
      </c>
      <c r="G410" t="s">
        <v>78</v>
      </c>
      <c r="H410" t="s">
        <v>51</v>
      </c>
      <c r="I410" t="s">
        <v>26</v>
      </c>
      <c r="J410" t="s">
        <v>109</v>
      </c>
      <c r="K410" t="s">
        <v>110</v>
      </c>
      <c r="L410" t="s">
        <v>29</v>
      </c>
      <c r="M410" t="s">
        <v>30</v>
      </c>
      <c r="N410" t="s">
        <v>991</v>
      </c>
      <c r="O410" t="s">
        <v>138</v>
      </c>
      <c r="P410" t="s">
        <v>182</v>
      </c>
      <c r="Q410" t="s">
        <v>183</v>
      </c>
      <c r="R410">
        <v>1755.84</v>
      </c>
      <c r="S410">
        <v>4</v>
      </c>
      <c r="T410">
        <v>0.05</v>
      </c>
      <c r="U410">
        <v>245.92</v>
      </c>
    </row>
    <row r="411" spans="1:21">
      <c r="A411">
        <v>1633</v>
      </c>
      <c r="B411" t="s">
        <v>992</v>
      </c>
      <c r="C411" s="1">
        <v>45342</v>
      </c>
      <c r="D411" s="1">
        <v>45344</v>
      </c>
      <c r="E411" t="s">
        <v>101</v>
      </c>
      <c r="F411" t="s">
        <v>203</v>
      </c>
      <c r="G411" t="s">
        <v>24</v>
      </c>
      <c r="H411" t="s">
        <v>108</v>
      </c>
      <c r="I411" t="s">
        <v>26</v>
      </c>
      <c r="J411" t="s">
        <v>160</v>
      </c>
      <c r="K411" t="s">
        <v>161</v>
      </c>
      <c r="L411" t="s">
        <v>92</v>
      </c>
      <c r="M411" t="s">
        <v>118</v>
      </c>
      <c r="N411" t="s">
        <v>438</v>
      </c>
      <c r="O411" t="s">
        <v>44</v>
      </c>
      <c r="P411" t="s">
        <v>211</v>
      </c>
      <c r="Q411" t="s">
        <v>223</v>
      </c>
      <c r="R411">
        <v>1659.35</v>
      </c>
      <c r="S411">
        <v>1</v>
      </c>
      <c r="T411">
        <v>0</v>
      </c>
      <c r="U411">
        <v>143.51</v>
      </c>
    </row>
    <row r="412" spans="1:21">
      <c r="A412">
        <v>1520</v>
      </c>
      <c r="B412" t="s">
        <v>993</v>
      </c>
      <c r="C412" s="1">
        <v>45607</v>
      </c>
      <c r="D412" s="1">
        <v>45611</v>
      </c>
      <c r="E412" t="s">
        <v>101</v>
      </c>
      <c r="F412" t="s">
        <v>517</v>
      </c>
      <c r="G412" t="s">
        <v>174</v>
      </c>
      <c r="H412" t="s">
        <v>25</v>
      </c>
      <c r="I412" t="s">
        <v>26</v>
      </c>
      <c r="J412" t="s">
        <v>346</v>
      </c>
      <c r="K412" t="s">
        <v>132</v>
      </c>
      <c r="L412" t="s">
        <v>63</v>
      </c>
      <c r="M412" t="s">
        <v>170</v>
      </c>
      <c r="N412" t="s">
        <v>994</v>
      </c>
      <c r="O412" t="s">
        <v>240</v>
      </c>
      <c r="P412" t="s">
        <v>182</v>
      </c>
      <c r="Q412" t="s">
        <v>183</v>
      </c>
      <c r="R412">
        <v>376.84</v>
      </c>
      <c r="S412">
        <v>1</v>
      </c>
      <c r="T412">
        <v>0.1</v>
      </c>
      <c r="U412">
        <v>46.17</v>
      </c>
    </row>
    <row r="413" spans="1:21">
      <c r="A413">
        <v>1273</v>
      </c>
      <c r="B413" t="s">
        <v>995</v>
      </c>
      <c r="C413" s="1">
        <v>45629</v>
      </c>
      <c r="D413" s="1">
        <v>45632</v>
      </c>
      <c r="E413" t="s">
        <v>69</v>
      </c>
      <c r="F413" t="s">
        <v>277</v>
      </c>
      <c r="G413" t="s">
        <v>114</v>
      </c>
      <c r="H413" t="s">
        <v>25</v>
      </c>
      <c r="I413" t="s">
        <v>26</v>
      </c>
      <c r="J413" t="s">
        <v>79</v>
      </c>
      <c r="K413" t="s">
        <v>80</v>
      </c>
      <c r="L413" t="s">
        <v>92</v>
      </c>
      <c r="M413" t="s">
        <v>81</v>
      </c>
      <c r="N413" t="s">
        <v>996</v>
      </c>
      <c r="O413" t="s">
        <v>138</v>
      </c>
      <c r="P413" t="s">
        <v>139</v>
      </c>
      <c r="Q413" t="s">
        <v>140</v>
      </c>
      <c r="R413">
        <v>1935.91</v>
      </c>
      <c r="S413">
        <v>2</v>
      </c>
      <c r="T413">
        <v>0</v>
      </c>
      <c r="U413">
        <v>359.72</v>
      </c>
    </row>
    <row r="414" spans="1:21">
      <c r="A414">
        <v>1582</v>
      </c>
      <c r="B414" t="s">
        <v>997</v>
      </c>
      <c r="C414" s="1">
        <v>45372</v>
      </c>
      <c r="D414" s="1">
        <v>45373</v>
      </c>
      <c r="E414" t="s">
        <v>101</v>
      </c>
      <c r="F414" t="s">
        <v>285</v>
      </c>
      <c r="G414" t="s">
        <v>229</v>
      </c>
      <c r="H414" t="s">
        <v>51</v>
      </c>
      <c r="I414" t="s">
        <v>26</v>
      </c>
      <c r="J414" t="s">
        <v>346</v>
      </c>
      <c r="K414" t="s">
        <v>132</v>
      </c>
      <c r="L414" t="s">
        <v>169</v>
      </c>
      <c r="M414" t="s">
        <v>30</v>
      </c>
      <c r="N414" t="s">
        <v>816</v>
      </c>
      <c r="O414" t="s">
        <v>44</v>
      </c>
      <c r="P414" t="s">
        <v>211</v>
      </c>
      <c r="Q414" t="s">
        <v>212</v>
      </c>
      <c r="R414">
        <v>4381.29</v>
      </c>
      <c r="S414">
        <v>5</v>
      </c>
      <c r="T414">
        <v>0.25</v>
      </c>
      <c r="U414">
        <v>-258.02</v>
      </c>
    </row>
    <row r="415" spans="1:21">
      <c r="A415">
        <v>1155</v>
      </c>
      <c r="B415" t="s">
        <v>998</v>
      </c>
      <c r="C415" s="1">
        <v>45571</v>
      </c>
      <c r="D415" s="1">
        <v>45574</v>
      </c>
      <c r="E415" t="s">
        <v>48</v>
      </c>
      <c r="F415" t="s">
        <v>173</v>
      </c>
      <c r="G415" t="s">
        <v>50</v>
      </c>
      <c r="H415" t="s">
        <v>153</v>
      </c>
      <c r="I415" t="s">
        <v>26</v>
      </c>
      <c r="J415" t="s">
        <v>160</v>
      </c>
      <c r="K415" t="s">
        <v>161</v>
      </c>
      <c r="L415" t="s">
        <v>63</v>
      </c>
      <c r="M415" t="s">
        <v>81</v>
      </c>
      <c r="N415" t="s">
        <v>999</v>
      </c>
      <c r="O415" t="s">
        <v>55</v>
      </c>
      <c r="P415" t="s">
        <v>98</v>
      </c>
      <c r="Q415" t="s">
        <v>99</v>
      </c>
      <c r="R415">
        <v>19101.47</v>
      </c>
      <c r="S415">
        <v>3</v>
      </c>
      <c r="T415">
        <v>0.05</v>
      </c>
      <c r="U415">
        <v>2156.38</v>
      </c>
    </row>
    <row r="416" spans="1:21">
      <c r="A416">
        <v>1127</v>
      </c>
      <c r="B416" t="s">
        <v>1000</v>
      </c>
      <c r="C416" s="1">
        <v>45412</v>
      </c>
      <c r="D416" s="1">
        <v>45413</v>
      </c>
      <c r="E416" t="s">
        <v>69</v>
      </c>
      <c r="F416" t="s">
        <v>330</v>
      </c>
      <c r="G416" t="s">
        <v>107</v>
      </c>
      <c r="H416" t="s">
        <v>108</v>
      </c>
      <c r="I416" t="s">
        <v>26</v>
      </c>
      <c r="J416" t="s">
        <v>226</v>
      </c>
      <c r="K416" t="s">
        <v>110</v>
      </c>
      <c r="L416" t="s">
        <v>92</v>
      </c>
      <c r="M416" t="s">
        <v>170</v>
      </c>
      <c r="N416" t="s">
        <v>1001</v>
      </c>
      <c r="O416" t="s">
        <v>83</v>
      </c>
      <c r="P416" t="s">
        <v>33</v>
      </c>
      <c r="Q416" t="s">
        <v>34</v>
      </c>
      <c r="R416">
        <v>4214.17</v>
      </c>
      <c r="S416">
        <v>3</v>
      </c>
      <c r="T416">
        <v>0.05</v>
      </c>
      <c r="U416">
        <v>832.68</v>
      </c>
    </row>
    <row r="417" spans="1:21">
      <c r="A417">
        <v>1543</v>
      </c>
      <c r="B417" t="s">
        <v>1002</v>
      </c>
      <c r="C417" s="1">
        <v>45367</v>
      </c>
      <c r="D417" s="1">
        <v>45373</v>
      </c>
      <c r="E417" t="s">
        <v>69</v>
      </c>
      <c r="F417" t="s">
        <v>260</v>
      </c>
      <c r="G417" t="s">
        <v>136</v>
      </c>
      <c r="H417" t="s">
        <v>108</v>
      </c>
      <c r="I417" t="s">
        <v>26</v>
      </c>
      <c r="J417" t="s">
        <v>61</v>
      </c>
      <c r="K417" t="s">
        <v>62</v>
      </c>
      <c r="L417" t="s">
        <v>215</v>
      </c>
      <c r="M417" t="s">
        <v>118</v>
      </c>
      <c r="N417" t="s">
        <v>681</v>
      </c>
      <c r="O417" t="s">
        <v>44</v>
      </c>
      <c r="P417" t="s">
        <v>211</v>
      </c>
      <c r="Q417" t="s">
        <v>212</v>
      </c>
      <c r="R417">
        <v>7712.33</v>
      </c>
      <c r="S417">
        <v>6</v>
      </c>
      <c r="T417">
        <v>0</v>
      </c>
      <c r="U417">
        <v>834.53</v>
      </c>
    </row>
    <row r="418" spans="1:21">
      <c r="A418">
        <v>1342</v>
      </c>
      <c r="B418" t="s">
        <v>1003</v>
      </c>
      <c r="C418" s="1">
        <v>45627</v>
      </c>
      <c r="D418" s="1">
        <v>45628</v>
      </c>
      <c r="E418" t="s">
        <v>69</v>
      </c>
      <c r="F418" t="s">
        <v>551</v>
      </c>
      <c r="G418" t="s">
        <v>107</v>
      </c>
      <c r="H418" t="s">
        <v>302</v>
      </c>
      <c r="I418" t="s">
        <v>26</v>
      </c>
      <c r="J418" t="s">
        <v>52</v>
      </c>
      <c r="K418" t="s">
        <v>52</v>
      </c>
      <c r="L418" t="s">
        <v>63</v>
      </c>
      <c r="M418" t="s">
        <v>118</v>
      </c>
      <c r="N418" t="s">
        <v>447</v>
      </c>
      <c r="O418" t="s">
        <v>83</v>
      </c>
      <c r="P418" t="s">
        <v>84</v>
      </c>
      <c r="Q418" t="s">
        <v>85</v>
      </c>
      <c r="R418">
        <v>16976.37</v>
      </c>
      <c r="S418">
        <v>7</v>
      </c>
      <c r="T418">
        <v>0.2</v>
      </c>
      <c r="U418">
        <v>2208.94</v>
      </c>
    </row>
    <row r="419" spans="1:21">
      <c r="A419">
        <v>1288</v>
      </c>
      <c r="B419" t="s">
        <v>1004</v>
      </c>
      <c r="C419" s="1">
        <v>45463</v>
      </c>
      <c r="D419" s="1">
        <v>45464</v>
      </c>
      <c r="E419" t="s">
        <v>101</v>
      </c>
      <c r="F419" t="s">
        <v>388</v>
      </c>
      <c r="G419" t="s">
        <v>24</v>
      </c>
      <c r="H419" t="s">
        <v>25</v>
      </c>
      <c r="I419" t="s">
        <v>26</v>
      </c>
      <c r="J419" t="s">
        <v>52</v>
      </c>
      <c r="K419" t="s">
        <v>52</v>
      </c>
      <c r="L419" t="s">
        <v>63</v>
      </c>
      <c r="M419" t="s">
        <v>74</v>
      </c>
      <c r="N419" t="s">
        <v>1005</v>
      </c>
      <c r="O419" t="s">
        <v>55</v>
      </c>
      <c r="P419" t="s">
        <v>56</v>
      </c>
      <c r="Q419" t="s">
        <v>57</v>
      </c>
      <c r="R419">
        <v>30469.77</v>
      </c>
      <c r="S419">
        <v>4</v>
      </c>
      <c r="T419">
        <v>0</v>
      </c>
      <c r="U419">
        <v>5970.91</v>
      </c>
    </row>
    <row r="420" spans="1:21">
      <c r="A420">
        <v>1114</v>
      </c>
      <c r="B420" t="s">
        <v>1006</v>
      </c>
      <c r="C420" s="1">
        <v>45592</v>
      </c>
      <c r="D420" s="1">
        <v>45597</v>
      </c>
      <c r="E420" t="s">
        <v>48</v>
      </c>
      <c r="F420" t="s">
        <v>70</v>
      </c>
      <c r="G420" t="s">
        <v>50</v>
      </c>
      <c r="H420" t="s">
        <v>25</v>
      </c>
      <c r="I420" t="s">
        <v>26</v>
      </c>
      <c r="J420" t="s">
        <v>131</v>
      </c>
      <c r="K420" t="s">
        <v>132</v>
      </c>
      <c r="L420" t="s">
        <v>29</v>
      </c>
      <c r="M420" t="s">
        <v>42</v>
      </c>
      <c r="N420" t="s">
        <v>1007</v>
      </c>
      <c r="O420" t="s">
        <v>83</v>
      </c>
      <c r="P420" t="s">
        <v>33</v>
      </c>
      <c r="Q420" t="s">
        <v>34</v>
      </c>
      <c r="R420">
        <v>7529.77</v>
      </c>
      <c r="S420">
        <v>5</v>
      </c>
      <c r="T420">
        <v>0</v>
      </c>
      <c r="U420">
        <v>1781.82</v>
      </c>
    </row>
    <row r="421" spans="1:21">
      <c r="A421">
        <v>1501</v>
      </c>
      <c r="B421" t="s">
        <v>1008</v>
      </c>
      <c r="C421" s="1">
        <v>45490</v>
      </c>
      <c r="D421" s="1">
        <v>45494</v>
      </c>
      <c r="E421" t="s">
        <v>101</v>
      </c>
      <c r="F421" t="s">
        <v>526</v>
      </c>
      <c r="G421" t="s">
        <v>60</v>
      </c>
      <c r="H421" t="s">
        <v>51</v>
      </c>
      <c r="I421" t="s">
        <v>26</v>
      </c>
      <c r="J421" t="s">
        <v>61</v>
      </c>
      <c r="K421" t="s">
        <v>62</v>
      </c>
      <c r="L421" t="s">
        <v>92</v>
      </c>
      <c r="M421" t="s">
        <v>30</v>
      </c>
      <c r="N421" t="s">
        <v>150</v>
      </c>
      <c r="O421" t="s">
        <v>138</v>
      </c>
      <c r="P421" t="s">
        <v>139</v>
      </c>
      <c r="Q421" t="s">
        <v>140</v>
      </c>
      <c r="R421" t="s">
        <v>319</v>
      </c>
      <c r="S421">
        <v>3</v>
      </c>
      <c r="T421">
        <v>0.05</v>
      </c>
      <c r="U421">
        <v>439.68</v>
      </c>
    </row>
    <row r="422" spans="1:21">
      <c r="A422">
        <v>1174</v>
      </c>
      <c r="B422" t="s">
        <v>1009</v>
      </c>
      <c r="C422" s="1">
        <v>45438</v>
      </c>
      <c r="D422" s="1">
        <v>45443</v>
      </c>
      <c r="E422" t="s">
        <v>22</v>
      </c>
      <c r="F422" t="s">
        <v>388</v>
      </c>
      <c r="G422" t="s">
        <v>50</v>
      </c>
      <c r="H422" t="s">
        <v>389</v>
      </c>
      <c r="I422" t="s">
        <v>26</v>
      </c>
      <c r="J422" t="s">
        <v>115</v>
      </c>
      <c r="K422" t="s">
        <v>116</v>
      </c>
      <c r="L422" t="s">
        <v>29</v>
      </c>
      <c r="M422" t="s">
        <v>30</v>
      </c>
      <c r="N422" t="s">
        <v>1010</v>
      </c>
      <c r="O422" t="s">
        <v>240</v>
      </c>
      <c r="P422" t="s">
        <v>182</v>
      </c>
      <c r="Q422" t="s">
        <v>183</v>
      </c>
      <c r="R422">
        <v>1609.04</v>
      </c>
      <c r="S422">
        <v>5</v>
      </c>
      <c r="T422">
        <v>0.3</v>
      </c>
      <c r="U422">
        <v>6.22</v>
      </c>
    </row>
    <row r="423" spans="1:21">
      <c r="A423">
        <v>1360</v>
      </c>
      <c r="B423" t="s">
        <v>1011</v>
      </c>
      <c r="C423" s="1">
        <v>45624</v>
      </c>
      <c r="D423" s="1">
        <v>45626</v>
      </c>
      <c r="E423" t="s">
        <v>22</v>
      </c>
      <c r="F423" t="s">
        <v>736</v>
      </c>
      <c r="G423" t="s">
        <v>24</v>
      </c>
      <c r="H423" t="s">
        <v>51</v>
      </c>
      <c r="I423" t="s">
        <v>26</v>
      </c>
      <c r="J423" t="s">
        <v>115</v>
      </c>
      <c r="K423" t="s">
        <v>116</v>
      </c>
      <c r="L423" t="s">
        <v>41</v>
      </c>
      <c r="M423" t="s">
        <v>127</v>
      </c>
      <c r="N423" t="s">
        <v>1012</v>
      </c>
      <c r="O423" t="s">
        <v>357</v>
      </c>
      <c r="P423" t="s">
        <v>189</v>
      </c>
      <c r="Q423" t="s">
        <v>386</v>
      </c>
      <c r="R423">
        <v>7754.07</v>
      </c>
      <c r="S423">
        <v>5</v>
      </c>
      <c r="T423">
        <v>0.25</v>
      </c>
      <c r="U423">
        <v>-281.10000000000002</v>
      </c>
    </row>
    <row r="424" spans="1:21">
      <c r="A424">
        <v>1430</v>
      </c>
      <c r="B424" t="s">
        <v>1013</v>
      </c>
      <c r="C424" s="1">
        <v>45650</v>
      </c>
      <c r="D424" s="1">
        <v>45653</v>
      </c>
      <c r="E424" t="s">
        <v>69</v>
      </c>
      <c r="F424" t="s">
        <v>1014</v>
      </c>
      <c r="G424" t="s">
        <v>50</v>
      </c>
      <c r="H424" t="s">
        <v>51</v>
      </c>
      <c r="I424" t="s">
        <v>26</v>
      </c>
      <c r="J424" t="s">
        <v>72</v>
      </c>
      <c r="K424" t="s">
        <v>73</v>
      </c>
      <c r="L424" t="s">
        <v>186</v>
      </c>
      <c r="M424" t="s">
        <v>81</v>
      </c>
      <c r="N424" t="s">
        <v>1015</v>
      </c>
      <c r="O424" t="s">
        <v>83</v>
      </c>
      <c r="P424" t="s">
        <v>84</v>
      </c>
      <c r="Q424" t="s">
        <v>85</v>
      </c>
      <c r="R424">
        <v>22632.39</v>
      </c>
      <c r="S424">
        <v>7</v>
      </c>
      <c r="T424">
        <v>0</v>
      </c>
      <c r="U424">
        <v>4429.47</v>
      </c>
    </row>
    <row r="425" spans="1:21">
      <c r="A425">
        <v>1058</v>
      </c>
      <c r="B425" t="s">
        <v>1016</v>
      </c>
      <c r="C425" s="1">
        <v>45346</v>
      </c>
      <c r="D425" s="1">
        <v>45350</v>
      </c>
      <c r="E425" t="s">
        <v>48</v>
      </c>
      <c r="F425" t="s">
        <v>255</v>
      </c>
      <c r="G425" t="s">
        <v>71</v>
      </c>
      <c r="H425" t="s">
        <v>51</v>
      </c>
      <c r="I425" t="s">
        <v>26</v>
      </c>
      <c r="J425" t="s">
        <v>90</v>
      </c>
      <c r="K425" t="s">
        <v>91</v>
      </c>
      <c r="L425" t="s">
        <v>29</v>
      </c>
      <c r="M425" t="s">
        <v>81</v>
      </c>
      <c r="N425" t="s">
        <v>1001</v>
      </c>
      <c r="O425" t="s">
        <v>55</v>
      </c>
      <c r="P425" t="s">
        <v>56</v>
      </c>
      <c r="Q425" t="s">
        <v>57</v>
      </c>
      <c r="R425">
        <v>10295.15</v>
      </c>
      <c r="S425">
        <v>2</v>
      </c>
      <c r="T425">
        <v>0.3</v>
      </c>
      <c r="U425">
        <v>-427.25</v>
      </c>
    </row>
    <row r="426" spans="1:21">
      <c r="A426">
        <v>1524</v>
      </c>
      <c r="B426" t="s">
        <v>1017</v>
      </c>
      <c r="C426" s="1">
        <v>45576</v>
      </c>
      <c r="D426" s="1">
        <v>45581</v>
      </c>
      <c r="E426" t="s">
        <v>22</v>
      </c>
      <c r="F426" t="s">
        <v>781</v>
      </c>
      <c r="G426" t="s">
        <v>114</v>
      </c>
      <c r="H426" t="s">
        <v>38</v>
      </c>
      <c r="I426" t="s">
        <v>26</v>
      </c>
      <c r="J426" t="s">
        <v>61</v>
      </c>
      <c r="K426" t="s">
        <v>62</v>
      </c>
      <c r="L426" t="s">
        <v>63</v>
      </c>
      <c r="M426" t="s">
        <v>127</v>
      </c>
      <c r="N426" t="s">
        <v>1018</v>
      </c>
      <c r="O426" t="s">
        <v>138</v>
      </c>
      <c r="P426" t="s">
        <v>121</v>
      </c>
      <c r="Q426" t="s">
        <v>122</v>
      </c>
      <c r="R426">
        <v>1991.13</v>
      </c>
      <c r="S426">
        <v>4</v>
      </c>
      <c r="T426">
        <v>0.2</v>
      </c>
      <c r="U426">
        <v>106.23</v>
      </c>
    </row>
    <row r="427" spans="1:21">
      <c r="A427">
        <v>1223</v>
      </c>
      <c r="B427" t="s">
        <v>1019</v>
      </c>
      <c r="C427" s="1">
        <v>45527</v>
      </c>
      <c r="D427" s="1">
        <v>45532</v>
      </c>
      <c r="E427" t="s">
        <v>69</v>
      </c>
      <c r="F427" t="s">
        <v>324</v>
      </c>
      <c r="G427" t="s">
        <v>107</v>
      </c>
      <c r="H427" t="s">
        <v>51</v>
      </c>
      <c r="I427" t="s">
        <v>26</v>
      </c>
      <c r="J427" t="s">
        <v>115</v>
      </c>
      <c r="K427" t="s">
        <v>116</v>
      </c>
      <c r="L427" t="s">
        <v>63</v>
      </c>
      <c r="M427" t="s">
        <v>81</v>
      </c>
      <c r="N427" t="s">
        <v>949</v>
      </c>
      <c r="O427" t="s">
        <v>32</v>
      </c>
      <c r="P427" t="s">
        <v>84</v>
      </c>
      <c r="Q427" t="s">
        <v>85</v>
      </c>
      <c r="R427">
        <v>5040.2299999999996</v>
      </c>
      <c r="S427">
        <v>2</v>
      </c>
      <c r="T427">
        <v>0.25</v>
      </c>
      <c r="U427">
        <v>539.64</v>
      </c>
    </row>
    <row r="428" spans="1:21">
      <c r="A428">
        <v>1281</v>
      </c>
      <c r="B428" t="s">
        <v>1020</v>
      </c>
      <c r="C428" s="1">
        <v>45560</v>
      </c>
      <c r="D428" s="1">
        <v>45561</v>
      </c>
      <c r="E428" t="s">
        <v>48</v>
      </c>
      <c r="F428" t="s">
        <v>225</v>
      </c>
      <c r="G428" t="s">
        <v>114</v>
      </c>
      <c r="H428" t="s">
        <v>51</v>
      </c>
      <c r="I428" t="s">
        <v>26</v>
      </c>
      <c r="J428" t="s">
        <v>27</v>
      </c>
      <c r="K428" t="s">
        <v>28</v>
      </c>
      <c r="L428" t="s">
        <v>53</v>
      </c>
      <c r="M428" t="s">
        <v>118</v>
      </c>
      <c r="N428" t="s">
        <v>1021</v>
      </c>
      <c r="O428" t="s">
        <v>188</v>
      </c>
      <c r="P428" t="s">
        <v>189</v>
      </c>
      <c r="Q428" t="s">
        <v>190</v>
      </c>
      <c r="R428">
        <v>25454.89</v>
      </c>
      <c r="S428">
        <v>5</v>
      </c>
      <c r="T428" t="s">
        <v>1022</v>
      </c>
      <c r="U428">
        <v>708.55</v>
      </c>
    </row>
    <row r="429" spans="1:21">
      <c r="A429">
        <v>1018</v>
      </c>
      <c r="B429" t="s">
        <v>1023</v>
      </c>
      <c r="C429" s="1">
        <v>45634</v>
      </c>
      <c r="D429" s="1">
        <v>45638</v>
      </c>
      <c r="E429" t="s">
        <v>69</v>
      </c>
      <c r="F429" t="s">
        <v>130</v>
      </c>
      <c r="G429" t="s">
        <v>60</v>
      </c>
      <c r="H429" t="s">
        <v>51</v>
      </c>
      <c r="I429" t="s">
        <v>26</v>
      </c>
      <c r="J429" t="s">
        <v>346</v>
      </c>
      <c r="K429" t="s">
        <v>132</v>
      </c>
      <c r="L429" t="s">
        <v>29</v>
      </c>
      <c r="M429" t="s">
        <v>30</v>
      </c>
      <c r="N429" t="s">
        <v>1024</v>
      </c>
      <c r="O429" t="s">
        <v>188</v>
      </c>
      <c r="P429" t="s">
        <v>189</v>
      </c>
      <c r="Q429" t="s">
        <v>386</v>
      </c>
      <c r="R429">
        <v>6027.95</v>
      </c>
      <c r="S429">
        <v>3</v>
      </c>
      <c r="T429">
        <v>0.15</v>
      </c>
      <c r="U429">
        <v>226.12</v>
      </c>
    </row>
    <row r="430" spans="1:21">
      <c r="A430">
        <v>1488</v>
      </c>
      <c r="B430" t="s">
        <v>1025</v>
      </c>
      <c r="C430" s="1">
        <v>45319</v>
      </c>
      <c r="D430" s="1">
        <v>45321</v>
      </c>
      <c r="E430" t="s">
        <v>69</v>
      </c>
      <c r="F430" t="s">
        <v>301</v>
      </c>
      <c r="G430" t="s">
        <v>88</v>
      </c>
      <c r="H430" t="s">
        <v>25</v>
      </c>
      <c r="I430" t="s">
        <v>26</v>
      </c>
      <c r="J430" t="s">
        <v>226</v>
      </c>
      <c r="K430" t="s">
        <v>110</v>
      </c>
      <c r="L430" t="s">
        <v>63</v>
      </c>
      <c r="M430" t="s">
        <v>74</v>
      </c>
      <c r="N430" t="s">
        <v>879</v>
      </c>
      <c r="O430" t="s">
        <v>44</v>
      </c>
      <c r="P430" t="s">
        <v>211</v>
      </c>
      <c r="Q430" t="s">
        <v>212</v>
      </c>
      <c r="R430">
        <v>5549.94</v>
      </c>
      <c r="S430">
        <v>5</v>
      </c>
      <c r="T430">
        <v>0</v>
      </c>
      <c r="U430">
        <v>537.92999999999995</v>
      </c>
    </row>
    <row r="431" spans="1:21">
      <c r="A431">
        <v>1323</v>
      </c>
      <c r="B431" t="s">
        <v>1026</v>
      </c>
      <c r="D431" s="1">
        <v>45357</v>
      </c>
      <c r="E431" t="s">
        <v>69</v>
      </c>
      <c r="F431" t="s">
        <v>633</v>
      </c>
      <c r="G431" t="s">
        <v>107</v>
      </c>
      <c r="H431" t="s">
        <v>108</v>
      </c>
      <c r="I431" t="s">
        <v>26</v>
      </c>
      <c r="J431" t="s">
        <v>131</v>
      </c>
      <c r="K431" t="s">
        <v>132</v>
      </c>
      <c r="L431" t="s">
        <v>103</v>
      </c>
      <c r="M431" t="s">
        <v>30</v>
      </c>
      <c r="N431" t="s">
        <v>1027</v>
      </c>
      <c r="O431" t="s">
        <v>55</v>
      </c>
      <c r="P431" t="s">
        <v>98</v>
      </c>
      <c r="Q431" t="s">
        <v>99</v>
      </c>
      <c r="R431">
        <v>22840.42</v>
      </c>
      <c r="S431">
        <v>4</v>
      </c>
      <c r="T431">
        <v>0.05</v>
      </c>
      <c r="U431">
        <v>3480.79</v>
      </c>
    </row>
    <row r="432" spans="1:21">
      <c r="A432">
        <v>1256</v>
      </c>
      <c r="B432" t="s">
        <v>1028</v>
      </c>
      <c r="C432" s="1">
        <v>45581</v>
      </c>
      <c r="D432" s="1">
        <v>45587</v>
      </c>
      <c r="E432" t="s">
        <v>101</v>
      </c>
      <c r="F432" t="s">
        <v>198</v>
      </c>
      <c r="G432" t="s">
        <v>136</v>
      </c>
      <c r="H432" t="s">
        <v>51</v>
      </c>
      <c r="I432" t="s">
        <v>26</v>
      </c>
      <c r="J432" t="s">
        <v>115</v>
      </c>
      <c r="K432" t="s">
        <v>116</v>
      </c>
      <c r="L432" t="s">
        <v>263</v>
      </c>
      <c r="M432" t="s">
        <v>170</v>
      </c>
      <c r="N432" t="s">
        <v>407</v>
      </c>
      <c r="O432" t="s">
        <v>44</v>
      </c>
      <c r="P432" t="s">
        <v>211</v>
      </c>
      <c r="Q432" t="s">
        <v>223</v>
      </c>
      <c r="R432">
        <v>1282.8599999999999</v>
      </c>
      <c r="S432">
        <v>1</v>
      </c>
      <c r="T432">
        <v>0.3</v>
      </c>
      <c r="U432">
        <v>-104.59</v>
      </c>
    </row>
    <row r="433" spans="1:21">
      <c r="A433">
        <v>1500</v>
      </c>
      <c r="B433" t="s">
        <v>1029</v>
      </c>
      <c r="C433" s="1">
        <v>45410</v>
      </c>
      <c r="D433" s="1">
        <v>45416</v>
      </c>
      <c r="E433" t="s">
        <v>22</v>
      </c>
      <c r="F433" t="s">
        <v>551</v>
      </c>
      <c r="G433" t="s">
        <v>50</v>
      </c>
      <c r="H433" t="s">
        <v>25</v>
      </c>
      <c r="I433" t="s">
        <v>26</v>
      </c>
      <c r="J433" t="s">
        <v>79</v>
      </c>
      <c r="K433" t="s">
        <v>80</v>
      </c>
      <c r="L433" t="s">
        <v>29</v>
      </c>
      <c r="M433" t="s">
        <v>30</v>
      </c>
      <c r="N433" t="s">
        <v>1030</v>
      </c>
      <c r="O433" t="s">
        <v>144</v>
      </c>
      <c r="P433" t="s">
        <v>66</v>
      </c>
      <c r="Q433" t="s">
        <v>67</v>
      </c>
      <c r="R433">
        <v>24603.27</v>
      </c>
      <c r="S433">
        <v>3</v>
      </c>
      <c r="T433">
        <v>0.1</v>
      </c>
      <c r="U433">
        <v>2274.21</v>
      </c>
    </row>
    <row r="434" spans="1:21">
      <c r="A434">
        <v>1569</v>
      </c>
      <c r="B434" t="s">
        <v>1031</v>
      </c>
      <c r="C434" s="1">
        <v>45403</v>
      </c>
      <c r="D434" s="1">
        <v>45408</v>
      </c>
      <c r="E434" t="s">
        <v>22</v>
      </c>
      <c r="F434" t="s">
        <v>333</v>
      </c>
      <c r="G434" t="s">
        <v>165</v>
      </c>
      <c r="H434" t="s">
        <v>153</v>
      </c>
      <c r="I434" t="s">
        <v>26</v>
      </c>
      <c r="J434" t="s">
        <v>166</v>
      </c>
      <c r="K434" t="s">
        <v>132</v>
      </c>
      <c r="L434" t="s">
        <v>215</v>
      </c>
      <c r="M434" t="s">
        <v>74</v>
      </c>
      <c r="N434" t="s">
        <v>991</v>
      </c>
      <c r="O434" t="s">
        <v>138</v>
      </c>
      <c r="P434" t="s">
        <v>156</v>
      </c>
      <c r="Q434" t="s">
        <v>157</v>
      </c>
      <c r="R434">
        <v>301.02</v>
      </c>
      <c r="S434">
        <v>1</v>
      </c>
      <c r="T434">
        <v>0.25</v>
      </c>
      <c r="U434">
        <v>11.26</v>
      </c>
    </row>
    <row r="435" spans="1:21">
      <c r="A435">
        <v>1728</v>
      </c>
      <c r="B435" t="s">
        <v>1032</v>
      </c>
      <c r="C435" s="1">
        <v>45447</v>
      </c>
      <c r="D435" s="1">
        <v>45450</v>
      </c>
      <c r="E435" t="s">
        <v>101</v>
      </c>
      <c r="F435" t="s">
        <v>426</v>
      </c>
      <c r="G435" t="s">
        <v>147</v>
      </c>
      <c r="H435" t="s">
        <v>51</v>
      </c>
      <c r="I435" t="s">
        <v>26</v>
      </c>
      <c r="J435" t="s">
        <v>346</v>
      </c>
      <c r="K435" t="s">
        <v>132</v>
      </c>
      <c r="L435" t="s">
        <v>92</v>
      </c>
      <c r="M435" t="s">
        <v>30</v>
      </c>
      <c r="N435" t="s">
        <v>934</v>
      </c>
      <c r="O435" t="s">
        <v>138</v>
      </c>
      <c r="P435" t="s">
        <v>121</v>
      </c>
      <c r="Q435" t="s">
        <v>122</v>
      </c>
      <c r="R435">
        <v>961.86</v>
      </c>
      <c r="S435">
        <v>2</v>
      </c>
      <c r="T435">
        <v>0.2</v>
      </c>
      <c r="U435">
        <v>81.84</v>
      </c>
    </row>
    <row r="436" spans="1:21">
      <c r="A436">
        <v>1191</v>
      </c>
      <c r="B436" t="s">
        <v>1033</v>
      </c>
      <c r="C436" s="1">
        <v>45311</v>
      </c>
      <c r="D436" s="1">
        <v>45312</v>
      </c>
      <c r="E436" t="s">
        <v>48</v>
      </c>
      <c r="F436" t="s">
        <v>931</v>
      </c>
      <c r="G436" t="s">
        <v>114</v>
      </c>
      <c r="H436" t="s">
        <v>51</v>
      </c>
      <c r="I436" t="s">
        <v>26</v>
      </c>
      <c r="J436" t="s">
        <v>27</v>
      </c>
      <c r="K436" t="s">
        <v>28</v>
      </c>
      <c r="L436" t="s">
        <v>41</v>
      </c>
      <c r="M436" t="s">
        <v>42</v>
      </c>
      <c r="N436" t="s">
        <v>318</v>
      </c>
      <c r="O436" t="s">
        <v>138</v>
      </c>
      <c r="P436" t="s">
        <v>182</v>
      </c>
      <c r="Q436" t="s">
        <v>183</v>
      </c>
      <c r="R436">
        <v>1436.53</v>
      </c>
      <c r="S436">
        <v>4</v>
      </c>
      <c r="T436">
        <v>0.15</v>
      </c>
      <c r="U436">
        <v>161.72999999999999</v>
      </c>
    </row>
    <row r="437" spans="1:21">
      <c r="A437">
        <v>1116</v>
      </c>
      <c r="B437" t="s">
        <v>1034</v>
      </c>
      <c r="C437" s="1">
        <v>45350</v>
      </c>
      <c r="D437" s="1">
        <v>45353</v>
      </c>
      <c r="E437" t="s">
        <v>69</v>
      </c>
      <c r="F437" t="s">
        <v>414</v>
      </c>
      <c r="G437" t="s">
        <v>37</v>
      </c>
      <c r="H437" t="s">
        <v>25</v>
      </c>
      <c r="I437" t="s">
        <v>26</v>
      </c>
      <c r="J437" t="s">
        <v>39</v>
      </c>
      <c r="K437" t="s">
        <v>40</v>
      </c>
      <c r="L437" t="s">
        <v>41</v>
      </c>
      <c r="M437" t="s">
        <v>170</v>
      </c>
      <c r="N437" t="s">
        <v>430</v>
      </c>
      <c r="O437" t="s">
        <v>44</v>
      </c>
      <c r="P437" t="s">
        <v>211</v>
      </c>
      <c r="Q437" t="s">
        <v>223</v>
      </c>
      <c r="R437">
        <v>3015.85</v>
      </c>
      <c r="S437">
        <v>2</v>
      </c>
      <c r="T437">
        <v>0.2</v>
      </c>
      <c r="U437">
        <v>-60.4</v>
      </c>
    </row>
    <row r="438" spans="1:21">
      <c r="A438">
        <v>1672</v>
      </c>
      <c r="B438" t="s">
        <v>1035</v>
      </c>
      <c r="C438" s="1">
        <v>45335</v>
      </c>
      <c r="D438" s="1">
        <v>45339</v>
      </c>
      <c r="E438" t="s">
        <v>48</v>
      </c>
      <c r="F438" t="s">
        <v>437</v>
      </c>
      <c r="H438" t="s">
        <v>89</v>
      </c>
      <c r="I438" t="s">
        <v>26</v>
      </c>
      <c r="J438" t="s">
        <v>90</v>
      </c>
      <c r="K438" t="s">
        <v>91</v>
      </c>
      <c r="L438" t="s">
        <v>29</v>
      </c>
      <c r="M438" t="s">
        <v>127</v>
      </c>
      <c r="N438" t="s">
        <v>848</v>
      </c>
      <c r="O438" t="s">
        <v>138</v>
      </c>
      <c r="P438" t="s">
        <v>139</v>
      </c>
      <c r="Q438" t="s">
        <v>140</v>
      </c>
      <c r="R438">
        <v>4526.8999999999996</v>
      </c>
      <c r="S438">
        <v>5</v>
      </c>
      <c r="T438">
        <v>0.1</v>
      </c>
      <c r="U438">
        <v>680.55</v>
      </c>
    </row>
    <row r="439" spans="1:21">
      <c r="A439">
        <v>1447</v>
      </c>
      <c r="B439" t="s">
        <v>1036</v>
      </c>
      <c r="C439" s="1">
        <v>45345</v>
      </c>
      <c r="D439" s="1">
        <v>45348</v>
      </c>
      <c r="E439" t="s">
        <v>69</v>
      </c>
      <c r="F439" t="s">
        <v>285</v>
      </c>
      <c r="G439" t="s">
        <v>125</v>
      </c>
      <c r="H439" t="s">
        <v>25</v>
      </c>
      <c r="I439" t="s">
        <v>26</v>
      </c>
      <c r="J439" t="s">
        <v>346</v>
      </c>
      <c r="K439" t="s">
        <v>132</v>
      </c>
      <c r="L439" t="s">
        <v>29</v>
      </c>
      <c r="M439" t="s">
        <v>42</v>
      </c>
      <c r="N439" t="s">
        <v>1037</v>
      </c>
      <c r="O439" t="s">
        <v>44</v>
      </c>
      <c r="P439" t="s">
        <v>207</v>
      </c>
      <c r="Q439" t="s">
        <v>208</v>
      </c>
      <c r="R439">
        <v>164242.29</v>
      </c>
      <c r="S439">
        <v>3</v>
      </c>
      <c r="T439">
        <v>0</v>
      </c>
      <c r="U439">
        <v>17137.88</v>
      </c>
    </row>
    <row r="440" spans="1:21">
      <c r="A440">
        <v>1095</v>
      </c>
      <c r="B440" t="s">
        <v>1038</v>
      </c>
      <c r="C440" s="1">
        <v>45609</v>
      </c>
      <c r="D440" s="1">
        <v>45612</v>
      </c>
      <c r="E440" t="s">
        <v>69</v>
      </c>
      <c r="F440" t="s">
        <v>708</v>
      </c>
      <c r="G440" t="s">
        <v>50</v>
      </c>
      <c r="H440" t="s">
        <v>25</v>
      </c>
      <c r="I440" t="s">
        <v>26</v>
      </c>
      <c r="J440" t="s">
        <v>72</v>
      </c>
      <c r="K440" t="s">
        <v>73</v>
      </c>
      <c r="L440" t="s">
        <v>41</v>
      </c>
      <c r="M440" t="s">
        <v>42</v>
      </c>
      <c r="N440" t="s">
        <v>447</v>
      </c>
      <c r="O440" t="s">
        <v>240</v>
      </c>
      <c r="P440" t="s">
        <v>139</v>
      </c>
      <c r="Q440" t="s">
        <v>140</v>
      </c>
      <c r="R440">
        <v>859.06</v>
      </c>
      <c r="S440">
        <v>1</v>
      </c>
      <c r="T440">
        <v>0.1</v>
      </c>
      <c r="U440">
        <v>101</v>
      </c>
    </row>
    <row r="441" spans="1:21">
      <c r="A441">
        <v>1181</v>
      </c>
      <c r="B441" t="s">
        <v>1039</v>
      </c>
      <c r="C441" s="1">
        <v>45389</v>
      </c>
      <c r="D441" s="1">
        <v>45390</v>
      </c>
      <c r="E441" t="s">
        <v>101</v>
      </c>
      <c r="F441" t="s">
        <v>468</v>
      </c>
      <c r="G441" t="s">
        <v>37</v>
      </c>
      <c r="H441" t="s">
        <v>51</v>
      </c>
      <c r="I441" t="s">
        <v>26</v>
      </c>
      <c r="J441" t="s">
        <v>90</v>
      </c>
      <c r="K441" t="s">
        <v>91</v>
      </c>
      <c r="L441" t="s">
        <v>92</v>
      </c>
      <c r="M441" t="s">
        <v>118</v>
      </c>
      <c r="N441" t="s">
        <v>424</v>
      </c>
      <c r="O441" t="s">
        <v>44</v>
      </c>
      <c r="P441" t="s">
        <v>211</v>
      </c>
      <c r="Q441" t="s">
        <v>223</v>
      </c>
      <c r="R441">
        <v>12374.55</v>
      </c>
      <c r="S441">
        <v>7</v>
      </c>
      <c r="T441">
        <v>0</v>
      </c>
      <c r="U441">
        <v>1458.72</v>
      </c>
    </row>
    <row r="442" spans="1:21">
      <c r="A442">
        <v>1302</v>
      </c>
      <c r="B442" t="s">
        <v>1040</v>
      </c>
      <c r="C442" s="1">
        <v>45490</v>
      </c>
      <c r="D442" s="1">
        <v>45493</v>
      </c>
      <c r="E442" t="s">
        <v>69</v>
      </c>
      <c r="F442" t="s">
        <v>426</v>
      </c>
      <c r="G442" t="s">
        <v>174</v>
      </c>
      <c r="H442" t="s">
        <v>310</v>
      </c>
      <c r="I442" t="s">
        <v>26</v>
      </c>
      <c r="J442" t="s">
        <v>27</v>
      </c>
      <c r="K442" t="s">
        <v>28</v>
      </c>
      <c r="L442" t="s">
        <v>92</v>
      </c>
      <c r="M442" t="s">
        <v>74</v>
      </c>
      <c r="N442" t="s">
        <v>1041</v>
      </c>
      <c r="O442" t="s">
        <v>138</v>
      </c>
      <c r="P442" t="s">
        <v>182</v>
      </c>
      <c r="Q442" t="s">
        <v>183</v>
      </c>
      <c r="R442">
        <v>1024.19</v>
      </c>
      <c r="S442">
        <v>3</v>
      </c>
      <c r="T442">
        <v>0.2</v>
      </c>
      <c r="U442">
        <v>56.95</v>
      </c>
    </row>
    <row r="443" spans="1:21">
      <c r="A443">
        <v>1512</v>
      </c>
      <c r="B443" t="s">
        <v>1042</v>
      </c>
      <c r="C443" s="1">
        <v>45413</v>
      </c>
      <c r="D443" s="1">
        <v>45415</v>
      </c>
      <c r="E443" t="s">
        <v>101</v>
      </c>
      <c r="F443" t="s">
        <v>192</v>
      </c>
      <c r="G443" t="s">
        <v>37</v>
      </c>
      <c r="H443" t="s">
        <v>51</v>
      </c>
      <c r="I443" t="s">
        <v>26</v>
      </c>
      <c r="J443" t="s">
        <v>39</v>
      </c>
      <c r="K443" t="s">
        <v>40</v>
      </c>
      <c r="L443" t="s">
        <v>29</v>
      </c>
      <c r="M443" t="s">
        <v>74</v>
      </c>
      <c r="N443" t="s">
        <v>1043</v>
      </c>
      <c r="O443" t="s">
        <v>357</v>
      </c>
      <c r="P443" t="s">
        <v>189</v>
      </c>
      <c r="Q443" t="s">
        <v>386</v>
      </c>
      <c r="R443">
        <v>8222.86</v>
      </c>
      <c r="S443">
        <v>5</v>
      </c>
      <c r="T443">
        <v>0.3</v>
      </c>
      <c r="U443">
        <v>-660.37</v>
      </c>
    </row>
    <row r="444" spans="1:21">
      <c r="A444">
        <v>1727</v>
      </c>
      <c r="B444" t="s">
        <v>1044</v>
      </c>
      <c r="C444" s="1">
        <v>45352</v>
      </c>
      <c r="D444" s="1">
        <v>45357</v>
      </c>
      <c r="E444" t="s">
        <v>101</v>
      </c>
      <c r="F444" t="s">
        <v>102</v>
      </c>
      <c r="G444" t="s">
        <v>50</v>
      </c>
      <c r="H444" t="s">
        <v>310</v>
      </c>
      <c r="I444" t="s">
        <v>26</v>
      </c>
      <c r="J444" t="s">
        <v>39</v>
      </c>
      <c r="K444" t="s">
        <v>40</v>
      </c>
      <c r="L444" t="s">
        <v>215</v>
      </c>
      <c r="M444" t="s">
        <v>170</v>
      </c>
      <c r="N444" t="s">
        <v>1045</v>
      </c>
      <c r="O444" t="s">
        <v>138</v>
      </c>
      <c r="P444" t="s">
        <v>182</v>
      </c>
      <c r="Q444" t="s">
        <v>183</v>
      </c>
      <c r="R444">
        <v>381.25</v>
      </c>
      <c r="S444">
        <v>1</v>
      </c>
      <c r="T444">
        <v>0.2</v>
      </c>
      <c r="U444">
        <v>27.63</v>
      </c>
    </row>
    <row r="445" spans="1:21">
      <c r="A445">
        <v>1533</v>
      </c>
      <c r="B445" t="s">
        <v>1046</v>
      </c>
      <c r="C445" s="1">
        <v>45605</v>
      </c>
      <c r="D445" s="1">
        <v>45608</v>
      </c>
      <c r="E445" t="s">
        <v>101</v>
      </c>
      <c r="F445" t="s">
        <v>337</v>
      </c>
      <c r="G445" t="s">
        <v>60</v>
      </c>
      <c r="H445" t="s">
        <v>25</v>
      </c>
      <c r="I445" t="s">
        <v>26</v>
      </c>
      <c r="J445" t="s">
        <v>27</v>
      </c>
      <c r="K445" t="s">
        <v>28</v>
      </c>
      <c r="L445" t="s">
        <v>41</v>
      </c>
      <c r="M445" t="s">
        <v>118</v>
      </c>
      <c r="N445" t="s">
        <v>1047</v>
      </c>
      <c r="O445" t="s">
        <v>55</v>
      </c>
      <c r="P445" t="s">
        <v>66</v>
      </c>
      <c r="Q445" t="s">
        <v>67</v>
      </c>
      <c r="R445">
        <v>7134.09</v>
      </c>
      <c r="S445">
        <v>1</v>
      </c>
      <c r="T445">
        <v>0.15</v>
      </c>
      <c r="U445">
        <v>498.85</v>
      </c>
    </row>
    <row r="446" spans="1:21">
      <c r="A446">
        <v>1530</v>
      </c>
      <c r="B446" t="s">
        <v>1048</v>
      </c>
      <c r="D446" s="1">
        <v>45532</v>
      </c>
      <c r="E446" t="s">
        <v>22</v>
      </c>
      <c r="F446" t="s">
        <v>277</v>
      </c>
      <c r="G446" t="s">
        <v>147</v>
      </c>
      <c r="H446" t="s">
        <v>25</v>
      </c>
      <c r="I446" t="s">
        <v>26</v>
      </c>
      <c r="J446" t="s">
        <v>346</v>
      </c>
      <c r="K446" t="s">
        <v>132</v>
      </c>
      <c r="L446" t="s">
        <v>215</v>
      </c>
      <c r="M446" t="s">
        <v>74</v>
      </c>
      <c r="N446" t="s">
        <v>1049</v>
      </c>
      <c r="O446" t="s">
        <v>138</v>
      </c>
      <c r="P446" t="s">
        <v>156</v>
      </c>
      <c r="Q446" t="s">
        <v>157</v>
      </c>
      <c r="R446">
        <v>1818.13</v>
      </c>
      <c r="S446">
        <v>6</v>
      </c>
      <c r="U446">
        <v>135.38</v>
      </c>
    </row>
    <row r="447" spans="1:21">
      <c r="A447">
        <v>1671</v>
      </c>
      <c r="B447" t="s">
        <v>1050</v>
      </c>
      <c r="C447" s="1">
        <v>45455</v>
      </c>
      <c r="D447" s="1">
        <v>45459</v>
      </c>
      <c r="E447" t="s">
        <v>101</v>
      </c>
      <c r="F447" t="s">
        <v>301</v>
      </c>
      <c r="G447" t="s">
        <v>24</v>
      </c>
      <c r="H447" t="s">
        <v>25</v>
      </c>
      <c r="I447" t="s">
        <v>26</v>
      </c>
      <c r="J447" t="s">
        <v>27</v>
      </c>
      <c r="K447" t="s">
        <v>28</v>
      </c>
      <c r="L447" t="s">
        <v>92</v>
      </c>
      <c r="M447" t="s">
        <v>42</v>
      </c>
      <c r="N447" t="s">
        <v>510</v>
      </c>
      <c r="O447" t="s">
        <v>188</v>
      </c>
      <c r="P447" t="s">
        <v>189</v>
      </c>
      <c r="Q447" t="s">
        <v>386</v>
      </c>
      <c r="R447">
        <v>1586.03</v>
      </c>
      <c r="S447">
        <v>1</v>
      </c>
      <c r="T447">
        <v>0.25</v>
      </c>
      <c r="U447">
        <v>-50.58</v>
      </c>
    </row>
    <row r="448" spans="1:21">
      <c r="A448">
        <v>1514</v>
      </c>
      <c r="B448" t="s">
        <v>1051</v>
      </c>
      <c r="C448" s="1">
        <v>45461</v>
      </c>
      <c r="D448" s="1">
        <v>45462</v>
      </c>
      <c r="E448" t="s">
        <v>22</v>
      </c>
      <c r="F448" t="s">
        <v>173</v>
      </c>
      <c r="G448" t="s">
        <v>37</v>
      </c>
      <c r="H448" t="s">
        <v>89</v>
      </c>
      <c r="I448" t="s">
        <v>26</v>
      </c>
      <c r="J448" t="s">
        <v>61</v>
      </c>
      <c r="K448" t="s">
        <v>62</v>
      </c>
      <c r="L448" t="s">
        <v>103</v>
      </c>
      <c r="M448" t="s">
        <v>30</v>
      </c>
      <c r="N448" t="s">
        <v>1052</v>
      </c>
      <c r="O448" t="s">
        <v>44</v>
      </c>
      <c r="P448" t="s">
        <v>207</v>
      </c>
      <c r="Q448" t="s">
        <v>208</v>
      </c>
      <c r="R448">
        <v>233801.83</v>
      </c>
      <c r="S448">
        <v>5</v>
      </c>
      <c r="T448">
        <v>0.15</v>
      </c>
      <c r="U448">
        <v>3426</v>
      </c>
    </row>
    <row r="449" spans="1:21">
      <c r="A449">
        <v>1006</v>
      </c>
      <c r="B449" t="s">
        <v>1053</v>
      </c>
      <c r="C449" s="1">
        <v>45375</v>
      </c>
      <c r="D449" s="1">
        <v>45378</v>
      </c>
      <c r="E449" t="s">
        <v>48</v>
      </c>
      <c r="F449" t="s">
        <v>781</v>
      </c>
      <c r="G449" t="s">
        <v>125</v>
      </c>
      <c r="H449" t="s">
        <v>38</v>
      </c>
      <c r="I449" t="s">
        <v>26</v>
      </c>
      <c r="J449" t="s">
        <v>72</v>
      </c>
      <c r="K449" t="s">
        <v>73</v>
      </c>
      <c r="L449" t="s">
        <v>63</v>
      </c>
      <c r="M449" t="s">
        <v>81</v>
      </c>
      <c r="N449" t="s">
        <v>480</v>
      </c>
      <c r="O449" t="s">
        <v>357</v>
      </c>
      <c r="P449" t="s">
        <v>189</v>
      </c>
      <c r="Q449" t="s">
        <v>386</v>
      </c>
      <c r="R449">
        <v>3249.99</v>
      </c>
      <c r="S449">
        <v>2</v>
      </c>
      <c r="T449">
        <v>0.2</v>
      </c>
      <c r="U449">
        <v>0</v>
      </c>
    </row>
    <row r="450" spans="1:21">
      <c r="A450">
        <v>1744</v>
      </c>
      <c r="B450" t="s">
        <v>1054</v>
      </c>
      <c r="C450" s="1">
        <v>45513</v>
      </c>
      <c r="D450" s="1">
        <v>45515</v>
      </c>
      <c r="E450" t="s">
        <v>48</v>
      </c>
      <c r="F450" t="s">
        <v>373</v>
      </c>
      <c r="G450" t="s">
        <v>125</v>
      </c>
      <c r="H450" t="s">
        <v>51</v>
      </c>
      <c r="I450" t="s">
        <v>26</v>
      </c>
      <c r="J450" t="s">
        <v>109</v>
      </c>
      <c r="K450" t="s">
        <v>110</v>
      </c>
      <c r="L450" t="s">
        <v>63</v>
      </c>
      <c r="M450" t="s">
        <v>81</v>
      </c>
      <c r="N450" t="s">
        <v>1055</v>
      </c>
      <c r="O450" t="s">
        <v>83</v>
      </c>
      <c r="P450" t="s">
        <v>33</v>
      </c>
      <c r="Q450" t="s">
        <v>34</v>
      </c>
      <c r="R450">
        <v>1170.23</v>
      </c>
      <c r="S450">
        <v>1</v>
      </c>
      <c r="T450">
        <v>0.15</v>
      </c>
      <c r="U450">
        <v>195.9</v>
      </c>
    </row>
    <row r="451" spans="1:21">
      <c r="A451">
        <v>1046</v>
      </c>
      <c r="B451" t="s">
        <v>1056</v>
      </c>
      <c r="C451" s="1">
        <v>45373</v>
      </c>
      <c r="D451" s="1">
        <v>45379</v>
      </c>
      <c r="E451" t="s">
        <v>101</v>
      </c>
      <c r="F451" t="s">
        <v>260</v>
      </c>
      <c r="G451" t="s">
        <v>78</v>
      </c>
      <c r="H451" t="s">
        <v>51</v>
      </c>
      <c r="I451" t="s">
        <v>26</v>
      </c>
      <c r="J451" t="s">
        <v>160</v>
      </c>
      <c r="K451" t="s">
        <v>161</v>
      </c>
      <c r="L451" t="s">
        <v>92</v>
      </c>
      <c r="M451" t="s">
        <v>127</v>
      </c>
      <c r="N451" t="s">
        <v>679</v>
      </c>
      <c r="O451" t="s">
        <v>188</v>
      </c>
      <c r="P451" t="s">
        <v>189</v>
      </c>
      <c r="Q451" t="s">
        <v>190</v>
      </c>
      <c r="R451">
        <v>19064.439999999999</v>
      </c>
      <c r="S451">
        <v>5</v>
      </c>
      <c r="T451">
        <v>0.3</v>
      </c>
      <c r="U451">
        <v>-1371.31</v>
      </c>
    </row>
    <row r="452" spans="1:21">
      <c r="A452">
        <v>1478</v>
      </c>
      <c r="B452" t="s">
        <v>1057</v>
      </c>
      <c r="C452" s="1">
        <v>45340</v>
      </c>
      <c r="D452" s="1">
        <v>45341</v>
      </c>
      <c r="E452" t="s">
        <v>101</v>
      </c>
      <c r="F452" t="s">
        <v>551</v>
      </c>
      <c r="G452" t="s">
        <v>60</v>
      </c>
      <c r="H452" t="s">
        <v>89</v>
      </c>
      <c r="I452" t="s">
        <v>26</v>
      </c>
      <c r="J452" t="s">
        <v>61</v>
      </c>
      <c r="K452" t="s">
        <v>62</v>
      </c>
      <c r="L452" t="s">
        <v>92</v>
      </c>
      <c r="M452" t="s">
        <v>42</v>
      </c>
      <c r="N452" t="s">
        <v>364</v>
      </c>
      <c r="O452" t="s">
        <v>543</v>
      </c>
      <c r="P452" t="s">
        <v>33</v>
      </c>
      <c r="Q452" t="s">
        <v>34</v>
      </c>
      <c r="R452">
        <v>7876.29</v>
      </c>
      <c r="S452">
        <v>6</v>
      </c>
      <c r="T452">
        <v>0.05</v>
      </c>
      <c r="U452">
        <v>1613</v>
      </c>
    </row>
    <row r="453" spans="1:21">
      <c r="A453">
        <v>1576</v>
      </c>
      <c r="B453" t="s">
        <v>1058</v>
      </c>
      <c r="C453" s="1">
        <v>45300</v>
      </c>
      <c r="D453" s="1">
        <v>45301</v>
      </c>
      <c r="E453" t="s">
        <v>48</v>
      </c>
      <c r="F453" t="s">
        <v>345</v>
      </c>
      <c r="G453" t="s">
        <v>174</v>
      </c>
      <c r="H453" t="s">
        <v>51</v>
      </c>
      <c r="I453" t="s">
        <v>26</v>
      </c>
      <c r="J453" t="s">
        <v>131</v>
      </c>
      <c r="K453" t="s">
        <v>132</v>
      </c>
      <c r="L453" t="s">
        <v>41</v>
      </c>
      <c r="M453" t="s">
        <v>118</v>
      </c>
      <c r="N453" t="s">
        <v>812</v>
      </c>
      <c r="O453" t="s">
        <v>83</v>
      </c>
      <c r="P453" t="s">
        <v>84</v>
      </c>
      <c r="Q453" t="s">
        <v>85</v>
      </c>
      <c r="R453">
        <v>4629.3500000000004</v>
      </c>
      <c r="S453">
        <v>2</v>
      </c>
      <c r="T453">
        <v>0.3</v>
      </c>
      <c r="U453">
        <v>297.52</v>
      </c>
    </row>
    <row r="454" spans="1:21">
      <c r="A454">
        <v>1172</v>
      </c>
      <c r="B454" t="s">
        <v>1059</v>
      </c>
      <c r="C454" s="1">
        <v>45459</v>
      </c>
      <c r="D454" s="1">
        <v>45464</v>
      </c>
      <c r="E454" t="s">
        <v>48</v>
      </c>
      <c r="F454" t="s">
        <v>355</v>
      </c>
      <c r="G454" t="s">
        <v>147</v>
      </c>
      <c r="H454" t="s">
        <v>108</v>
      </c>
      <c r="I454" t="s">
        <v>26</v>
      </c>
      <c r="J454" t="s">
        <v>115</v>
      </c>
      <c r="K454" t="s">
        <v>116</v>
      </c>
      <c r="L454" t="s">
        <v>92</v>
      </c>
      <c r="M454" t="s">
        <v>118</v>
      </c>
      <c r="N454" t="s">
        <v>1060</v>
      </c>
      <c r="O454" t="s">
        <v>55</v>
      </c>
      <c r="P454" t="s">
        <v>98</v>
      </c>
      <c r="Q454" t="s">
        <v>99</v>
      </c>
      <c r="R454">
        <v>11524.18</v>
      </c>
      <c r="S454">
        <v>2</v>
      </c>
      <c r="T454">
        <v>0.05</v>
      </c>
      <c r="U454">
        <v>1420.74</v>
      </c>
    </row>
    <row r="455" spans="1:21">
      <c r="A455">
        <v>1017</v>
      </c>
      <c r="B455" t="s">
        <v>1061</v>
      </c>
      <c r="C455" s="1">
        <v>45593</v>
      </c>
      <c r="D455" s="1">
        <v>45595</v>
      </c>
      <c r="E455" t="s">
        <v>22</v>
      </c>
      <c r="F455" t="s">
        <v>482</v>
      </c>
      <c r="G455" t="s">
        <v>24</v>
      </c>
      <c r="H455" t="s">
        <v>51</v>
      </c>
      <c r="I455" t="s">
        <v>26</v>
      </c>
      <c r="J455" t="s">
        <v>72</v>
      </c>
      <c r="K455" t="s">
        <v>73</v>
      </c>
      <c r="L455" t="s">
        <v>169</v>
      </c>
      <c r="M455" t="s">
        <v>30</v>
      </c>
      <c r="N455" t="s">
        <v>390</v>
      </c>
      <c r="O455" t="s">
        <v>44</v>
      </c>
      <c r="P455" t="s">
        <v>45</v>
      </c>
      <c r="Q455" t="s">
        <v>46</v>
      </c>
      <c r="R455">
        <v>90435.68</v>
      </c>
      <c r="S455">
        <v>3</v>
      </c>
      <c r="T455">
        <v>0.1</v>
      </c>
      <c r="U455">
        <v>4983</v>
      </c>
    </row>
    <row r="456" spans="1:21">
      <c r="A456">
        <v>1049</v>
      </c>
      <c r="B456" t="s">
        <v>1062</v>
      </c>
      <c r="C456" s="1">
        <v>45491</v>
      </c>
      <c r="D456" s="1">
        <v>45496</v>
      </c>
      <c r="E456" t="s">
        <v>22</v>
      </c>
      <c r="F456" t="s">
        <v>771</v>
      </c>
      <c r="G456" t="s">
        <v>71</v>
      </c>
      <c r="H456" t="s">
        <v>310</v>
      </c>
      <c r="I456" t="s">
        <v>26</v>
      </c>
      <c r="J456" t="s">
        <v>226</v>
      </c>
      <c r="K456" t="s">
        <v>110</v>
      </c>
      <c r="L456" t="s">
        <v>29</v>
      </c>
      <c r="M456" t="s">
        <v>118</v>
      </c>
      <c r="N456" t="s">
        <v>162</v>
      </c>
      <c r="O456" t="s">
        <v>138</v>
      </c>
      <c r="P456" t="s">
        <v>121</v>
      </c>
      <c r="Q456" t="s">
        <v>122</v>
      </c>
      <c r="R456">
        <v>489.27</v>
      </c>
      <c r="S456">
        <v>1</v>
      </c>
      <c r="T456">
        <v>0.25</v>
      </c>
      <c r="U456">
        <v>17.68</v>
      </c>
    </row>
    <row r="457" spans="1:21">
      <c r="A457">
        <v>1734</v>
      </c>
      <c r="B457" t="s">
        <v>1063</v>
      </c>
      <c r="C457" s="1">
        <v>45629</v>
      </c>
      <c r="D457" s="1">
        <v>45634</v>
      </c>
      <c r="E457" t="s">
        <v>69</v>
      </c>
      <c r="F457" t="s">
        <v>701</v>
      </c>
      <c r="G457" t="s">
        <v>78</v>
      </c>
      <c r="H457" t="s">
        <v>51</v>
      </c>
      <c r="I457" t="s">
        <v>26</v>
      </c>
      <c r="J457" t="s">
        <v>72</v>
      </c>
      <c r="K457" t="s">
        <v>73</v>
      </c>
      <c r="L457" t="s">
        <v>92</v>
      </c>
      <c r="M457" t="s">
        <v>30</v>
      </c>
      <c r="N457" t="s">
        <v>674</v>
      </c>
      <c r="O457" t="s">
        <v>83</v>
      </c>
      <c r="P457" t="s">
        <v>84</v>
      </c>
      <c r="Q457" t="s">
        <v>85</v>
      </c>
      <c r="R457">
        <v>20665.88</v>
      </c>
      <c r="S457">
        <v>6</v>
      </c>
      <c r="T457">
        <v>0</v>
      </c>
      <c r="U457">
        <v>4925.99</v>
      </c>
    </row>
    <row r="458" spans="1:21">
      <c r="A458">
        <v>1695</v>
      </c>
      <c r="B458" t="s">
        <v>1064</v>
      </c>
      <c r="C458" s="1">
        <v>45473</v>
      </c>
      <c r="D458" s="1">
        <v>45476</v>
      </c>
      <c r="E458" t="s">
        <v>22</v>
      </c>
      <c r="F458" t="s">
        <v>49</v>
      </c>
      <c r="G458" t="s">
        <v>136</v>
      </c>
      <c r="H458" t="s">
        <v>51</v>
      </c>
      <c r="I458" t="s">
        <v>26</v>
      </c>
      <c r="J458" t="s">
        <v>52</v>
      </c>
      <c r="K458" t="s">
        <v>52</v>
      </c>
      <c r="L458" t="s">
        <v>41</v>
      </c>
      <c r="M458" t="s">
        <v>74</v>
      </c>
      <c r="N458" t="s">
        <v>54</v>
      </c>
      <c r="O458" t="s">
        <v>55</v>
      </c>
      <c r="P458" t="s">
        <v>98</v>
      </c>
      <c r="Q458" t="s">
        <v>99</v>
      </c>
      <c r="R458">
        <v>11697.86</v>
      </c>
      <c r="S458">
        <v>2</v>
      </c>
      <c r="T458">
        <v>0.15</v>
      </c>
      <c r="U458">
        <v>714.22</v>
      </c>
    </row>
    <row r="459" spans="1:21">
      <c r="A459">
        <v>1004</v>
      </c>
      <c r="B459" t="s">
        <v>1065</v>
      </c>
      <c r="C459" s="1">
        <v>45527</v>
      </c>
      <c r="D459" s="1">
        <v>45532</v>
      </c>
      <c r="E459" t="s">
        <v>22</v>
      </c>
      <c r="F459" t="s">
        <v>77</v>
      </c>
      <c r="G459" t="s">
        <v>37</v>
      </c>
      <c r="H459" t="s">
        <v>389</v>
      </c>
      <c r="I459" t="s">
        <v>26</v>
      </c>
      <c r="J459" t="s">
        <v>131</v>
      </c>
      <c r="K459" t="s">
        <v>132</v>
      </c>
      <c r="L459" t="s">
        <v>169</v>
      </c>
      <c r="M459" t="s">
        <v>170</v>
      </c>
      <c r="N459" t="s">
        <v>978</v>
      </c>
      <c r="O459" t="s">
        <v>55</v>
      </c>
      <c r="P459" t="s">
        <v>56</v>
      </c>
      <c r="Q459" t="s">
        <v>57</v>
      </c>
      <c r="R459">
        <v>20072.740000000002</v>
      </c>
      <c r="S459">
        <v>3</v>
      </c>
      <c r="T459">
        <v>0</v>
      </c>
      <c r="U459">
        <v>3799.65</v>
      </c>
    </row>
    <row r="460" spans="1:21">
      <c r="A460">
        <v>1548</v>
      </c>
      <c r="B460" t="s">
        <v>1066</v>
      </c>
      <c r="C460" s="1">
        <v>45360</v>
      </c>
      <c r="D460" s="1">
        <v>45361</v>
      </c>
      <c r="E460" t="s">
        <v>22</v>
      </c>
      <c r="F460" t="s">
        <v>499</v>
      </c>
      <c r="G460" t="s">
        <v>229</v>
      </c>
      <c r="H460" t="s">
        <v>51</v>
      </c>
      <c r="I460" t="s">
        <v>26</v>
      </c>
      <c r="J460" t="s">
        <v>61</v>
      </c>
      <c r="K460" t="s">
        <v>62</v>
      </c>
      <c r="L460" t="s">
        <v>154</v>
      </c>
      <c r="M460" t="s">
        <v>81</v>
      </c>
      <c r="N460" t="s">
        <v>1067</v>
      </c>
      <c r="O460" t="s">
        <v>144</v>
      </c>
      <c r="P460" t="s">
        <v>98</v>
      </c>
      <c r="Q460" t="s">
        <v>99</v>
      </c>
      <c r="R460">
        <v>46543.96</v>
      </c>
      <c r="S460">
        <v>8</v>
      </c>
      <c r="T460">
        <v>0.05</v>
      </c>
      <c r="U460">
        <v>4974.5600000000004</v>
      </c>
    </row>
    <row r="461" spans="1:21">
      <c r="A461">
        <v>1495</v>
      </c>
      <c r="B461" t="s">
        <v>1068</v>
      </c>
      <c r="C461" s="1">
        <v>45576</v>
      </c>
      <c r="D461" s="1">
        <v>45579</v>
      </c>
      <c r="E461" t="s">
        <v>69</v>
      </c>
      <c r="F461" t="s">
        <v>309</v>
      </c>
      <c r="G461" t="s">
        <v>174</v>
      </c>
      <c r="H461" t="s">
        <v>108</v>
      </c>
      <c r="I461" t="s">
        <v>26</v>
      </c>
      <c r="J461" t="s">
        <v>90</v>
      </c>
      <c r="K461" t="s">
        <v>91</v>
      </c>
      <c r="L461" t="s">
        <v>29</v>
      </c>
      <c r="M461" t="s">
        <v>81</v>
      </c>
      <c r="N461" t="s">
        <v>351</v>
      </c>
      <c r="O461" t="s">
        <v>144</v>
      </c>
      <c r="P461" t="s">
        <v>66</v>
      </c>
      <c r="Q461" t="s">
        <v>67</v>
      </c>
      <c r="R461">
        <v>48930.64</v>
      </c>
      <c r="S461">
        <v>6</v>
      </c>
      <c r="T461">
        <v>0</v>
      </c>
      <c r="U461">
        <v>9078.01</v>
      </c>
    </row>
    <row r="462" spans="1:21">
      <c r="A462">
        <v>1317</v>
      </c>
      <c r="B462" t="s">
        <v>1069</v>
      </c>
      <c r="C462" s="1">
        <v>45630</v>
      </c>
      <c r="D462" s="1">
        <v>45633</v>
      </c>
      <c r="E462" t="s">
        <v>48</v>
      </c>
      <c r="F462" t="s">
        <v>395</v>
      </c>
      <c r="G462" t="s">
        <v>50</v>
      </c>
      <c r="H462" t="s">
        <v>51</v>
      </c>
      <c r="I462" t="s">
        <v>26</v>
      </c>
      <c r="J462" t="s">
        <v>131</v>
      </c>
      <c r="K462" t="s">
        <v>132</v>
      </c>
      <c r="L462" t="s">
        <v>41</v>
      </c>
      <c r="M462" t="s">
        <v>118</v>
      </c>
      <c r="N462" t="s">
        <v>1070</v>
      </c>
      <c r="O462" t="s">
        <v>55</v>
      </c>
      <c r="P462" t="s">
        <v>56</v>
      </c>
      <c r="Q462" t="s">
        <v>57</v>
      </c>
      <c r="R462">
        <v>6131.43</v>
      </c>
      <c r="S462">
        <v>1</v>
      </c>
      <c r="T462">
        <v>0.15</v>
      </c>
      <c r="U462">
        <v>389.37</v>
      </c>
    </row>
    <row r="463" spans="1:21">
      <c r="A463">
        <v>1534</v>
      </c>
      <c r="B463" t="s">
        <v>1071</v>
      </c>
      <c r="C463" s="1">
        <v>45383</v>
      </c>
      <c r="D463" s="1">
        <v>45389</v>
      </c>
      <c r="E463" t="s">
        <v>101</v>
      </c>
      <c r="F463" t="s">
        <v>113</v>
      </c>
      <c r="G463" t="s">
        <v>174</v>
      </c>
      <c r="H463" t="s">
        <v>51</v>
      </c>
      <c r="I463" t="s">
        <v>26</v>
      </c>
      <c r="J463" t="s">
        <v>346</v>
      </c>
      <c r="K463" t="s">
        <v>132</v>
      </c>
      <c r="L463" t="s">
        <v>63</v>
      </c>
      <c r="M463" t="s">
        <v>42</v>
      </c>
      <c r="N463" t="s">
        <v>504</v>
      </c>
      <c r="O463" t="s">
        <v>44</v>
      </c>
      <c r="P463" t="s">
        <v>45</v>
      </c>
      <c r="Q463" t="s">
        <v>46</v>
      </c>
      <c r="R463">
        <v>25871.52</v>
      </c>
      <c r="S463">
        <v>1</v>
      </c>
      <c r="T463">
        <v>0.25</v>
      </c>
      <c r="U463">
        <v>-1093.72</v>
      </c>
    </row>
    <row r="464" spans="1:21">
      <c r="A464">
        <v>1448</v>
      </c>
      <c r="B464" t="s">
        <v>1072</v>
      </c>
      <c r="C464" s="1">
        <v>45561</v>
      </c>
      <c r="D464" s="1">
        <v>45563</v>
      </c>
      <c r="E464" t="s">
        <v>22</v>
      </c>
      <c r="F464" t="s">
        <v>280</v>
      </c>
      <c r="G464" t="s">
        <v>125</v>
      </c>
      <c r="H464" t="s">
        <v>51</v>
      </c>
      <c r="I464" t="s">
        <v>26</v>
      </c>
      <c r="J464" t="s">
        <v>72</v>
      </c>
      <c r="K464" t="s">
        <v>73</v>
      </c>
      <c r="L464" t="s">
        <v>215</v>
      </c>
      <c r="M464" t="s">
        <v>127</v>
      </c>
      <c r="N464" t="s">
        <v>1073</v>
      </c>
      <c r="O464" t="s">
        <v>83</v>
      </c>
      <c r="P464" t="s">
        <v>33</v>
      </c>
      <c r="Q464" t="s">
        <v>34</v>
      </c>
      <c r="R464">
        <v>4097.3100000000004</v>
      </c>
      <c r="S464">
        <v>3</v>
      </c>
      <c r="T464">
        <v>0.05</v>
      </c>
      <c r="U464">
        <v>759.71</v>
      </c>
    </row>
    <row r="465" spans="1:21">
      <c r="A465">
        <v>1699</v>
      </c>
      <c r="B465" t="s">
        <v>1074</v>
      </c>
      <c r="C465" s="1">
        <v>45645</v>
      </c>
      <c r="D465" s="1">
        <v>45651</v>
      </c>
      <c r="E465" t="s">
        <v>101</v>
      </c>
      <c r="F465" t="s">
        <v>398</v>
      </c>
      <c r="G465" t="s">
        <v>78</v>
      </c>
      <c r="H465" t="s">
        <v>25</v>
      </c>
      <c r="I465" t="s">
        <v>26</v>
      </c>
      <c r="J465" t="s">
        <v>160</v>
      </c>
      <c r="K465" t="s">
        <v>161</v>
      </c>
      <c r="L465" t="s">
        <v>41</v>
      </c>
      <c r="M465" t="s">
        <v>30</v>
      </c>
      <c r="N465" t="s">
        <v>1075</v>
      </c>
      <c r="O465" t="s">
        <v>138</v>
      </c>
      <c r="P465" t="s">
        <v>139</v>
      </c>
      <c r="Q465" t="s">
        <v>140</v>
      </c>
      <c r="R465">
        <v>1503.19</v>
      </c>
      <c r="S465">
        <v>2</v>
      </c>
      <c r="T465">
        <v>0.2</v>
      </c>
      <c r="U465">
        <v>92</v>
      </c>
    </row>
    <row r="466" spans="1:21">
      <c r="A466">
        <v>1284</v>
      </c>
      <c r="B466" t="s">
        <v>1076</v>
      </c>
      <c r="C466" s="1">
        <v>45406</v>
      </c>
      <c r="D466" s="1">
        <v>45409</v>
      </c>
      <c r="E466" t="s">
        <v>69</v>
      </c>
      <c r="F466" t="s">
        <v>751</v>
      </c>
      <c r="G466" t="s">
        <v>71</v>
      </c>
      <c r="H466" t="s">
        <v>25</v>
      </c>
      <c r="I466" t="s">
        <v>26</v>
      </c>
      <c r="J466" t="s">
        <v>346</v>
      </c>
      <c r="K466" t="s">
        <v>132</v>
      </c>
      <c r="L466" t="s">
        <v>63</v>
      </c>
      <c r="M466" t="s">
        <v>42</v>
      </c>
      <c r="N466" t="s">
        <v>1077</v>
      </c>
      <c r="O466" t="s">
        <v>138</v>
      </c>
      <c r="P466" t="s">
        <v>121</v>
      </c>
      <c r="Q466" t="s">
        <v>122</v>
      </c>
      <c r="R466">
        <v>1916.38</v>
      </c>
      <c r="S466">
        <v>4</v>
      </c>
      <c r="T466">
        <v>0.25</v>
      </c>
      <c r="U466">
        <v>69.62</v>
      </c>
    </row>
    <row r="467" spans="1:21">
      <c r="A467">
        <v>1097</v>
      </c>
      <c r="B467" t="s">
        <v>1078</v>
      </c>
      <c r="C467" s="1">
        <v>45423</v>
      </c>
      <c r="D467" s="1">
        <v>45427</v>
      </c>
      <c r="E467" t="s">
        <v>48</v>
      </c>
      <c r="F467" t="s">
        <v>645</v>
      </c>
      <c r="G467" t="s">
        <v>88</v>
      </c>
      <c r="H467" t="s">
        <v>51</v>
      </c>
      <c r="I467" t="s">
        <v>26</v>
      </c>
      <c r="J467" t="s">
        <v>226</v>
      </c>
      <c r="K467" t="s">
        <v>110</v>
      </c>
      <c r="L467" t="s">
        <v>63</v>
      </c>
      <c r="M467" t="s">
        <v>127</v>
      </c>
      <c r="N467" t="s">
        <v>1079</v>
      </c>
      <c r="O467" t="s">
        <v>138</v>
      </c>
      <c r="P467" t="s">
        <v>121</v>
      </c>
      <c r="Q467" t="s">
        <v>122</v>
      </c>
      <c r="R467">
        <v>1314.12</v>
      </c>
      <c r="S467">
        <v>2</v>
      </c>
      <c r="T467" t="s">
        <v>608</v>
      </c>
      <c r="U467">
        <v>234.76</v>
      </c>
    </row>
    <row r="468" spans="1:21">
      <c r="A468">
        <v>1286</v>
      </c>
      <c r="B468" t="s">
        <v>1080</v>
      </c>
      <c r="C468" s="1">
        <v>45296</v>
      </c>
      <c r="D468" s="1">
        <v>45299</v>
      </c>
      <c r="E468" t="s">
        <v>69</v>
      </c>
      <c r="F468" t="s">
        <v>449</v>
      </c>
      <c r="G468" t="s">
        <v>114</v>
      </c>
      <c r="H468" t="s">
        <v>51</v>
      </c>
      <c r="I468" t="s">
        <v>26</v>
      </c>
      <c r="J468" t="s">
        <v>27</v>
      </c>
      <c r="K468" t="s">
        <v>28</v>
      </c>
      <c r="M468" t="s">
        <v>81</v>
      </c>
      <c r="N468" t="s">
        <v>1081</v>
      </c>
      <c r="O468" t="s">
        <v>188</v>
      </c>
      <c r="P468" t="s">
        <v>189</v>
      </c>
      <c r="Q468" t="s">
        <v>386</v>
      </c>
      <c r="R468">
        <v>1543.45</v>
      </c>
      <c r="S468">
        <v>1</v>
      </c>
      <c r="T468">
        <v>0.3</v>
      </c>
      <c r="U468">
        <v>-114.55</v>
      </c>
    </row>
    <row r="469" spans="1:21">
      <c r="A469">
        <v>1496</v>
      </c>
      <c r="B469" t="s">
        <v>1082</v>
      </c>
      <c r="C469" s="1">
        <v>45505</v>
      </c>
      <c r="D469" s="1">
        <v>45507</v>
      </c>
      <c r="E469" t="s">
        <v>69</v>
      </c>
      <c r="F469" t="s">
        <v>791</v>
      </c>
      <c r="G469" t="s">
        <v>78</v>
      </c>
      <c r="H469" t="s">
        <v>51</v>
      </c>
      <c r="I469" t="s">
        <v>26</v>
      </c>
      <c r="J469" t="s">
        <v>131</v>
      </c>
      <c r="K469" t="s">
        <v>132</v>
      </c>
      <c r="L469" t="s">
        <v>63</v>
      </c>
      <c r="M469" t="s">
        <v>118</v>
      </c>
      <c r="N469" t="s">
        <v>1083</v>
      </c>
      <c r="O469" t="s">
        <v>83</v>
      </c>
      <c r="P469" t="s">
        <v>33</v>
      </c>
      <c r="Q469" t="s">
        <v>34</v>
      </c>
      <c r="R469">
        <v>9242.5400000000009</v>
      </c>
      <c r="S469">
        <v>7</v>
      </c>
      <c r="T469" t="s">
        <v>1084</v>
      </c>
      <c r="U469">
        <v>1876.32</v>
      </c>
    </row>
    <row r="470" spans="1:21">
      <c r="A470">
        <v>1226</v>
      </c>
      <c r="B470" t="s">
        <v>1085</v>
      </c>
      <c r="C470" s="1">
        <v>45330</v>
      </c>
      <c r="D470" s="1">
        <v>45336</v>
      </c>
      <c r="E470" t="s">
        <v>48</v>
      </c>
      <c r="F470" t="s">
        <v>315</v>
      </c>
      <c r="G470" t="s">
        <v>136</v>
      </c>
      <c r="H470" t="s">
        <v>108</v>
      </c>
      <c r="I470" t="s">
        <v>26</v>
      </c>
      <c r="J470" t="s">
        <v>61</v>
      </c>
      <c r="K470" t="s">
        <v>62</v>
      </c>
      <c r="L470" t="s">
        <v>41</v>
      </c>
      <c r="M470" t="s">
        <v>30</v>
      </c>
      <c r="N470" t="s">
        <v>1086</v>
      </c>
      <c r="O470" t="s">
        <v>83</v>
      </c>
      <c r="P470" t="s">
        <v>33</v>
      </c>
      <c r="Q470" t="s">
        <v>34</v>
      </c>
      <c r="R470">
        <v>4386.24</v>
      </c>
      <c r="S470">
        <v>3</v>
      </c>
      <c r="T470">
        <v>0</v>
      </c>
      <c r="U470">
        <v>1128.58</v>
      </c>
    </row>
    <row r="471" spans="1:21">
      <c r="A471">
        <v>1027</v>
      </c>
      <c r="B471" t="s">
        <v>1087</v>
      </c>
      <c r="C471" s="1">
        <v>45329</v>
      </c>
      <c r="D471" s="1">
        <v>45334</v>
      </c>
      <c r="E471" t="s">
        <v>69</v>
      </c>
      <c r="F471" t="s">
        <v>490</v>
      </c>
      <c r="G471" t="s">
        <v>78</v>
      </c>
      <c r="H471" t="s">
        <v>38</v>
      </c>
      <c r="I471" t="s">
        <v>26</v>
      </c>
      <c r="J471" t="s">
        <v>27</v>
      </c>
      <c r="K471" t="s">
        <v>28</v>
      </c>
      <c r="L471" t="s">
        <v>92</v>
      </c>
      <c r="M471" t="s">
        <v>42</v>
      </c>
      <c r="N471" t="s">
        <v>1088</v>
      </c>
      <c r="O471" t="s">
        <v>188</v>
      </c>
      <c r="P471" t="s">
        <v>189</v>
      </c>
      <c r="Q471" t="s">
        <v>190</v>
      </c>
      <c r="R471">
        <v>12415.71</v>
      </c>
      <c r="S471">
        <v>2</v>
      </c>
      <c r="T471">
        <v>0</v>
      </c>
      <c r="U471">
        <v>1932.68</v>
      </c>
    </row>
    <row r="472" spans="1:21">
      <c r="A472">
        <v>1599</v>
      </c>
      <c r="B472" t="s">
        <v>1089</v>
      </c>
      <c r="C472" s="1">
        <v>45609</v>
      </c>
      <c r="D472" s="1">
        <v>45612</v>
      </c>
      <c r="E472" t="s">
        <v>22</v>
      </c>
      <c r="F472" t="s">
        <v>541</v>
      </c>
      <c r="G472" t="s">
        <v>71</v>
      </c>
      <c r="H472" t="s">
        <v>389</v>
      </c>
      <c r="I472" t="s">
        <v>26</v>
      </c>
      <c r="J472" t="s">
        <v>52</v>
      </c>
      <c r="K472" t="s">
        <v>52</v>
      </c>
      <c r="L472" t="s">
        <v>63</v>
      </c>
      <c r="M472" t="s">
        <v>74</v>
      </c>
      <c r="N472" t="s">
        <v>1090</v>
      </c>
      <c r="O472" t="s">
        <v>138</v>
      </c>
      <c r="P472" t="s">
        <v>139</v>
      </c>
      <c r="Q472" t="s">
        <v>140</v>
      </c>
      <c r="R472" t="s">
        <v>1091</v>
      </c>
      <c r="S472">
        <v>5</v>
      </c>
      <c r="T472">
        <v>0</v>
      </c>
      <c r="U472">
        <v>1261.56</v>
      </c>
    </row>
    <row r="473" spans="1:21">
      <c r="A473">
        <v>1264</v>
      </c>
      <c r="B473" t="s">
        <v>1092</v>
      </c>
      <c r="C473" s="1">
        <v>45464</v>
      </c>
      <c r="D473" s="1">
        <v>45469</v>
      </c>
      <c r="E473" t="s">
        <v>69</v>
      </c>
      <c r="F473" t="s">
        <v>931</v>
      </c>
      <c r="G473" t="s">
        <v>88</v>
      </c>
      <c r="H473" t="s">
        <v>51</v>
      </c>
      <c r="I473" t="s">
        <v>26</v>
      </c>
      <c r="J473" t="s">
        <v>61</v>
      </c>
      <c r="K473" t="s">
        <v>62</v>
      </c>
      <c r="L473" t="s">
        <v>29</v>
      </c>
      <c r="M473" t="s">
        <v>127</v>
      </c>
      <c r="N473" t="s">
        <v>879</v>
      </c>
      <c r="O473" t="s">
        <v>44</v>
      </c>
      <c r="P473" t="s">
        <v>211</v>
      </c>
      <c r="Q473" t="s">
        <v>223</v>
      </c>
      <c r="R473">
        <v>3018.3</v>
      </c>
      <c r="S473">
        <v>2</v>
      </c>
      <c r="T473">
        <v>0.15</v>
      </c>
      <c r="U473">
        <v>33.450000000000003</v>
      </c>
    </row>
    <row r="474" spans="1:21">
      <c r="A474">
        <v>1438</v>
      </c>
      <c r="B474" t="s">
        <v>1093</v>
      </c>
      <c r="C474" s="1">
        <v>45343</v>
      </c>
      <c r="D474" s="1">
        <v>45349</v>
      </c>
      <c r="E474" t="s">
        <v>48</v>
      </c>
      <c r="F474" t="s">
        <v>398</v>
      </c>
      <c r="G474" t="s">
        <v>107</v>
      </c>
      <c r="H474" t="s">
        <v>51</v>
      </c>
      <c r="I474" t="s">
        <v>26</v>
      </c>
      <c r="J474" t="s">
        <v>166</v>
      </c>
      <c r="K474" t="s">
        <v>132</v>
      </c>
      <c r="L474" t="s">
        <v>334</v>
      </c>
      <c r="M474" t="s">
        <v>127</v>
      </c>
      <c r="N474" t="s">
        <v>1094</v>
      </c>
      <c r="O474" t="s">
        <v>240</v>
      </c>
      <c r="P474" t="s">
        <v>139</v>
      </c>
      <c r="Q474" t="s">
        <v>140</v>
      </c>
      <c r="R474">
        <v>2370.2199999999998</v>
      </c>
      <c r="S474">
        <v>3</v>
      </c>
      <c r="T474">
        <v>0.1</v>
      </c>
      <c r="U474">
        <v>264.97000000000003</v>
      </c>
    </row>
    <row r="475" spans="1:21">
      <c r="A475">
        <v>1051</v>
      </c>
      <c r="B475" t="s">
        <v>1095</v>
      </c>
      <c r="C475" s="1">
        <v>45376</v>
      </c>
      <c r="D475" s="1">
        <v>45380</v>
      </c>
      <c r="E475" t="s">
        <v>69</v>
      </c>
      <c r="F475" t="s">
        <v>604</v>
      </c>
      <c r="G475" t="s">
        <v>136</v>
      </c>
      <c r="H475" t="s">
        <v>51</v>
      </c>
      <c r="I475" t="s">
        <v>26</v>
      </c>
      <c r="J475" t="s">
        <v>346</v>
      </c>
      <c r="K475" t="s">
        <v>132</v>
      </c>
      <c r="L475" t="s">
        <v>41</v>
      </c>
      <c r="M475" t="s">
        <v>118</v>
      </c>
      <c r="N475" t="s">
        <v>862</v>
      </c>
      <c r="O475" t="s">
        <v>55</v>
      </c>
      <c r="P475" t="s">
        <v>98</v>
      </c>
      <c r="Q475" t="s">
        <v>99</v>
      </c>
      <c r="R475">
        <v>17760.55</v>
      </c>
      <c r="S475">
        <v>4</v>
      </c>
      <c r="T475">
        <v>0.25</v>
      </c>
      <c r="U475">
        <v>-47.43</v>
      </c>
    </row>
    <row r="476" spans="1:21">
      <c r="A476">
        <v>1365</v>
      </c>
      <c r="B476" t="s">
        <v>1096</v>
      </c>
      <c r="C476" s="1">
        <v>45461</v>
      </c>
      <c r="D476" s="1">
        <v>45464</v>
      </c>
      <c r="E476" t="s">
        <v>22</v>
      </c>
      <c r="F476" t="s">
        <v>490</v>
      </c>
      <c r="G476" t="s">
        <v>107</v>
      </c>
      <c r="H476" t="s">
        <v>51</v>
      </c>
      <c r="I476" t="s">
        <v>26</v>
      </c>
      <c r="J476" t="s">
        <v>61</v>
      </c>
      <c r="K476" t="s">
        <v>62</v>
      </c>
      <c r="L476" t="s">
        <v>29</v>
      </c>
      <c r="M476" t="s">
        <v>118</v>
      </c>
      <c r="N476" t="s">
        <v>1097</v>
      </c>
      <c r="O476" t="s">
        <v>44</v>
      </c>
      <c r="P476" t="s">
        <v>211</v>
      </c>
      <c r="Q476" t="s">
        <v>212</v>
      </c>
      <c r="R476">
        <v>3085.32</v>
      </c>
      <c r="S476">
        <v>3</v>
      </c>
      <c r="T476">
        <v>0.1</v>
      </c>
      <c r="U476">
        <v>115.49</v>
      </c>
    </row>
    <row r="477" spans="1:21">
      <c r="A477">
        <v>1230</v>
      </c>
      <c r="B477" t="s">
        <v>1098</v>
      </c>
      <c r="C477" s="1">
        <v>45335</v>
      </c>
      <c r="D477" s="1">
        <v>45340</v>
      </c>
      <c r="E477" t="s">
        <v>48</v>
      </c>
      <c r="F477" t="s">
        <v>398</v>
      </c>
      <c r="G477" t="s">
        <v>107</v>
      </c>
      <c r="H477" t="s">
        <v>153</v>
      </c>
      <c r="I477" t="s">
        <v>26</v>
      </c>
      <c r="J477" t="s">
        <v>52</v>
      </c>
      <c r="K477" t="s">
        <v>52</v>
      </c>
      <c r="L477" t="s">
        <v>169</v>
      </c>
      <c r="M477" t="s">
        <v>74</v>
      </c>
      <c r="N477" t="s">
        <v>1099</v>
      </c>
      <c r="O477" t="s">
        <v>144</v>
      </c>
      <c r="P477" t="s">
        <v>98</v>
      </c>
      <c r="Q477" t="s">
        <v>99</v>
      </c>
      <c r="R477">
        <v>17836.96</v>
      </c>
      <c r="S477">
        <v>4</v>
      </c>
      <c r="T477">
        <v>0.25</v>
      </c>
      <c r="U477">
        <v>-36.090000000000003</v>
      </c>
    </row>
    <row r="478" spans="1:21">
      <c r="A478">
        <v>1038</v>
      </c>
      <c r="B478" t="s">
        <v>1100</v>
      </c>
      <c r="C478" s="1">
        <v>45314</v>
      </c>
      <c r="D478" s="1">
        <v>45320</v>
      </c>
      <c r="E478" t="s">
        <v>101</v>
      </c>
      <c r="F478" t="s">
        <v>180</v>
      </c>
      <c r="G478" t="s">
        <v>136</v>
      </c>
      <c r="H478" t="s">
        <v>310</v>
      </c>
      <c r="I478" t="s">
        <v>26</v>
      </c>
      <c r="J478" t="s">
        <v>52</v>
      </c>
      <c r="K478" t="s">
        <v>52</v>
      </c>
      <c r="L478" t="s">
        <v>154</v>
      </c>
      <c r="M478" t="s">
        <v>42</v>
      </c>
      <c r="N478" t="s">
        <v>1101</v>
      </c>
      <c r="O478" t="s">
        <v>293</v>
      </c>
      <c r="P478" t="s">
        <v>45</v>
      </c>
      <c r="Q478" t="s">
        <v>46</v>
      </c>
      <c r="R478">
        <v>94838.32</v>
      </c>
      <c r="S478">
        <v>3</v>
      </c>
      <c r="T478">
        <v>0.15</v>
      </c>
      <c r="U478">
        <v>1321.22</v>
      </c>
    </row>
    <row r="479" spans="1:21">
      <c r="A479">
        <v>1158</v>
      </c>
      <c r="B479" t="s">
        <v>1102</v>
      </c>
      <c r="C479" s="1">
        <v>45326</v>
      </c>
      <c r="D479" s="1">
        <v>45328</v>
      </c>
      <c r="E479" t="s">
        <v>48</v>
      </c>
      <c r="F479" t="s">
        <v>203</v>
      </c>
      <c r="G479" t="s">
        <v>37</v>
      </c>
      <c r="H479" t="s">
        <v>89</v>
      </c>
      <c r="I479" t="s">
        <v>26</v>
      </c>
      <c r="J479" t="s">
        <v>61</v>
      </c>
      <c r="K479" t="s">
        <v>62</v>
      </c>
      <c r="L479" t="s">
        <v>53</v>
      </c>
      <c r="M479" t="s">
        <v>170</v>
      </c>
      <c r="N479" t="s">
        <v>1103</v>
      </c>
      <c r="O479" t="s">
        <v>138</v>
      </c>
      <c r="P479" t="s">
        <v>139</v>
      </c>
      <c r="Q479" t="s">
        <v>140</v>
      </c>
      <c r="R479">
        <v>1902.03</v>
      </c>
      <c r="S479">
        <v>2</v>
      </c>
      <c r="T479">
        <v>0.05</v>
      </c>
      <c r="U479">
        <v>349.81</v>
      </c>
    </row>
    <row r="480" spans="1:21">
      <c r="A480">
        <v>1238</v>
      </c>
      <c r="B480" t="s">
        <v>1104</v>
      </c>
      <c r="C480" s="1">
        <v>45458</v>
      </c>
      <c r="D480" s="1">
        <v>45462</v>
      </c>
      <c r="E480" t="s">
        <v>48</v>
      </c>
      <c r="F480" t="s">
        <v>159</v>
      </c>
      <c r="G480" t="s">
        <v>147</v>
      </c>
      <c r="H480" t="s">
        <v>25</v>
      </c>
      <c r="I480" t="s">
        <v>26</v>
      </c>
      <c r="J480" t="s">
        <v>115</v>
      </c>
      <c r="K480" t="s">
        <v>116</v>
      </c>
      <c r="L480" t="s">
        <v>186</v>
      </c>
      <c r="M480" t="s">
        <v>42</v>
      </c>
      <c r="N480" t="s">
        <v>407</v>
      </c>
      <c r="O480" t="s">
        <v>83</v>
      </c>
      <c r="P480" t="s">
        <v>33</v>
      </c>
      <c r="Q480" t="s">
        <v>34</v>
      </c>
      <c r="R480">
        <v>3796.75</v>
      </c>
      <c r="S480">
        <v>3</v>
      </c>
      <c r="T480">
        <v>0.1</v>
      </c>
      <c r="U480">
        <v>875.53</v>
      </c>
    </row>
    <row r="481" spans="1:21">
      <c r="A481">
        <v>1729</v>
      </c>
      <c r="B481" t="s">
        <v>1105</v>
      </c>
      <c r="C481" s="1">
        <v>45402</v>
      </c>
      <c r="D481" s="1">
        <v>45404</v>
      </c>
      <c r="E481" t="s">
        <v>101</v>
      </c>
      <c r="F481" t="s">
        <v>180</v>
      </c>
      <c r="G481" t="s">
        <v>50</v>
      </c>
      <c r="H481" t="s">
        <v>153</v>
      </c>
      <c r="I481" t="s">
        <v>26</v>
      </c>
      <c r="J481" t="s">
        <v>79</v>
      </c>
      <c r="K481" t="s">
        <v>80</v>
      </c>
      <c r="L481" t="s">
        <v>63</v>
      </c>
      <c r="M481" t="s">
        <v>74</v>
      </c>
      <c r="N481" t="s">
        <v>741</v>
      </c>
      <c r="O481" t="s">
        <v>55</v>
      </c>
      <c r="P481" t="s">
        <v>98</v>
      </c>
      <c r="Q481" t="s">
        <v>99</v>
      </c>
      <c r="R481">
        <v>33629.78</v>
      </c>
      <c r="S481">
        <v>6</v>
      </c>
      <c r="T481">
        <v>0.15</v>
      </c>
      <c r="U481">
        <v>2287.36</v>
      </c>
    </row>
    <row r="482" spans="1:21">
      <c r="A482">
        <v>1375</v>
      </c>
      <c r="B482" t="s">
        <v>1106</v>
      </c>
      <c r="C482" s="1">
        <v>45643</v>
      </c>
      <c r="D482" s="1">
        <v>45646</v>
      </c>
      <c r="E482" t="s">
        <v>69</v>
      </c>
      <c r="F482" t="s">
        <v>663</v>
      </c>
      <c r="G482" t="s">
        <v>125</v>
      </c>
      <c r="H482" t="s">
        <v>51</v>
      </c>
      <c r="I482" t="s">
        <v>26</v>
      </c>
      <c r="J482" t="s">
        <v>52</v>
      </c>
      <c r="K482" t="s">
        <v>52</v>
      </c>
      <c r="L482" t="s">
        <v>154</v>
      </c>
      <c r="M482" t="s">
        <v>170</v>
      </c>
      <c r="N482" t="s">
        <v>1083</v>
      </c>
      <c r="O482" t="s">
        <v>120</v>
      </c>
      <c r="P482" t="s">
        <v>156</v>
      </c>
      <c r="Q482" t="s">
        <v>157</v>
      </c>
      <c r="R482">
        <v>344.01</v>
      </c>
      <c r="S482">
        <v>1</v>
      </c>
      <c r="T482">
        <v>0.15</v>
      </c>
      <c r="U482">
        <v>37.450000000000003</v>
      </c>
    </row>
    <row r="483" spans="1:21">
      <c r="A483">
        <v>1470</v>
      </c>
      <c r="B483" t="s">
        <v>1107</v>
      </c>
      <c r="C483" s="1">
        <v>45628</v>
      </c>
      <c r="D483" s="1">
        <v>45632</v>
      </c>
      <c r="E483" t="s">
        <v>48</v>
      </c>
      <c r="F483" t="s">
        <v>337</v>
      </c>
      <c r="G483" t="s">
        <v>174</v>
      </c>
      <c r="H483" t="s">
        <v>51</v>
      </c>
      <c r="I483" t="s">
        <v>26</v>
      </c>
      <c r="J483" t="s">
        <v>72</v>
      </c>
      <c r="K483" t="s">
        <v>73</v>
      </c>
      <c r="L483" t="s">
        <v>92</v>
      </c>
      <c r="M483" t="s">
        <v>170</v>
      </c>
      <c r="N483" t="s">
        <v>1108</v>
      </c>
      <c r="O483" t="s">
        <v>44</v>
      </c>
      <c r="P483" t="s">
        <v>45</v>
      </c>
      <c r="Q483" t="s">
        <v>46</v>
      </c>
      <c r="R483">
        <v>76046.05</v>
      </c>
      <c r="S483">
        <v>3</v>
      </c>
      <c r="T483">
        <v>0.25</v>
      </c>
      <c r="U483">
        <v>-4145.16</v>
      </c>
    </row>
    <row r="484" spans="1:21">
      <c r="A484">
        <v>1371</v>
      </c>
      <c r="B484" t="s">
        <v>1109</v>
      </c>
      <c r="C484" s="1">
        <v>45315</v>
      </c>
      <c r="D484" s="1">
        <v>45321</v>
      </c>
      <c r="E484" t="s">
        <v>22</v>
      </c>
      <c r="F484" t="s">
        <v>49</v>
      </c>
      <c r="G484" t="s">
        <v>71</v>
      </c>
      <c r="H484" t="s">
        <v>51</v>
      </c>
      <c r="I484" t="s">
        <v>26</v>
      </c>
      <c r="J484" t="s">
        <v>61</v>
      </c>
      <c r="K484" t="s">
        <v>62</v>
      </c>
      <c r="L484" t="s">
        <v>334</v>
      </c>
      <c r="M484" t="s">
        <v>118</v>
      </c>
      <c r="N484" t="s">
        <v>739</v>
      </c>
      <c r="O484" t="s">
        <v>83</v>
      </c>
      <c r="P484" t="s">
        <v>84</v>
      </c>
      <c r="Q484" t="s">
        <v>85</v>
      </c>
      <c r="R484">
        <v>4771.34</v>
      </c>
      <c r="S484">
        <v>2</v>
      </c>
      <c r="T484">
        <v>0.25</v>
      </c>
      <c r="U484">
        <v>376.03</v>
      </c>
    </row>
    <row r="485" spans="1:21">
      <c r="A485">
        <v>1443</v>
      </c>
      <c r="B485" t="s">
        <v>1110</v>
      </c>
      <c r="C485" s="1">
        <v>45615</v>
      </c>
      <c r="D485" s="1">
        <v>45617</v>
      </c>
      <c r="E485" t="s">
        <v>69</v>
      </c>
      <c r="F485" t="s">
        <v>255</v>
      </c>
      <c r="G485" t="s">
        <v>147</v>
      </c>
      <c r="H485" t="s">
        <v>51</v>
      </c>
      <c r="I485" t="s">
        <v>26</v>
      </c>
      <c r="J485" t="s">
        <v>39</v>
      </c>
      <c r="K485" t="s">
        <v>40</v>
      </c>
      <c r="L485" t="s">
        <v>63</v>
      </c>
      <c r="M485" t="s">
        <v>118</v>
      </c>
      <c r="N485" t="s">
        <v>1111</v>
      </c>
      <c r="O485" t="s">
        <v>188</v>
      </c>
      <c r="P485" t="s">
        <v>189</v>
      </c>
      <c r="Q485" t="s">
        <v>190</v>
      </c>
      <c r="R485">
        <v>12764.48</v>
      </c>
      <c r="S485">
        <v>3</v>
      </c>
      <c r="T485">
        <v>0.3</v>
      </c>
      <c r="U485">
        <v>-696.34</v>
      </c>
    </row>
    <row r="486" spans="1:21">
      <c r="A486">
        <v>1731</v>
      </c>
      <c r="B486" t="s">
        <v>1112</v>
      </c>
      <c r="C486" s="1">
        <v>45368</v>
      </c>
      <c r="D486" s="1">
        <v>45374</v>
      </c>
      <c r="E486" t="s">
        <v>48</v>
      </c>
      <c r="F486" t="s">
        <v>185</v>
      </c>
      <c r="G486" t="s">
        <v>147</v>
      </c>
      <c r="H486" t="s">
        <v>51</v>
      </c>
      <c r="I486" t="s">
        <v>26</v>
      </c>
      <c r="J486" t="s">
        <v>52</v>
      </c>
      <c r="K486" t="s">
        <v>52</v>
      </c>
      <c r="L486" t="s">
        <v>29</v>
      </c>
      <c r="M486" t="s">
        <v>118</v>
      </c>
      <c r="N486" t="s">
        <v>181</v>
      </c>
      <c r="O486" t="s">
        <v>138</v>
      </c>
      <c r="P486" t="s">
        <v>156</v>
      </c>
      <c r="Q486" t="s">
        <v>157</v>
      </c>
      <c r="R486">
        <v>522.97</v>
      </c>
      <c r="S486">
        <v>2</v>
      </c>
      <c r="T486">
        <v>0.3</v>
      </c>
      <c r="U486">
        <v>2.81</v>
      </c>
    </row>
    <row r="487" spans="1:21">
      <c r="A487">
        <v>1176</v>
      </c>
      <c r="B487" t="s">
        <v>1113</v>
      </c>
      <c r="C487" s="1">
        <v>45357</v>
      </c>
      <c r="D487" s="1">
        <v>45358</v>
      </c>
      <c r="E487" t="s">
        <v>101</v>
      </c>
      <c r="F487" t="s">
        <v>446</v>
      </c>
      <c r="G487" t="s">
        <v>147</v>
      </c>
      <c r="H487" t="s">
        <v>89</v>
      </c>
      <c r="I487" t="s">
        <v>26</v>
      </c>
      <c r="J487" t="s">
        <v>52</v>
      </c>
      <c r="K487" t="s">
        <v>52</v>
      </c>
      <c r="L487" t="s">
        <v>63</v>
      </c>
      <c r="M487" t="s">
        <v>170</v>
      </c>
      <c r="N487" t="s">
        <v>1114</v>
      </c>
      <c r="O487" t="s">
        <v>138</v>
      </c>
      <c r="P487" t="s">
        <v>182</v>
      </c>
      <c r="Q487" t="s">
        <v>183</v>
      </c>
      <c r="R487">
        <v>900.45</v>
      </c>
      <c r="S487">
        <v>2</v>
      </c>
      <c r="T487">
        <v>0</v>
      </c>
      <c r="U487">
        <v>212.19</v>
      </c>
    </row>
    <row r="488" spans="1:21">
      <c r="A488">
        <v>1646</v>
      </c>
      <c r="B488" t="s">
        <v>1115</v>
      </c>
      <c r="C488" s="1">
        <v>45594</v>
      </c>
      <c r="D488" s="1">
        <v>45598</v>
      </c>
      <c r="E488" t="s">
        <v>48</v>
      </c>
      <c r="F488" t="s">
        <v>49</v>
      </c>
      <c r="G488" t="s">
        <v>78</v>
      </c>
      <c r="H488" t="s">
        <v>51</v>
      </c>
      <c r="I488" t="s">
        <v>26</v>
      </c>
      <c r="J488" t="s">
        <v>61</v>
      </c>
      <c r="K488" t="s">
        <v>62</v>
      </c>
      <c r="L488" t="s">
        <v>63</v>
      </c>
      <c r="M488" t="s">
        <v>74</v>
      </c>
      <c r="N488" t="s">
        <v>1116</v>
      </c>
      <c r="O488" t="s">
        <v>293</v>
      </c>
      <c r="P488" t="s">
        <v>211</v>
      </c>
      <c r="Q488" t="s">
        <v>212</v>
      </c>
      <c r="R488">
        <v>1652.29</v>
      </c>
      <c r="S488">
        <v>2</v>
      </c>
      <c r="T488">
        <v>0.3</v>
      </c>
      <c r="U488">
        <v>-114.65</v>
      </c>
    </row>
    <row r="489" spans="1:21">
      <c r="A489">
        <v>1128</v>
      </c>
      <c r="B489" t="s">
        <v>1117</v>
      </c>
      <c r="C489" s="1">
        <v>45529</v>
      </c>
      <c r="D489" s="1">
        <v>45534</v>
      </c>
      <c r="E489" t="s">
        <v>101</v>
      </c>
      <c r="F489" t="s">
        <v>1118</v>
      </c>
      <c r="G489" t="s">
        <v>71</v>
      </c>
      <c r="H489" t="s">
        <v>25</v>
      </c>
      <c r="I489" t="s">
        <v>26</v>
      </c>
      <c r="J489" t="s">
        <v>27</v>
      </c>
      <c r="K489" t="s">
        <v>28</v>
      </c>
      <c r="L489" t="s">
        <v>63</v>
      </c>
      <c r="M489" t="s">
        <v>127</v>
      </c>
      <c r="N489" t="s">
        <v>761</v>
      </c>
      <c r="O489" t="s">
        <v>83</v>
      </c>
      <c r="P489" t="s">
        <v>84</v>
      </c>
      <c r="Q489" t="s">
        <v>85</v>
      </c>
      <c r="R489">
        <v>2121.5500000000002</v>
      </c>
      <c r="S489">
        <v>1</v>
      </c>
      <c r="T489">
        <v>0.3</v>
      </c>
      <c r="U489">
        <v>120</v>
      </c>
    </row>
    <row r="490" spans="1:21">
      <c r="A490">
        <v>1718</v>
      </c>
      <c r="B490" t="s">
        <v>1119</v>
      </c>
      <c r="C490" s="1">
        <v>45650</v>
      </c>
      <c r="D490" s="1">
        <v>45654</v>
      </c>
      <c r="E490" t="s">
        <v>101</v>
      </c>
      <c r="F490" t="s">
        <v>499</v>
      </c>
      <c r="G490" t="s">
        <v>107</v>
      </c>
      <c r="H490" t="s">
        <v>51</v>
      </c>
      <c r="I490" t="s">
        <v>26</v>
      </c>
      <c r="J490" t="s">
        <v>226</v>
      </c>
      <c r="K490" t="s">
        <v>110</v>
      </c>
      <c r="L490" t="s">
        <v>29</v>
      </c>
      <c r="M490" t="s">
        <v>81</v>
      </c>
      <c r="N490" t="s">
        <v>1120</v>
      </c>
      <c r="O490" t="s">
        <v>188</v>
      </c>
      <c r="P490" t="s">
        <v>189</v>
      </c>
      <c r="Q490" t="s">
        <v>190</v>
      </c>
      <c r="R490">
        <v>25961.58</v>
      </c>
      <c r="S490">
        <v>5</v>
      </c>
      <c r="T490">
        <v>1</v>
      </c>
    </row>
    <row r="491" spans="1:21">
      <c r="A491">
        <v>1195</v>
      </c>
      <c r="B491" t="s">
        <v>1121</v>
      </c>
      <c r="C491" s="1">
        <v>45590</v>
      </c>
      <c r="D491" s="1">
        <v>45596</v>
      </c>
      <c r="E491" t="s">
        <v>22</v>
      </c>
      <c r="F491" t="s">
        <v>601</v>
      </c>
      <c r="G491" t="s">
        <v>125</v>
      </c>
      <c r="H491" t="s">
        <v>89</v>
      </c>
      <c r="I491" t="s">
        <v>26</v>
      </c>
      <c r="J491" t="s">
        <v>72</v>
      </c>
      <c r="K491" t="s">
        <v>73</v>
      </c>
      <c r="L491" t="s">
        <v>63</v>
      </c>
      <c r="M491" t="s">
        <v>81</v>
      </c>
      <c r="N491" t="s">
        <v>1122</v>
      </c>
      <c r="O491" t="s">
        <v>138</v>
      </c>
      <c r="P491" t="s">
        <v>182</v>
      </c>
      <c r="Q491" t="s">
        <v>183</v>
      </c>
      <c r="R491">
        <v>2784.86</v>
      </c>
      <c r="S491">
        <v>7</v>
      </c>
      <c r="T491">
        <v>0.15</v>
      </c>
      <c r="U491">
        <v>329.24</v>
      </c>
    </row>
    <row r="492" spans="1:21">
      <c r="A492">
        <v>1740</v>
      </c>
      <c r="B492" t="s">
        <v>1123</v>
      </c>
      <c r="C492" s="1">
        <v>45429</v>
      </c>
      <c r="D492" s="1">
        <v>45434</v>
      </c>
      <c r="E492" t="s">
        <v>22</v>
      </c>
      <c r="F492" t="s">
        <v>1124</v>
      </c>
      <c r="G492" t="s">
        <v>147</v>
      </c>
      <c r="H492" t="s">
        <v>25</v>
      </c>
      <c r="I492" t="s">
        <v>26</v>
      </c>
      <c r="J492" t="s">
        <v>346</v>
      </c>
      <c r="K492" t="s">
        <v>132</v>
      </c>
      <c r="L492" t="s">
        <v>92</v>
      </c>
      <c r="M492" t="s">
        <v>42</v>
      </c>
      <c r="N492" t="s">
        <v>1125</v>
      </c>
      <c r="O492" t="s">
        <v>55</v>
      </c>
      <c r="P492" t="s">
        <v>98</v>
      </c>
      <c r="Q492" t="s">
        <v>99</v>
      </c>
      <c r="R492">
        <v>40229.769999999997</v>
      </c>
      <c r="S492">
        <v>6</v>
      </c>
      <c r="T492">
        <v>0</v>
      </c>
      <c r="U492">
        <v>6229.45</v>
      </c>
    </row>
    <row r="493" spans="1:21">
      <c r="A493">
        <v>1656</v>
      </c>
      <c r="B493" t="s">
        <v>1126</v>
      </c>
      <c r="C493" s="1">
        <v>45502</v>
      </c>
      <c r="D493" s="1">
        <v>45505</v>
      </c>
      <c r="E493" t="s">
        <v>22</v>
      </c>
      <c r="F493" t="s">
        <v>255</v>
      </c>
      <c r="G493" t="s">
        <v>107</v>
      </c>
      <c r="H493" t="s">
        <v>25</v>
      </c>
      <c r="I493" t="s">
        <v>26</v>
      </c>
      <c r="J493" t="s">
        <v>72</v>
      </c>
      <c r="K493" t="s">
        <v>73</v>
      </c>
      <c r="L493" t="s">
        <v>186</v>
      </c>
      <c r="M493" t="s">
        <v>42</v>
      </c>
      <c r="N493" t="s">
        <v>1127</v>
      </c>
      <c r="O493" t="s">
        <v>44</v>
      </c>
      <c r="P493" t="s">
        <v>211</v>
      </c>
      <c r="Q493" t="s">
        <v>212</v>
      </c>
      <c r="R493">
        <v>3358.15</v>
      </c>
      <c r="S493">
        <v>4</v>
      </c>
      <c r="T493">
        <v>0.25</v>
      </c>
      <c r="U493">
        <v>-211.11</v>
      </c>
    </row>
    <row r="494" spans="1:21">
      <c r="A494">
        <v>1516</v>
      </c>
      <c r="B494" t="s">
        <v>1128</v>
      </c>
      <c r="C494" s="1">
        <v>45573</v>
      </c>
      <c r="D494" s="1">
        <v>45574</v>
      </c>
      <c r="E494" t="s">
        <v>48</v>
      </c>
      <c r="F494" t="s">
        <v>479</v>
      </c>
      <c r="G494" t="s">
        <v>60</v>
      </c>
      <c r="H494" t="s">
        <v>108</v>
      </c>
      <c r="I494" t="s">
        <v>26</v>
      </c>
      <c r="J494" t="s">
        <v>226</v>
      </c>
      <c r="K494" t="s">
        <v>110</v>
      </c>
      <c r="L494" t="s">
        <v>41</v>
      </c>
      <c r="M494" t="s">
        <v>81</v>
      </c>
      <c r="N494" t="s">
        <v>1129</v>
      </c>
      <c r="O494" t="s">
        <v>55</v>
      </c>
      <c r="P494" t="s">
        <v>56</v>
      </c>
      <c r="Q494" t="s">
        <v>57</v>
      </c>
      <c r="R494">
        <v>24999.87</v>
      </c>
      <c r="S494">
        <v>5</v>
      </c>
      <c r="T494">
        <v>0.25</v>
      </c>
      <c r="U494">
        <v>-65.510000000000005</v>
      </c>
    </row>
    <row r="495" spans="1:21">
      <c r="A495">
        <v>1526</v>
      </c>
      <c r="B495" t="s">
        <v>1130</v>
      </c>
      <c r="C495" s="1">
        <v>45655</v>
      </c>
      <c r="D495" s="1">
        <v>45656</v>
      </c>
      <c r="E495" t="s">
        <v>48</v>
      </c>
      <c r="F495" t="s">
        <v>271</v>
      </c>
      <c r="G495" t="s">
        <v>50</v>
      </c>
      <c r="H495" t="s">
        <v>25</v>
      </c>
      <c r="I495" t="s">
        <v>26</v>
      </c>
      <c r="J495" t="s">
        <v>131</v>
      </c>
      <c r="K495" t="s">
        <v>132</v>
      </c>
      <c r="L495" t="s">
        <v>29</v>
      </c>
      <c r="M495" t="s">
        <v>30</v>
      </c>
      <c r="N495" t="s">
        <v>1131</v>
      </c>
      <c r="O495" t="s">
        <v>188</v>
      </c>
      <c r="P495" t="s">
        <v>189</v>
      </c>
      <c r="Q495" t="s">
        <v>386</v>
      </c>
      <c r="R495">
        <v>3731.03</v>
      </c>
      <c r="S495">
        <v>2</v>
      </c>
      <c r="T495">
        <v>0.2</v>
      </c>
      <c r="U495">
        <v>0</v>
      </c>
    </row>
    <row r="496" spans="1:21">
      <c r="A496">
        <v>1536</v>
      </c>
      <c r="B496" t="s">
        <v>1132</v>
      </c>
      <c r="C496" s="1">
        <v>45410</v>
      </c>
      <c r="D496" s="1">
        <v>45412</v>
      </c>
      <c r="E496" t="s">
        <v>69</v>
      </c>
      <c r="F496" t="s">
        <v>295</v>
      </c>
      <c r="G496" t="s">
        <v>71</v>
      </c>
      <c r="H496" t="s">
        <v>25</v>
      </c>
      <c r="I496" t="s">
        <v>26</v>
      </c>
      <c r="J496" t="s">
        <v>115</v>
      </c>
      <c r="K496" t="s">
        <v>116</v>
      </c>
      <c r="L496" t="s">
        <v>63</v>
      </c>
      <c r="M496" t="s">
        <v>42</v>
      </c>
      <c r="N496" t="s">
        <v>996</v>
      </c>
      <c r="O496" t="s">
        <v>138</v>
      </c>
      <c r="P496" t="s">
        <v>156</v>
      </c>
      <c r="Q496" t="s">
        <v>157</v>
      </c>
      <c r="R496">
        <v>1029.32</v>
      </c>
      <c r="S496">
        <v>4</v>
      </c>
      <c r="T496">
        <v>0.3</v>
      </c>
      <c r="U496">
        <v>4.46</v>
      </c>
    </row>
    <row r="497" spans="1:21">
      <c r="A497">
        <v>1733</v>
      </c>
      <c r="B497" t="s">
        <v>1133</v>
      </c>
      <c r="C497" s="1">
        <v>45621</v>
      </c>
      <c r="D497" s="1">
        <v>45626</v>
      </c>
      <c r="E497" t="s">
        <v>22</v>
      </c>
      <c r="F497" t="s">
        <v>355</v>
      </c>
      <c r="G497" t="s">
        <v>114</v>
      </c>
      <c r="H497" t="s">
        <v>25</v>
      </c>
      <c r="I497" t="s">
        <v>26</v>
      </c>
      <c r="J497" t="s">
        <v>27</v>
      </c>
      <c r="K497" t="s">
        <v>28</v>
      </c>
      <c r="L497" t="s">
        <v>41</v>
      </c>
      <c r="M497" t="s">
        <v>170</v>
      </c>
      <c r="N497" t="s">
        <v>1134</v>
      </c>
      <c r="O497" t="s">
        <v>83</v>
      </c>
      <c r="P497" t="s">
        <v>84</v>
      </c>
      <c r="Q497" t="s">
        <v>85</v>
      </c>
      <c r="R497">
        <v>10367.1</v>
      </c>
      <c r="S497">
        <v>3</v>
      </c>
      <c r="T497">
        <v>0</v>
      </c>
      <c r="U497">
        <v>2006.31</v>
      </c>
    </row>
    <row r="498" spans="1:21">
      <c r="A498">
        <v>1634</v>
      </c>
      <c r="B498" t="s">
        <v>1135</v>
      </c>
      <c r="C498" s="1">
        <v>45401</v>
      </c>
      <c r="D498" s="1">
        <v>45406</v>
      </c>
      <c r="E498" t="s">
        <v>69</v>
      </c>
      <c r="F498" t="s">
        <v>271</v>
      </c>
      <c r="G498" t="s">
        <v>50</v>
      </c>
      <c r="H498" t="s">
        <v>25</v>
      </c>
      <c r="I498" t="s">
        <v>26</v>
      </c>
      <c r="J498" t="s">
        <v>131</v>
      </c>
      <c r="K498" t="s">
        <v>132</v>
      </c>
      <c r="L498" t="s">
        <v>215</v>
      </c>
      <c r="M498" t="s">
        <v>74</v>
      </c>
      <c r="N498" t="s">
        <v>311</v>
      </c>
      <c r="O498" t="s">
        <v>293</v>
      </c>
      <c r="P498" t="s">
        <v>211</v>
      </c>
      <c r="Q498" t="s">
        <v>212</v>
      </c>
      <c r="R498">
        <v>7076.15</v>
      </c>
      <c r="S498">
        <v>8</v>
      </c>
      <c r="T498">
        <v>0.25</v>
      </c>
      <c r="U498">
        <v>-367.77</v>
      </c>
    </row>
    <row r="499" spans="1:21">
      <c r="A499">
        <v>1654</v>
      </c>
      <c r="B499" t="s">
        <v>1136</v>
      </c>
      <c r="C499" s="1">
        <v>45613</v>
      </c>
      <c r="D499" s="1">
        <v>45619</v>
      </c>
      <c r="E499" t="s">
        <v>69</v>
      </c>
      <c r="F499" t="s">
        <v>649</v>
      </c>
      <c r="G499" t="s">
        <v>165</v>
      </c>
      <c r="H499" t="s">
        <v>25</v>
      </c>
      <c r="I499" t="s">
        <v>26</v>
      </c>
      <c r="J499" t="s">
        <v>52</v>
      </c>
      <c r="K499" t="s">
        <v>52</v>
      </c>
      <c r="L499" t="s">
        <v>92</v>
      </c>
      <c r="M499" t="s">
        <v>81</v>
      </c>
      <c r="N499" t="s">
        <v>1127</v>
      </c>
      <c r="O499" t="s">
        <v>138</v>
      </c>
      <c r="P499" t="s">
        <v>182</v>
      </c>
      <c r="Q499" t="s">
        <v>183</v>
      </c>
      <c r="R499">
        <v>1396.24</v>
      </c>
      <c r="S499">
        <v>3</v>
      </c>
      <c r="T499">
        <v>0</v>
      </c>
      <c r="U499">
        <v>321.38</v>
      </c>
    </row>
    <row r="500" spans="1:21">
      <c r="A500">
        <v>1068</v>
      </c>
      <c r="B500" t="s">
        <v>1137</v>
      </c>
      <c r="C500" s="1">
        <v>45335</v>
      </c>
      <c r="D500" s="1">
        <v>45337</v>
      </c>
      <c r="E500" t="s">
        <v>22</v>
      </c>
      <c r="F500" t="s">
        <v>142</v>
      </c>
      <c r="G500" t="s">
        <v>147</v>
      </c>
      <c r="H500" t="s">
        <v>25</v>
      </c>
      <c r="I500" t="s">
        <v>26</v>
      </c>
      <c r="J500" t="s">
        <v>79</v>
      </c>
      <c r="K500" t="s">
        <v>80</v>
      </c>
      <c r="L500" t="s">
        <v>29</v>
      </c>
      <c r="M500" t="s">
        <v>170</v>
      </c>
      <c r="N500" t="s">
        <v>443</v>
      </c>
      <c r="O500" t="s">
        <v>138</v>
      </c>
      <c r="P500" t="s">
        <v>156</v>
      </c>
      <c r="Q500" t="s">
        <v>157</v>
      </c>
      <c r="R500">
        <v>345.89</v>
      </c>
      <c r="S500">
        <v>1</v>
      </c>
      <c r="T500">
        <v>0.15</v>
      </c>
      <c r="U500">
        <v>32.32</v>
      </c>
    </row>
    <row r="501" spans="1:21">
      <c r="A501">
        <v>1732</v>
      </c>
      <c r="B501" t="s">
        <v>1138</v>
      </c>
      <c r="C501" s="1">
        <v>45434</v>
      </c>
      <c r="D501" s="1">
        <v>45440</v>
      </c>
      <c r="E501" t="s">
        <v>22</v>
      </c>
      <c r="F501" t="s">
        <v>295</v>
      </c>
      <c r="G501" t="s">
        <v>60</v>
      </c>
      <c r="H501" t="s">
        <v>51</v>
      </c>
      <c r="I501" t="s">
        <v>26</v>
      </c>
      <c r="J501" t="s">
        <v>109</v>
      </c>
      <c r="K501" t="s">
        <v>110</v>
      </c>
      <c r="L501" t="s">
        <v>41</v>
      </c>
      <c r="M501" t="s">
        <v>170</v>
      </c>
      <c r="N501" t="s">
        <v>1139</v>
      </c>
      <c r="O501" t="s">
        <v>55</v>
      </c>
      <c r="P501" t="s">
        <v>56</v>
      </c>
      <c r="Q501" t="s">
        <v>57</v>
      </c>
      <c r="R501">
        <v>33059.300000000003</v>
      </c>
      <c r="S501">
        <v>7</v>
      </c>
      <c r="T501">
        <v>0.3</v>
      </c>
      <c r="U501">
        <v>-1248.3900000000001</v>
      </c>
    </row>
    <row r="502" spans="1:21">
      <c r="A502">
        <v>1484</v>
      </c>
      <c r="B502" t="s">
        <v>1140</v>
      </c>
      <c r="C502" s="1">
        <v>45426</v>
      </c>
      <c r="D502" s="1">
        <v>45427</v>
      </c>
      <c r="E502" t="s">
        <v>101</v>
      </c>
      <c r="F502" t="s">
        <v>490</v>
      </c>
      <c r="G502" t="s">
        <v>37</v>
      </c>
      <c r="H502" t="s">
        <v>25</v>
      </c>
      <c r="I502" t="s">
        <v>26</v>
      </c>
      <c r="J502" t="s">
        <v>131</v>
      </c>
      <c r="K502" t="s">
        <v>132</v>
      </c>
      <c r="L502" t="s">
        <v>92</v>
      </c>
      <c r="M502" t="s">
        <v>127</v>
      </c>
      <c r="N502" t="s">
        <v>1075</v>
      </c>
      <c r="O502" t="s">
        <v>138</v>
      </c>
      <c r="P502" t="s">
        <v>182</v>
      </c>
      <c r="Q502" t="s">
        <v>183</v>
      </c>
      <c r="R502">
        <v>349.33</v>
      </c>
      <c r="S502">
        <v>1</v>
      </c>
      <c r="T502">
        <v>0.25</v>
      </c>
      <c r="U502">
        <v>11.77</v>
      </c>
    </row>
    <row r="503" spans="1:21">
      <c r="A503">
        <v>1169</v>
      </c>
      <c r="B503" t="s">
        <v>1141</v>
      </c>
      <c r="C503" s="1">
        <v>45642</v>
      </c>
      <c r="D503" s="1">
        <v>45646</v>
      </c>
      <c r="E503" t="s">
        <v>48</v>
      </c>
      <c r="F503" t="s">
        <v>192</v>
      </c>
      <c r="G503" t="s">
        <v>50</v>
      </c>
      <c r="H503" t="s">
        <v>89</v>
      </c>
      <c r="I503" t="s">
        <v>26</v>
      </c>
      <c r="J503" t="s">
        <v>52</v>
      </c>
      <c r="K503" t="s">
        <v>52</v>
      </c>
      <c r="L503" t="s">
        <v>53</v>
      </c>
      <c r="M503" t="s">
        <v>30</v>
      </c>
      <c r="N503" t="s">
        <v>1142</v>
      </c>
      <c r="O503" t="s">
        <v>55</v>
      </c>
      <c r="P503" t="s">
        <v>66</v>
      </c>
      <c r="Q503" t="s">
        <v>67</v>
      </c>
      <c r="R503">
        <v>16170.17</v>
      </c>
      <c r="S503">
        <v>2</v>
      </c>
      <c r="T503">
        <v>0.1</v>
      </c>
      <c r="U503">
        <v>1692.59</v>
      </c>
    </row>
    <row r="504" spans="1:21">
      <c r="A504">
        <v>1445</v>
      </c>
      <c r="B504" t="s">
        <v>1143</v>
      </c>
      <c r="C504" s="1">
        <v>45592</v>
      </c>
      <c r="D504" s="1">
        <v>45597</v>
      </c>
      <c r="E504" t="s">
        <v>101</v>
      </c>
      <c r="F504" t="s">
        <v>271</v>
      </c>
      <c r="G504" t="s">
        <v>60</v>
      </c>
      <c r="H504" t="s">
        <v>310</v>
      </c>
      <c r="I504" t="s">
        <v>26</v>
      </c>
      <c r="J504" t="s">
        <v>79</v>
      </c>
      <c r="K504" t="s">
        <v>80</v>
      </c>
      <c r="L504" t="s">
        <v>103</v>
      </c>
      <c r="M504" t="s">
        <v>127</v>
      </c>
      <c r="N504" t="s">
        <v>1144</v>
      </c>
      <c r="O504" t="s">
        <v>138</v>
      </c>
      <c r="P504" t="s">
        <v>156</v>
      </c>
      <c r="Q504" t="s">
        <v>157</v>
      </c>
      <c r="R504">
        <v>1707.1</v>
      </c>
      <c r="S504">
        <v>-1</v>
      </c>
      <c r="U504">
        <v>104.15</v>
      </c>
    </row>
    <row r="505" spans="1:21">
      <c r="A505">
        <v>1528</v>
      </c>
      <c r="B505" t="s">
        <v>1145</v>
      </c>
      <c r="C505" s="1">
        <v>45389</v>
      </c>
      <c r="D505" s="1">
        <v>45392</v>
      </c>
      <c r="E505" t="s">
        <v>101</v>
      </c>
      <c r="F505" t="s">
        <v>214</v>
      </c>
      <c r="G505" t="s">
        <v>88</v>
      </c>
      <c r="H505" t="s">
        <v>89</v>
      </c>
      <c r="I505" t="s">
        <v>26</v>
      </c>
      <c r="J505" t="s">
        <v>52</v>
      </c>
      <c r="K505" t="s">
        <v>52</v>
      </c>
      <c r="L505" t="s">
        <v>63</v>
      </c>
      <c r="M505" t="s">
        <v>127</v>
      </c>
      <c r="N505" t="s">
        <v>1146</v>
      </c>
      <c r="O505" t="s">
        <v>44</v>
      </c>
      <c r="P505" t="s">
        <v>207</v>
      </c>
      <c r="Q505" t="s">
        <v>208</v>
      </c>
      <c r="R505">
        <v>320014.03000000003</v>
      </c>
      <c r="S505">
        <v>6</v>
      </c>
      <c r="T505">
        <v>0.05</v>
      </c>
      <c r="U505">
        <v>22949.83</v>
      </c>
    </row>
    <row r="506" spans="1:21">
      <c r="A506">
        <v>1163</v>
      </c>
      <c r="B506" t="s">
        <v>1147</v>
      </c>
      <c r="C506" s="1">
        <v>45574</v>
      </c>
      <c r="D506" s="1">
        <v>45576</v>
      </c>
      <c r="E506" t="s">
        <v>22</v>
      </c>
      <c r="F506" t="s">
        <v>164</v>
      </c>
      <c r="G506" t="s">
        <v>78</v>
      </c>
      <c r="H506" t="s">
        <v>51</v>
      </c>
      <c r="I506" t="s">
        <v>26</v>
      </c>
      <c r="J506" t="s">
        <v>39</v>
      </c>
      <c r="K506" t="s">
        <v>40</v>
      </c>
      <c r="L506" t="s">
        <v>29</v>
      </c>
      <c r="M506" t="s">
        <v>81</v>
      </c>
      <c r="N506" t="s">
        <v>1148</v>
      </c>
      <c r="O506" t="s">
        <v>293</v>
      </c>
      <c r="P506" t="s">
        <v>207</v>
      </c>
      <c r="Q506" t="s">
        <v>208</v>
      </c>
      <c r="R506">
        <v>117147.41</v>
      </c>
      <c r="S506">
        <v>3</v>
      </c>
      <c r="T506">
        <v>0.3</v>
      </c>
      <c r="U506">
        <v>-11141.96</v>
      </c>
    </row>
    <row r="507" spans="1:21">
      <c r="A507">
        <v>1310</v>
      </c>
      <c r="B507" t="s">
        <v>1149</v>
      </c>
      <c r="C507" s="1">
        <v>45357</v>
      </c>
      <c r="D507" s="1">
        <v>45359</v>
      </c>
      <c r="E507" t="s">
        <v>22</v>
      </c>
      <c r="F507" t="s">
        <v>324</v>
      </c>
      <c r="G507" t="s">
        <v>114</v>
      </c>
      <c r="H507" t="s">
        <v>51</v>
      </c>
      <c r="I507" t="s">
        <v>26</v>
      </c>
      <c r="J507" t="s">
        <v>79</v>
      </c>
      <c r="K507" t="s">
        <v>80</v>
      </c>
      <c r="L507" t="s">
        <v>29</v>
      </c>
      <c r="M507" t="s">
        <v>127</v>
      </c>
      <c r="N507" t="s">
        <v>556</v>
      </c>
      <c r="O507" t="s">
        <v>188</v>
      </c>
      <c r="P507" t="s">
        <v>189</v>
      </c>
      <c r="Q507" t="s">
        <v>386</v>
      </c>
      <c r="R507">
        <v>3923.23</v>
      </c>
      <c r="S507">
        <v>2</v>
      </c>
      <c r="T507">
        <v>0.15</v>
      </c>
      <c r="U507">
        <v>143.33000000000001</v>
      </c>
    </row>
    <row r="508" spans="1:21">
      <c r="A508">
        <v>1194</v>
      </c>
      <c r="B508" t="s">
        <v>1150</v>
      </c>
      <c r="C508" s="1">
        <v>45363</v>
      </c>
      <c r="D508" s="1">
        <v>45367</v>
      </c>
      <c r="E508" t="s">
        <v>48</v>
      </c>
      <c r="F508" t="s">
        <v>242</v>
      </c>
      <c r="G508" t="s">
        <v>107</v>
      </c>
      <c r="H508" t="s">
        <v>51</v>
      </c>
      <c r="I508" t="s">
        <v>26</v>
      </c>
      <c r="J508" t="s">
        <v>52</v>
      </c>
      <c r="K508" t="s">
        <v>52</v>
      </c>
      <c r="L508" t="s">
        <v>41</v>
      </c>
      <c r="M508" t="s">
        <v>42</v>
      </c>
      <c r="N508" t="s">
        <v>1151</v>
      </c>
      <c r="O508" t="s">
        <v>55</v>
      </c>
      <c r="P508" t="s">
        <v>56</v>
      </c>
      <c r="Q508" t="s">
        <v>57</v>
      </c>
      <c r="R508">
        <v>26405.83</v>
      </c>
      <c r="S508">
        <v>4</v>
      </c>
      <c r="T508">
        <v>0.05</v>
      </c>
      <c r="U508">
        <v>2823.75</v>
      </c>
    </row>
    <row r="509" spans="1:21">
      <c r="A509">
        <v>1545</v>
      </c>
      <c r="B509" t="s">
        <v>1152</v>
      </c>
      <c r="C509" s="1">
        <v>45357</v>
      </c>
      <c r="D509" s="1">
        <v>45360</v>
      </c>
      <c r="E509" t="s">
        <v>22</v>
      </c>
      <c r="F509" t="s">
        <v>446</v>
      </c>
      <c r="G509" t="s">
        <v>71</v>
      </c>
      <c r="H509" t="s">
        <v>310</v>
      </c>
      <c r="I509" t="s">
        <v>26</v>
      </c>
      <c r="J509" t="s">
        <v>131</v>
      </c>
      <c r="K509" t="s">
        <v>132</v>
      </c>
      <c r="L509" t="s">
        <v>169</v>
      </c>
      <c r="M509" t="s">
        <v>74</v>
      </c>
      <c r="N509" t="s">
        <v>1153</v>
      </c>
      <c r="O509" t="s">
        <v>138</v>
      </c>
      <c r="P509" t="s">
        <v>139</v>
      </c>
      <c r="Q509" t="s">
        <v>140</v>
      </c>
      <c r="R509">
        <v>6147.95</v>
      </c>
      <c r="T509">
        <v>0.25</v>
      </c>
      <c r="U509">
        <v>199.62</v>
      </c>
    </row>
    <row r="510" spans="1:21">
      <c r="A510">
        <v>1366</v>
      </c>
      <c r="B510" t="s">
        <v>1154</v>
      </c>
      <c r="C510" s="1">
        <v>45337</v>
      </c>
      <c r="D510" s="1">
        <v>45341</v>
      </c>
      <c r="E510" t="s">
        <v>101</v>
      </c>
      <c r="F510" t="s">
        <v>468</v>
      </c>
      <c r="G510" t="s">
        <v>50</v>
      </c>
      <c r="H510" t="s">
        <v>51</v>
      </c>
      <c r="I510" t="s">
        <v>26</v>
      </c>
      <c r="J510" t="s">
        <v>72</v>
      </c>
      <c r="K510" t="s">
        <v>73</v>
      </c>
      <c r="L510" t="s">
        <v>334</v>
      </c>
      <c r="M510" t="s">
        <v>81</v>
      </c>
      <c r="N510" t="s">
        <v>640</v>
      </c>
      <c r="O510" t="s">
        <v>44</v>
      </c>
      <c r="P510" t="s">
        <v>45</v>
      </c>
      <c r="Q510" t="s">
        <v>46</v>
      </c>
      <c r="R510">
        <v>119231.6</v>
      </c>
      <c r="S510">
        <v>5</v>
      </c>
      <c r="T510">
        <v>0.3</v>
      </c>
      <c r="U510">
        <v>-11728.74</v>
      </c>
    </row>
    <row r="511" spans="1:21">
      <c r="A511">
        <v>1384</v>
      </c>
      <c r="B511" t="s">
        <v>1155</v>
      </c>
      <c r="C511" s="1">
        <v>45550</v>
      </c>
      <c r="D511" s="1">
        <v>45552</v>
      </c>
      <c r="E511" t="s">
        <v>101</v>
      </c>
      <c r="F511" t="s">
        <v>130</v>
      </c>
      <c r="G511" t="s">
        <v>136</v>
      </c>
      <c r="H511" t="s">
        <v>51</v>
      </c>
      <c r="I511" t="s">
        <v>26</v>
      </c>
      <c r="J511" t="s">
        <v>160</v>
      </c>
      <c r="K511" t="s">
        <v>161</v>
      </c>
      <c r="L511" t="s">
        <v>29</v>
      </c>
      <c r="M511" t="s">
        <v>74</v>
      </c>
      <c r="N511" t="s">
        <v>859</v>
      </c>
      <c r="O511" t="s">
        <v>55</v>
      </c>
      <c r="P511" t="s">
        <v>56</v>
      </c>
      <c r="Q511" t="s">
        <v>57</v>
      </c>
      <c r="R511">
        <v>52516.47</v>
      </c>
      <c r="S511">
        <v>7</v>
      </c>
      <c r="T511">
        <v>0</v>
      </c>
      <c r="U511">
        <v>9985.5499999999993</v>
      </c>
    </row>
    <row r="512" spans="1:21">
      <c r="A512">
        <v>1685</v>
      </c>
      <c r="B512" t="s">
        <v>1156</v>
      </c>
      <c r="C512" s="1">
        <v>45590</v>
      </c>
      <c r="D512" s="1">
        <v>45591</v>
      </c>
      <c r="E512" t="s">
        <v>69</v>
      </c>
      <c r="F512" t="s">
        <v>751</v>
      </c>
      <c r="G512" t="s">
        <v>71</v>
      </c>
      <c r="H512" t="s">
        <v>51</v>
      </c>
      <c r="I512" t="s">
        <v>26</v>
      </c>
      <c r="J512" t="s">
        <v>166</v>
      </c>
      <c r="K512" t="s">
        <v>132</v>
      </c>
      <c r="L512" t="s">
        <v>263</v>
      </c>
      <c r="M512" t="s">
        <v>30</v>
      </c>
      <c r="N512" t="s">
        <v>137</v>
      </c>
      <c r="O512" t="s">
        <v>83</v>
      </c>
      <c r="P512" t="s">
        <v>33</v>
      </c>
      <c r="Q512" t="s">
        <v>34</v>
      </c>
      <c r="R512" t="s">
        <v>1157</v>
      </c>
      <c r="S512">
        <v>2</v>
      </c>
      <c r="T512">
        <v>0.1</v>
      </c>
      <c r="U512">
        <v>384.26</v>
      </c>
    </row>
    <row r="513" spans="1:21">
      <c r="A513">
        <v>1552</v>
      </c>
      <c r="B513" t="s">
        <v>1158</v>
      </c>
      <c r="C513" s="1">
        <v>45561</v>
      </c>
      <c r="D513" s="1">
        <v>45564</v>
      </c>
      <c r="E513" t="s">
        <v>101</v>
      </c>
      <c r="G513" t="s">
        <v>50</v>
      </c>
      <c r="H513" t="s">
        <v>51</v>
      </c>
      <c r="I513" t="s">
        <v>26</v>
      </c>
      <c r="J513" t="s">
        <v>131</v>
      </c>
      <c r="K513" t="s">
        <v>132</v>
      </c>
      <c r="L513" t="s">
        <v>41</v>
      </c>
      <c r="M513" t="s">
        <v>30</v>
      </c>
      <c r="N513" t="s">
        <v>1159</v>
      </c>
      <c r="O513" t="s">
        <v>138</v>
      </c>
      <c r="P513" t="s">
        <v>139</v>
      </c>
      <c r="Q513" t="s">
        <v>140</v>
      </c>
      <c r="R513">
        <v>3831.67</v>
      </c>
      <c r="S513">
        <v>4</v>
      </c>
      <c r="T513">
        <v>0.05</v>
      </c>
      <c r="U513">
        <v>779.07</v>
      </c>
    </row>
    <row r="514" spans="1:21">
      <c r="A514">
        <v>1153</v>
      </c>
      <c r="B514" t="s">
        <v>1160</v>
      </c>
      <c r="C514" s="1">
        <v>45627</v>
      </c>
      <c r="D514" s="1">
        <v>45630</v>
      </c>
      <c r="E514" t="s">
        <v>48</v>
      </c>
      <c r="F514" t="s">
        <v>442</v>
      </c>
      <c r="G514" t="s">
        <v>147</v>
      </c>
      <c r="H514" t="s">
        <v>51</v>
      </c>
      <c r="I514" t="s">
        <v>26</v>
      </c>
      <c r="J514" t="s">
        <v>27</v>
      </c>
      <c r="K514" t="s">
        <v>28</v>
      </c>
      <c r="L514" t="s">
        <v>63</v>
      </c>
      <c r="M514" t="s">
        <v>118</v>
      </c>
      <c r="N514" t="s">
        <v>759</v>
      </c>
      <c r="O514" t="s">
        <v>138</v>
      </c>
      <c r="P514" t="s">
        <v>156</v>
      </c>
      <c r="Q514" t="s">
        <v>157</v>
      </c>
      <c r="R514">
        <v>787.49</v>
      </c>
      <c r="S514">
        <v>2</v>
      </c>
      <c r="T514">
        <v>0</v>
      </c>
      <c r="U514">
        <v>194.97</v>
      </c>
    </row>
    <row r="515" spans="1:21">
      <c r="A515">
        <v>1529</v>
      </c>
      <c r="B515" t="s">
        <v>1161</v>
      </c>
      <c r="C515" s="1">
        <v>45397</v>
      </c>
      <c r="D515" s="1">
        <v>45403</v>
      </c>
      <c r="E515" t="s">
        <v>22</v>
      </c>
      <c r="F515" t="s">
        <v>192</v>
      </c>
      <c r="G515" t="s">
        <v>37</v>
      </c>
      <c r="H515" t="s">
        <v>302</v>
      </c>
      <c r="I515" t="s">
        <v>26</v>
      </c>
      <c r="J515" t="s">
        <v>166</v>
      </c>
      <c r="K515" t="s">
        <v>132</v>
      </c>
      <c r="L515" t="s">
        <v>41</v>
      </c>
      <c r="M515" t="s">
        <v>74</v>
      </c>
      <c r="N515" t="s">
        <v>1162</v>
      </c>
      <c r="O515" t="s">
        <v>83</v>
      </c>
      <c r="P515" t="s">
        <v>84</v>
      </c>
      <c r="Q515" t="s">
        <v>85</v>
      </c>
      <c r="R515">
        <v>15849.8</v>
      </c>
      <c r="S515">
        <v>5</v>
      </c>
      <c r="T515">
        <v>0.05</v>
      </c>
      <c r="U515">
        <v>3278.29</v>
      </c>
    </row>
    <row r="516" spans="1:21">
      <c r="A516">
        <v>1544</v>
      </c>
      <c r="B516" t="s">
        <v>1163</v>
      </c>
      <c r="C516" s="1">
        <v>45445</v>
      </c>
      <c r="D516" s="1">
        <v>45450</v>
      </c>
      <c r="E516" t="s">
        <v>48</v>
      </c>
      <c r="F516" t="s">
        <v>404</v>
      </c>
      <c r="G516" t="s">
        <v>71</v>
      </c>
      <c r="H516" t="s">
        <v>310</v>
      </c>
      <c r="I516" t="s">
        <v>26</v>
      </c>
      <c r="J516" t="s">
        <v>79</v>
      </c>
      <c r="K516" t="s">
        <v>80</v>
      </c>
      <c r="L516" t="s">
        <v>29</v>
      </c>
      <c r="M516" t="s">
        <v>81</v>
      </c>
      <c r="N516" t="s">
        <v>1164</v>
      </c>
      <c r="O516" t="s">
        <v>138</v>
      </c>
      <c r="P516" t="s">
        <v>182</v>
      </c>
      <c r="Q516" t="s">
        <v>183</v>
      </c>
      <c r="R516">
        <v>1466.13</v>
      </c>
      <c r="S516">
        <v>4</v>
      </c>
      <c r="T516">
        <v>0.2</v>
      </c>
      <c r="U516">
        <v>85.54</v>
      </c>
    </row>
    <row r="517" spans="1:21">
      <c r="A517">
        <v>1583</v>
      </c>
      <c r="B517" t="s">
        <v>1165</v>
      </c>
      <c r="C517" s="1">
        <v>45646</v>
      </c>
      <c r="D517" s="1">
        <v>45648</v>
      </c>
      <c r="E517" t="s">
        <v>69</v>
      </c>
      <c r="F517" t="s">
        <v>291</v>
      </c>
      <c r="G517" t="s">
        <v>125</v>
      </c>
      <c r="H517" t="s">
        <v>25</v>
      </c>
      <c r="I517" t="s">
        <v>26</v>
      </c>
      <c r="J517" t="s">
        <v>160</v>
      </c>
      <c r="K517" t="s">
        <v>161</v>
      </c>
      <c r="L517" t="s">
        <v>63</v>
      </c>
      <c r="M517" t="s">
        <v>170</v>
      </c>
      <c r="N517" t="s">
        <v>440</v>
      </c>
      <c r="O517" t="s">
        <v>138</v>
      </c>
      <c r="P517" t="s">
        <v>156</v>
      </c>
      <c r="Q517" t="s">
        <v>157</v>
      </c>
      <c r="R517">
        <v>503.12</v>
      </c>
      <c r="S517">
        <v>2</v>
      </c>
      <c r="T517">
        <v>0.3</v>
      </c>
      <c r="U517">
        <v>2.92</v>
      </c>
    </row>
    <row r="518" spans="1:21">
      <c r="A518">
        <v>1112</v>
      </c>
      <c r="B518" t="s">
        <v>1166</v>
      </c>
      <c r="C518" s="1">
        <v>45512</v>
      </c>
      <c r="D518" s="1">
        <v>45516</v>
      </c>
      <c r="E518" t="s">
        <v>69</v>
      </c>
      <c r="F518" t="s">
        <v>271</v>
      </c>
      <c r="G518" t="s">
        <v>174</v>
      </c>
      <c r="H518" t="s">
        <v>108</v>
      </c>
      <c r="I518" t="s">
        <v>26</v>
      </c>
      <c r="J518" t="s">
        <v>160</v>
      </c>
      <c r="K518" t="s">
        <v>161</v>
      </c>
      <c r="L518" t="s">
        <v>29</v>
      </c>
      <c r="M518" t="s">
        <v>118</v>
      </c>
      <c r="N518" t="s">
        <v>1167</v>
      </c>
      <c r="O518" t="s">
        <v>44</v>
      </c>
      <c r="P518" t="s">
        <v>45</v>
      </c>
      <c r="Q518" t="s">
        <v>46</v>
      </c>
      <c r="R518">
        <v>121174.44</v>
      </c>
      <c r="S518">
        <v>4</v>
      </c>
      <c r="T518">
        <v>0.1</v>
      </c>
      <c r="U518">
        <v>5092.1899999999996</v>
      </c>
    </row>
    <row r="519" spans="1:21">
      <c r="A519">
        <v>1227</v>
      </c>
      <c r="B519" t="s">
        <v>1168</v>
      </c>
      <c r="C519" s="1">
        <v>45331</v>
      </c>
      <c r="D519" s="1">
        <v>45334</v>
      </c>
      <c r="E519" t="s">
        <v>69</v>
      </c>
      <c r="F519" t="s">
        <v>931</v>
      </c>
      <c r="G519" t="s">
        <v>107</v>
      </c>
      <c r="H519" t="s">
        <v>108</v>
      </c>
      <c r="I519" t="s">
        <v>26</v>
      </c>
      <c r="J519" t="s">
        <v>226</v>
      </c>
      <c r="K519" t="s">
        <v>110</v>
      </c>
      <c r="L519" t="s">
        <v>186</v>
      </c>
      <c r="M519" t="s">
        <v>81</v>
      </c>
      <c r="N519" t="s">
        <v>893</v>
      </c>
      <c r="O519" t="s">
        <v>44</v>
      </c>
      <c r="P519" t="s">
        <v>207</v>
      </c>
      <c r="Q519" t="s">
        <v>208</v>
      </c>
      <c r="R519">
        <v>115581.44</v>
      </c>
      <c r="S519">
        <v>3</v>
      </c>
      <c r="T519">
        <v>0.25</v>
      </c>
      <c r="U519">
        <v>-7300.91</v>
      </c>
    </row>
    <row r="520" spans="1:21">
      <c r="A520">
        <v>1535</v>
      </c>
      <c r="B520" t="s">
        <v>1169</v>
      </c>
      <c r="C520" s="1">
        <v>45530</v>
      </c>
      <c r="D520" s="1">
        <v>45535</v>
      </c>
      <c r="E520" t="s">
        <v>69</v>
      </c>
      <c r="F520" t="s">
        <v>185</v>
      </c>
      <c r="G520" t="s">
        <v>88</v>
      </c>
      <c r="H520" t="s">
        <v>25</v>
      </c>
      <c r="I520" t="s">
        <v>26</v>
      </c>
      <c r="J520" t="s">
        <v>72</v>
      </c>
      <c r="K520" t="s">
        <v>73</v>
      </c>
      <c r="L520" t="s">
        <v>29</v>
      </c>
      <c r="M520" t="s">
        <v>74</v>
      </c>
      <c r="N520" t="s">
        <v>1021</v>
      </c>
      <c r="O520" t="s">
        <v>83</v>
      </c>
      <c r="P520" t="s">
        <v>33</v>
      </c>
      <c r="Q520" t="s">
        <v>34</v>
      </c>
      <c r="R520">
        <v>6837.18</v>
      </c>
      <c r="S520">
        <v>5</v>
      </c>
      <c r="T520">
        <v>0</v>
      </c>
      <c r="U520">
        <v>1527.46</v>
      </c>
    </row>
    <row r="521" spans="1:21">
      <c r="A521">
        <v>1104</v>
      </c>
      <c r="B521" t="s">
        <v>1170</v>
      </c>
      <c r="C521" s="1">
        <v>45495</v>
      </c>
      <c r="D521" s="1">
        <v>45498</v>
      </c>
      <c r="E521" t="s">
        <v>69</v>
      </c>
      <c r="F521" t="s">
        <v>442</v>
      </c>
      <c r="G521" t="s">
        <v>88</v>
      </c>
      <c r="H521" t="s">
        <v>108</v>
      </c>
      <c r="I521" t="s">
        <v>26</v>
      </c>
      <c r="J521" t="s">
        <v>226</v>
      </c>
      <c r="K521" t="s">
        <v>110</v>
      </c>
      <c r="L521" t="s">
        <v>334</v>
      </c>
      <c r="M521" t="s">
        <v>74</v>
      </c>
      <c r="N521" t="s">
        <v>133</v>
      </c>
      <c r="O521" t="s">
        <v>240</v>
      </c>
      <c r="P521" t="s">
        <v>121</v>
      </c>
      <c r="Q521" t="s">
        <v>122</v>
      </c>
      <c r="R521">
        <v>1825.66</v>
      </c>
      <c r="S521">
        <v>3</v>
      </c>
      <c r="T521">
        <v>0</v>
      </c>
      <c r="U521">
        <v>394.98</v>
      </c>
    </row>
    <row r="522" spans="1:21">
      <c r="A522">
        <v>1422</v>
      </c>
      <c r="B522" t="s">
        <v>1171</v>
      </c>
      <c r="C522" s="1">
        <v>45374</v>
      </c>
      <c r="D522" s="1">
        <v>45378</v>
      </c>
      <c r="E522" t="s">
        <v>22</v>
      </c>
      <c r="F522" t="s">
        <v>398</v>
      </c>
      <c r="G522" t="s">
        <v>50</v>
      </c>
      <c r="H522" t="s">
        <v>25</v>
      </c>
      <c r="I522" t="s">
        <v>26</v>
      </c>
      <c r="J522" t="s">
        <v>52</v>
      </c>
      <c r="K522" t="s">
        <v>52</v>
      </c>
      <c r="L522" t="s">
        <v>92</v>
      </c>
      <c r="M522" t="s">
        <v>118</v>
      </c>
      <c r="N522" t="s">
        <v>1172</v>
      </c>
      <c r="O522" t="s">
        <v>144</v>
      </c>
      <c r="P522" t="s">
        <v>98</v>
      </c>
      <c r="Q522" t="s">
        <v>99</v>
      </c>
      <c r="R522">
        <v>30351.54</v>
      </c>
      <c r="S522">
        <v>5</v>
      </c>
      <c r="T522">
        <v>0</v>
      </c>
      <c r="U522">
        <v>5975.78</v>
      </c>
    </row>
    <row r="523" spans="1:21">
      <c r="A523">
        <v>1420</v>
      </c>
      <c r="B523" t="s">
        <v>1173</v>
      </c>
      <c r="C523" s="1">
        <v>45396</v>
      </c>
      <c r="D523" s="1">
        <v>45400</v>
      </c>
      <c r="E523" t="s">
        <v>101</v>
      </c>
      <c r="F523" t="s">
        <v>370</v>
      </c>
      <c r="G523" t="s">
        <v>174</v>
      </c>
      <c r="H523" t="s">
        <v>25</v>
      </c>
      <c r="I523" t="s">
        <v>26</v>
      </c>
      <c r="J523" t="s">
        <v>52</v>
      </c>
      <c r="K523" t="s">
        <v>52</v>
      </c>
      <c r="L523" t="s">
        <v>29</v>
      </c>
      <c r="M523" t="s">
        <v>42</v>
      </c>
      <c r="N523" t="s">
        <v>1174</v>
      </c>
      <c r="O523" t="s">
        <v>55</v>
      </c>
      <c r="P523" t="s">
        <v>98</v>
      </c>
      <c r="Q523" t="s">
        <v>99</v>
      </c>
      <c r="R523">
        <v>14585.68</v>
      </c>
      <c r="S523">
        <v>3</v>
      </c>
      <c r="T523">
        <v>0.25</v>
      </c>
      <c r="U523">
        <v>-38.880000000000003</v>
      </c>
    </row>
    <row r="524" spans="1:21">
      <c r="A524">
        <v>1120</v>
      </c>
      <c r="B524" t="s">
        <v>1175</v>
      </c>
      <c r="C524" s="1">
        <v>45504</v>
      </c>
      <c r="D524" s="1">
        <v>45507</v>
      </c>
      <c r="E524" t="s">
        <v>69</v>
      </c>
      <c r="F524" t="s">
        <v>106</v>
      </c>
      <c r="G524" t="s">
        <v>136</v>
      </c>
      <c r="H524" t="s">
        <v>25</v>
      </c>
      <c r="I524" t="s">
        <v>26</v>
      </c>
      <c r="J524" t="s">
        <v>115</v>
      </c>
      <c r="K524" t="s">
        <v>116</v>
      </c>
      <c r="L524" t="s">
        <v>41</v>
      </c>
      <c r="M524" t="s">
        <v>42</v>
      </c>
      <c r="N524" t="s">
        <v>1176</v>
      </c>
      <c r="O524" t="s">
        <v>138</v>
      </c>
      <c r="P524" t="s">
        <v>182</v>
      </c>
      <c r="Q524" t="s">
        <v>183</v>
      </c>
      <c r="R524" t="s">
        <v>1177</v>
      </c>
      <c r="S524">
        <v>3</v>
      </c>
      <c r="T524">
        <v>0.3</v>
      </c>
      <c r="U524">
        <v>4.05</v>
      </c>
    </row>
    <row r="525" spans="1:21">
      <c r="A525">
        <v>1054</v>
      </c>
      <c r="B525" t="s">
        <v>1178</v>
      </c>
      <c r="C525" s="1">
        <v>45448</v>
      </c>
      <c r="D525" s="1">
        <v>45420</v>
      </c>
      <c r="E525" t="s">
        <v>22</v>
      </c>
      <c r="F525" t="s">
        <v>604</v>
      </c>
      <c r="G525" t="s">
        <v>60</v>
      </c>
      <c r="H525" t="s">
        <v>389</v>
      </c>
      <c r="I525" t="s">
        <v>26</v>
      </c>
      <c r="J525" t="s">
        <v>90</v>
      </c>
      <c r="K525" t="s">
        <v>91</v>
      </c>
      <c r="L525" t="s">
        <v>92</v>
      </c>
      <c r="M525" t="s">
        <v>30</v>
      </c>
      <c r="N525" t="s">
        <v>1179</v>
      </c>
      <c r="O525" t="s">
        <v>44</v>
      </c>
      <c r="P525" t="s">
        <v>45</v>
      </c>
      <c r="Q525" t="s">
        <v>46</v>
      </c>
      <c r="R525">
        <v>141935.22</v>
      </c>
      <c r="S525">
        <v>4</v>
      </c>
      <c r="T525">
        <v>0</v>
      </c>
      <c r="U525">
        <v>17607.82</v>
      </c>
    </row>
    <row r="526" spans="1:21">
      <c r="A526">
        <v>1152</v>
      </c>
      <c r="B526" t="s">
        <v>1180</v>
      </c>
      <c r="C526" s="1">
        <v>45313</v>
      </c>
      <c r="D526" s="1">
        <v>45316</v>
      </c>
      <c r="E526" t="s">
        <v>48</v>
      </c>
      <c r="F526" t="s">
        <v>541</v>
      </c>
      <c r="G526" t="s">
        <v>37</v>
      </c>
      <c r="H526" t="s">
        <v>51</v>
      </c>
      <c r="I526" t="s">
        <v>26</v>
      </c>
      <c r="J526" t="s">
        <v>39</v>
      </c>
      <c r="K526" t="s">
        <v>40</v>
      </c>
      <c r="L526" t="s">
        <v>29</v>
      </c>
      <c r="M526" t="s">
        <v>42</v>
      </c>
      <c r="N526" t="s">
        <v>1181</v>
      </c>
      <c r="O526" t="s">
        <v>94</v>
      </c>
      <c r="P526" t="s">
        <v>207</v>
      </c>
      <c r="Q526" t="s">
        <v>208</v>
      </c>
      <c r="R526">
        <v>47104.28</v>
      </c>
      <c r="S526">
        <v>1</v>
      </c>
      <c r="T526">
        <v>0.1</v>
      </c>
      <c r="U526">
        <v>2265.35</v>
      </c>
    </row>
    <row r="527" spans="1:21">
      <c r="A527">
        <v>1404</v>
      </c>
      <c r="B527" t="s">
        <v>1182</v>
      </c>
      <c r="C527" s="1">
        <v>45520</v>
      </c>
      <c r="D527" s="1">
        <v>45522</v>
      </c>
      <c r="E527" t="s">
        <v>69</v>
      </c>
      <c r="F527" t="s">
        <v>931</v>
      </c>
      <c r="G527" t="s">
        <v>114</v>
      </c>
      <c r="H527" t="s">
        <v>108</v>
      </c>
      <c r="I527" t="s">
        <v>26</v>
      </c>
      <c r="J527" t="s">
        <v>61</v>
      </c>
      <c r="K527" t="s">
        <v>62</v>
      </c>
      <c r="L527" t="s">
        <v>92</v>
      </c>
      <c r="M527" t="s">
        <v>81</v>
      </c>
      <c r="N527" t="s">
        <v>1183</v>
      </c>
      <c r="O527" t="s">
        <v>543</v>
      </c>
      <c r="P527" t="s">
        <v>84</v>
      </c>
      <c r="Q527" t="s">
        <v>85</v>
      </c>
      <c r="R527">
        <v>13005.1</v>
      </c>
      <c r="S527">
        <v>4</v>
      </c>
      <c r="T527">
        <v>0.05</v>
      </c>
      <c r="U527">
        <v>3430.49</v>
      </c>
    </row>
    <row r="528" spans="1:21">
      <c r="A528">
        <v>1714</v>
      </c>
      <c r="B528" t="s">
        <v>1184</v>
      </c>
      <c r="C528" s="1">
        <v>45428</v>
      </c>
      <c r="D528" s="1">
        <v>45431</v>
      </c>
      <c r="E528" t="s">
        <v>101</v>
      </c>
      <c r="F528" t="s">
        <v>203</v>
      </c>
      <c r="G528" t="s">
        <v>125</v>
      </c>
      <c r="H528" t="s">
        <v>51</v>
      </c>
      <c r="I528" t="s">
        <v>26</v>
      </c>
      <c r="J528" t="s">
        <v>27</v>
      </c>
      <c r="K528" t="s">
        <v>28</v>
      </c>
      <c r="L528" t="s">
        <v>154</v>
      </c>
      <c r="M528" t="s">
        <v>30</v>
      </c>
      <c r="N528" t="s">
        <v>1185</v>
      </c>
      <c r="O528" t="s">
        <v>240</v>
      </c>
      <c r="P528" t="s">
        <v>182</v>
      </c>
      <c r="Q528" t="s">
        <v>183</v>
      </c>
      <c r="R528">
        <v>1243.07</v>
      </c>
      <c r="S528">
        <v>3</v>
      </c>
      <c r="T528">
        <v>0</v>
      </c>
      <c r="U528">
        <v>304.77999999999997</v>
      </c>
    </row>
    <row r="529" spans="1:21">
      <c r="A529">
        <v>1208</v>
      </c>
      <c r="B529" t="s">
        <v>1186</v>
      </c>
      <c r="C529" s="1">
        <v>45630</v>
      </c>
      <c r="D529" s="1">
        <v>45635</v>
      </c>
      <c r="E529" t="s">
        <v>69</v>
      </c>
      <c r="F529" t="s">
        <v>271</v>
      </c>
      <c r="G529" t="s">
        <v>78</v>
      </c>
      <c r="H529" t="s">
        <v>25</v>
      </c>
      <c r="I529" t="s">
        <v>26</v>
      </c>
      <c r="J529" t="s">
        <v>27</v>
      </c>
      <c r="K529" t="s">
        <v>28</v>
      </c>
      <c r="L529" t="s">
        <v>215</v>
      </c>
      <c r="M529" t="s">
        <v>74</v>
      </c>
      <c r="N529" t="s">
        <v>757</v>
      </c>
      <c r="O529" t="s">
        <v>138</v>
      </c>
      <c r="P529" t="s">
        <v>156</v>
      </c>
      <c r="Q529" t="s">
        <v>157</v>
      </c>
      <c r="R529">
        <v>368.61</v>
      </c>
      <c r="S529">
        <v>1</v>
      </c>
      <c r="T529">
        <v>0.05</v>
      </c>
      <c r="U529">
        <v>60.15</v>
      </c>
    </row>
    <row r="530" spans="1:21">
      <c r="A530">
        <v>1641</v>
      </c>
      <c r="B530" t="s">
        <v>1187</v>
      </c>
      <c r="C530" s="1">
        <v>45613</v>
      </c>
      <c r="D530" s="1">
        <v>45615</v>
      </c>
      <c r="E530" t="s">
        <v>22</v>
      </c>
      <c r="F530" t="s">
        <v>452</v>
      </c>
      <c r="G530" t="s">
        <v>24</v>
      </c>
      <c r="H530" t="s">
        <v>51</v>
      </c>
      <c r="I530" t="s">
        <v>26</v>
      </c>
      <c r="J530" t="s">
        <v>39</v>
      </c>
      <c r="K530" t="s">
        <v>40</v>
      </c>
      <c r="L530" t="s">
        <v>41</v>
      </c>
      <c r="M530" t="s">
        <v>127</v>
      </c>
      <c r="N530" t="s">
        <v>390</v>
      </c>
      <c r="O530" t="s">
        <v>44</v>
      </c>
      <c r="P530" t="s">
        <v>45</v>
      </c>
      <c r="Q530" t="s">
        <v>46</v>
      </c>
      <c r="R530">
        <v>99037.56</v>
      </c>
      <c r="S530">
        <v>3</v>
      </c>
      <c r="U530">
        <v>4907.8500000000004</v>
      </c>
    </row>
    <row r="531" spans="1:21">
      <c r="A531">
        <v>1589</v>
      </c>
      <c r="B531" t="s">
        <v>1188</v>
      </c>
      <c r="C531" s="1">
        <v>45394</v>
      </c>
      <c r="D531" s="1">
        <v>45398</v>
      </c>
      <c r="E531" t="s">
        <v>69</v>
      </c>
      <c r="G531" t="s">
        <v>165</v>
      </c>
      <c r="H531" t="s">
        <v>310</v>
      </c>
      <c r="I531" t="s">
        <v>26</v>
      </c>
      <c r="J531" t="s">
        <v>131</v>
      </c>
      <c r="K531" t="s">
        <v>132</v>
      </c>
      <c r="L531" t="s">
        <v>29</v>
      </c>
      <c r="M531" t="s">
        <v>74</v>
      </c>
      <c r="N531" t="s">
        <v>1189</v>
      </c>
      <c r="O531" t="s">
        <v>144</v>
      </c>
      <c r="P531" t="s">
        <v>56</v>
      </c>
      <c r="Q531" t="s">
        <v>57</v>
      </c>
      <c r="R531">
        <v>5641.79</v>
      </c>
      <c r="S531">
        <v>1</v>
      </c>
      <c r="T531">
        <v>0.25</v>
      </c>
      <c r="U531">
        <v>-11.33</v>
      </c>
    </row>
    <row r="532" spans="1:21">
      <c r="A532">
        <v>1009</v>
      </c>
      <c r="B532" t="s">
        <v>1190</v>
      </c>
      <c r="C532" s="1">
        <v>45427</v>
      </c>
      <c r="D532" s="1">
        <v>45429</v>
      </c>
      <c r="E532" t="s">
        <v>69</v>
      </c>
      <c r="F532" t="s">
        <v>645</v>
      </c>
      <c r="G532" t="s">
        <v>136</v>
      </c>
      <c r="H532" t="s">
        <v>108</v>
      </c>
      <c r="I532" t="s">
        <v>26</v>
      </c>
      <c r="J532" t="s">
        <v>39</v>
      </c>
      <c r="K532" t="s">
        <v>40</v>
      </c>
      <c r="L532" t="s">
        <v>63</v>
      </c>
      <c r="M532" t="s">
        <v>81</v>
      </c>
      <c r="N532" t="s">
        <v>1191</v>
      </c>
      <c r="O532" t="s">
        <v>144</v>
      </c>
      <c r="P532" t="s">
        <v>98</v>
      </c>
      <c r="Q532" t="s">
        <v>99</v>
      </c>
      <c r="R532">
        <v>17668.7</v>
      </c>
      <c r="S532">
        <v>3</v>
      </c>
      <c r="T532">
        <v>0.05</v>
      </c>
      <c r="U532">
        <v>2280.64</v>
      </c>
    </row>
    <row r="533" spans="1:21">
      <c r="A533">
        <v>1617</v>
      </c>
      <c r="B533" t="s">
        <v>1192</v>
      </c>
      <c r="C533" s="1">
        <v>45337</v>
      </c>
      <c r="D533" s="1">
        <v>45338</v>
      </c>
      <c r="E533" t="s">
        <v>101</v>
      </c>
      <c r="F533" t="s">
        <v>255</v>
      </c>
      <c r="G533" t="s">
        <v>71</v>
      </c>
      <c r="H533" t="s">
        <v>51</v>
      </c>
      <c r="I533" t="s">
        <v>26</v>
      </c>
      <c r="J533" t="s">
        <v>52</v>
      </c>
      <c r="K533" t="s">
        <v>52</v>
      </c>
      <c r="L533" t="s">
        <v>63</v>
      </c>
      <c r="M533" t="s">
        <v>118</v>
      </c>
      <c r="N533" t="s">
        <v>1193</v>
      </c>
      <c r="O533" t="s">
        <v>55</v>
      </c>
      <c r="P533" t="s">
        <v>56</v>
      </c>
      <c r="Q533" t="s">
        <v>57</v>
      </c>
      <c r="R533">
        <v>36064.86</v>
      </c>
      <c r="S533">
        <v>7</v>
      </c>
      <c r="T533">
        <v>0.25</v>
      </c>
      <c r="U533">
        <v>-69.03</v>
      </c>
    </row>
    <row r="534" spans="1:21">
      <c r="A534">
        <v>1037</v>
      </c>
      <c r="B534" t="s">
        <v>1194</v>
      </c>
      <c r="C534" s="1">
        <v>45347</v>
      </c>
      <c r="D534" s="1">
        <v>45352</v>
      </c>
      <c r="E534" t="s">
        <v>101</v>
      </c>
      <c r="F534" t="s">
        <v>378</v>
      </c>
      <c r="G534" t="s">
        <v>24</v>
      </c>
      <c r="H534" t="s">
        <v>89</v>
      </c>
      <c r="I534" t="s">
        <v>26</v>
      </c>
      <c r="J534" t="s">
        <v>115</v>
      </c>
      <c r="K534" t="s">
        <v>116</v>
      </c>
      <c r="L534" t="s">
        <v>63</v>
      </c>
      <c r="M534" t="s">
        <v>118</v>
      </c>
      <c r="N534" t="s">
        <v>222</v>
      </c>
      <c r="O534" t="s">
        <v>44</v>
      </c>
      <c r="P534" t="s">
        <v>211</v>
      </c>
      <c r="Q534" t="s">
        <v>212</v>
      </c>
      <c r="R534">
        <v>8840.48</v>
      </c>
      <c r="S534">
        <v>8</v>
      </c>
      <c r="T534">
        <v>0</v>
      </c>
      <c r="U534">
        <v>1125.8399999999999</v>
      </c>
    </row>
    <row r="535" spans="1:21">
      <c r="A535">
        <v>1453</v>
      </c>
      <c r="B535" t="s">
        <v>1195</v>
      </c>
      <c r="C535" s="1">
        <v>45494</v>
      </c>
      <c r="D535" s="1">
        <v>45496</v>
      </c>
      <c r="E535" t="s">
        <v>69</v>
      </c>
      <c r="F535" t="s">
        <v>225</v>
      </c>
      <c r="G535" t="s">
        <v>24</v>
      </c>
      <c r="H535" t="s">
        <v>51</v>
      </c>
      <c r="I535" t="s">
        <v>26</v>
      </c>
      <c r="J535" t="s">
        <v>52</v>
      </c>
      <c r="K535" t="s">
        <v>52</v>
      </c>
      <c r="L535" t="s">
        <v>334</v>
      </c>
      <c r="M535" t="s">
        <v>127</v>
      </c>
      <c r="N535" t="s">
        <v>1196</v>
      </c>
      <c r="O535" t="s">
        <v>144</v>
      </c>
      <c r="P535" t="s">
        <v>56</v>
      </c>
      <c r="Q535" t="s">
        <v>57</v>
      </c>
      <c r="R535">
        <v>31992.66</v>
      </c>
      <c r="S535">
        <v>6</v>
      </c>
      <c r="T535">
        <v>0.25</v>
      </c>
      <c r="U535">
        <v>-95.68</v>
      </c>
    </row>
    <row r="536" spans="1:21">
      <c r="A536">
        <v>1254</v>
      </c>
      <c r="B536" t="s">
        <v>1197</v>
      </c>
      <c r="C536" s="1">
        <v>45540</v>
      </c>
      <c r="D536" s="1">
        <v>45542</v>
      </c>
      <c r="E536" t="s">
        <v>69</v>
      </c>
      <c r="F536" t="s">
        <v>159</v>
      </c>
      <c r="G536" t="s">
        <v>37</v>
      </c>
      <c r="H536" t="s">
        <v>51</v>
      </c>
      <c r="I536" t="s">
        <v>26</v>
      </c>
      <c r="J536" t="s">
        <v>39</v>
      </c>
      <c r="K536" t="s">
        <v>40</v>
      </c>
      <c r="L536" t="s">
        <v>334</v>
      </c>
      <c r="M536" t="s">
        <v>118</v>
      </c>
      <c r="N536" t="s">
        <v>128</v>
      </c>
      <c r="O536" t="s">
        <v>138</v>
      </c>
      <c r="P536" t="s">
        <v>139</v>
      </c>
      <c r="Q536" t="s">
        <v>140</v>
      </c>
      <c r="R536">
        <v>2024.92</v>
      </c>
      <c r="S536">
        <v>2</v>
      </c>
      <c r="T536">
        <v>0</v>
      </c>
      <c r="U536">
        <v>470.3</v>
      </c>
    </row>
    <row r="537" spans="1:21">
      <c r="A537">
        <v>1304</v>
      </c>
      <c r="B537" t="s">
        <v>1198</v>
      </c>
      <c r="C537" s="1">
        <v>45586</v>
      </c>
      <c r="D537" s="1">
        <v>45590</v>
      </c>
      <c r="E537" t="s">
        <v>48</v>
      </c>
      <c r="F537" t="s">
        <v>242</v>
      </c>
      <c r="G537" t="s">
        <v>88</v>
      </c>
      <c r="H537" t="s">
        <v>108</v>
      </c>
      <c r="I537" t="s">
        <v>26</v>
      </c>
      <c r="J537" t="s">
        <v>61</v>
      </c>
      <c r="K537" t="s">
        <v>62</v>
      </c>
      <c r="L537" t="s">
        <v>154</v>
      </c>
      <c r="M537" t="s">
        <v>30</v>
      </c>
      <c r="N537" t="s">
        <v>1199</v>
      </c>
      <c r="O537" t="s">
        <v>32</v>
      </c>
      <c r="P537" t="s">
        <v>84</v>
      </c>
      <c r="Q537" t="s">
        <v>85</v>
      </c>
      <c r="R537">
        <v>2744.68</v>
      </c>
      <c r="S537">
        <v>1</v>
      </c>
      <c r="T537">
        <v>0.1</v>
      </c>
      <c r="U537">
        <v>473.31</v>
      </c>
    </row>
    <row r="538" spans="1:21">
      <c r="A538">
        <v>1577</v>
      </c>
      <c r="B538" t="s">
        <v>1200</v>
      </c>
      <c r="C538" s="1">
        <v>45588</v>
      </c>
      <c r="D538" s="1">
        <v>45590</v>
      </c>
      <c r="E538" t="s">
        <v>22</v>
      </c>
      <c r="F538" t="s">
        <v>280</v>
      </c>
      <c r="G538" t="s">
        <v>24</v>
      </c>
      <c r="H538" t="s">
        <v>25</v>
      </c>
      <c r="I538" t="s">
        <v>26</v>
      </c>
      <c r="J538" t="s">
        <v>72</v>
      </c>
      <c r="K538" t="s">
        <v>73</v>
      </c>
      <c r="L538" t="s">
        <v>92</v>
      </c>
      <c r="M538" t="s">
        <v>118</v>
      </c>
      <c r="N538" t="s">
        <v>640</v>
      </c>
      <c r="O538" t="s">
        <v>83</v>
      </c>
      <c r="P538" t="s">
        <v>84</v>
      </c>
      <c r="Q538" t="s">
        <v>85</v>
      </c>
      <c r="R538">
        <v>9408.15</v>
      </c>
      <c r="S538">
        <v>3</v>
      </c>
      <c r="T538">
        <v>0.05</v>
      </c>
      <c r="U538">
        <v>2230.58</v>
      </c>
    </row>
    <row r="539" spans="1:21">
      <c r="A539">
        <v>1550</v>
      </c>
      <c r="B539" t="s">
        <v>1201</v>
      </c>
      <c r="C539" s="1">
        <v>45473</v>
      </c>
      <c r="D539" s="1">
        <v>45475</v>
      </c>
      <c r="E539" t="s">
        <v>69</v>
      </c>
      <c r="F539" t="s">
        <v>791</v>
      </c>
      <c r="G539" t="s">
        <v>114</v>
      </c>
      <c r="H539" t="s">
        <v>51</v>
      </c>
      <c r="I539" t="s">
        <v>26</v>
      </c>
      <c r="J539" t="s">
        <v>39</v>
      </c>
      <c r="K539" t="s">
        <v>40</v>
      </c>
      <c r="L539" t="s">
        <v>41</v>
      </c>
      <c r="M539" t="s">
        <v>170</v>
      </c>
      <c r="N539" t="s">
        <v>1202</v>
      </c>
      <c r="O539" t="s">
        <v>138</v>
      </c>
      <c r="P539" t="s">
        <v>121</v>
      </c>
      <c r="Q539" t="s">
        <v>122</v>
      </c>
      <c r="R539">
        <v>2546.54</v>
      </c>
      <c r="S539">
        <v>5</v>
      </c>
      <c r="T539">
        <v>0.25</v>
      </c>
      <c r="U539">
        <v>88.34</v>
      </c>
    </row>
    <row r="540" spans="1:21">
      <c r="A540">
        <v>1558</v>
      </c>
      <c r="B540" t="s">
        <v>1203</v>
      </c>
      <c r="C540" s="1">
        <v>45467</v>
      </c>
      <c r="D540" s="1">
        <v>45468</v>
      </c>
      <c r="E540" t="s">
        <v>69</v>
      </c>
      <c r="F540" t="s">
        <v>146</v>
      </c>
      <c r="G540" t="s">
        <v>71</v>
      </c>
      <c r="H540" t="s">
        <v>51</v>
      </c>
      <c r="I540" t="s">
        <v>26</v>
      </c>
      <c r="J540" t="s">
        <v>72</v>
      </c>
      <c r="K540" t="s">
        <v>73</v>
      </c>
      <c r="L540" t="s">
        <v>92</v>
      </c>
      <c r="M540" t="s">
        <v>127</v>
      </c>
      <c r="N540" t="s">
        <v>596</v>
      </c>
      <c r="O540" t="s">
        <v>120</v>
      </c>
      <c r="P540" t="s">
        <v>182</v>
      </c>
      <c r="Q540" t="s">
        <v>183</v>
      </c>
      <c r="R540">
        <v>1370.08</v>
      </c>
      <c r="S540">
        <v>3</v>
      </c>
      <c r="T540">
        <v>0</v>
      </c>
      <c r="U540">
        <v>284.99</v>
      </c>
    </row>
    <row r="541" spans="1:21">
      <c r="A541">
        <v>1263</v>
      </c>
      <c r="B541" t="s">
        <v>1204</v>
      </c>
      <c r="C541" s="1">
        <v>45526</v>
      </c>
      <c r="D541" s="1">
        <v>45532</v>
      </c>
      <c r="E541" t="s">
        <v>48</v>
      </c>
      <c r="F541" t="s">
        <v>388</v>
      </c>
      <c r="G541" t="s">
        <v>50</v>
      </c>
      <c r="H541" t="s">
        <v>153</v>
      </c>
      <c r="I541" t="s">
        <v>26</v>
      </c>
      <c r="J541" t="s">
        <v>226</v>
      </c>
      <c r="K541" t="s">
        <v>110</v>
      </c>
      <c r="L541" t="s">
        <v>29</v>
      </c>
      <c r="M541" t="s">
        <v>30</v>
      </c>
      <c r="N541" t="s">
        <v>1205</v>
      </c>
      <c r="O541" t="s">
        <v>138</v>
      </c>
      <c r="P541" t="s">
        <v>139</v>
      </c>
      <c r="Q541" t="s">
        <v>140</v>
      </c>
      <c r="R541">
        <v>4005.7</v>
      </c>
      <c r="S541">
        <v>4</v>
      </c>
      <c r="T541">
        <v>0</v>
      </c>
      <c r="U541">
        <v>788.6</v>
      </c>
    </row>
    <row r="542" spans="1:21">
      <c r="A542">
        <v>1298</v>
      </c>
      <c r="B542" t="s">
        <v>1206</v>
      </c>
      <c r="C542" s="1">
        <v>45313</v>
      </c>
      <c r="D542" s="1">
        <v>45317</v>
      </c>
      <c r="E542" t="s">
        <v>22</v>
      </c>
      <c r="F542" t="s">
        <v>633</v>
      </c>
      <c r="G542" t="s">
        <v>71</v>
      </c>
      <c r="H542" t="s">
        <v>25</v>
      </c>
      <c r="I542" t="s">
        <v>26</v>
      </c>
      <c r="J542" t="s">
        <v>131</v>
      </c>
      <c r="K542" t="s">
        <v>132</v>
      </c>
      <c r="L542" t="s">
        <v>29</v>
      </c>
      <c r="M542" t="s">
        <v>127</v>
      </c>
      <c r="N542" t="s">
        <v>359</v>
      </c>
      <c r="O542" t="s">
        <v>357</v>
      </c>
      <c r="P542" t="s">
        <v>189</v>
      </c>
      <c r="Q542" t="s">
        <v>190</v>
      </c>
      <c r="R542">
        <v>30841.1</v>
      </c>
      <c r="S542">
        <v>5</v>
      </c>
      <c r="T542">
        <v>0</v>
      </c>
      <c r="U542">
        <v>3957.14</v>
      </c>
    </row>
    <row r="543" spans="1:21">
      <c r="A543">
        <v>1415</v>
      </c>
      <c r="B543" t="s">
        <v>1207</v>
      </c>
      <c r="C543" s="1">
        <v>45339</v>
      </c>
      <c r="D543" s="1">
        <v>45343</v>
      </c>
      <c r="E543" t="s">
        <v>69</v>
      </c>
      <c r="F543" t="s">
        <v>315</v>
      </c>
      <c r="H543" t="s">
        <v>51</v>
      </c>
      <c r="I543" t="s">
        <v>26</v>
      </c>
      <c r="J543" t="s">
        <v>79</v>
      </c>
      <c r="K543" t="s">
        <v>80</v>
      </c>
      <c r="L543" t="s">
        <v>41</v>
      </c>
      <c r="M543" t="s">
        <v>127</v>
      </c>
      <c r="N543" t="s">
        <v>1208</v>
      </c>
      <c r="O543" t="s">
        <v>138</v>
      </c>
      <c r="P543" t="s">
        <v>139</v>
      </c>
      <c r="Q543" t="s">
        <v>140</v>
      </c>
      <c r="R543">
        <v>4930.5</v>
      </c>
      <c r="S543">
        <v>5</v>
      </c>
      <c r="T543">
        <v>0</v>
      </c>
      <c r="U543">
        <v>962.54</v>
      </c>
    </row>
    <row r="544" spans="1:21">
      <c r="A544">
        <v>1151</v>
      </c>
      <c r="B544" t="s">
        <v>1209</v>
      </c>
      <c r="C544" s="1">
        <v>45648</v>
      </c>
      <c r="D544" s="1">
        <v>45652</v>
      </c>
      <c r="E544" t="s">
        <v>69</v>
      </c>
      <c r="F544" t="s">
        <v>414</v>
      </c>
      <c r="G544" t="s">
        <v>60</v>
      </c>
      <c r="H544" t="s">
        <v>153</v>
      </c>
      <c r="I544" t="s">
        <v>26</v>
      </c>
      <c r="J544" t="s">
        <v>61</v>
      </c>
      <c r="K544" t="s">
        <v>62</v>
      </c>
      <c r="L544" t="s">
        <v>41</v>
      </c>
      <c r="M544" t="s">
        <v>81</v>
      </c>
      <c r="N544" t="s">
        <v>1210</v>
      </c>
      <c r="O544" t="s">
        <v>138</v>
      </c>
      <c r="P544" t="s">
        <v>156</v>
      </c>
      <c r="Q544" t="s">
        <v>157</v>
      </c>
      <c r="R544">
        <v>987.68</v>
      </c>
      <c r="S544">
        <v>4</v>
      </c>
      <c r="T544">
        <v>0.3</v>
      </c>
      <c r="U544">
        <v>5.0199999999999996</v>
      </c>
    </row>
    <row r="545" spans="1:21">
      <c r="A545">
        <v>1605</v>
      </c>
      <c r="B545" t="s">
        <v>1211</v>
      </c>
      <c r="C545" s="1">
        <v>45324</v>
      </c>
      <c r="D545" s="1">
        <v>45325</v>
      </c>
      <c r="E545" t="s">
        <v>69</v>
      </c>
      <c r="F545" t="s">
        <v>340</v>
      </c>
      <c r="G545" t="s">
        <v>136</v>
      </c>
      <c r="H545" t="s">
        <v>25</v>
      </c>
      <c r="I545" t="s">
        <v>26</v>
      </c>
      <c r="J545" t="s">
        <v>109</v>
      </c>
      <c r="K545" t="s">
        <v>110</v>
      </c>
      <c r="L545" t="s">
        <v>63</v>
      </c>
      <c r="M545" t="s">
        <v>118</v>
      </c>
      <c r="N545" t="s">
        <v>245</v>
      </c>
      <c r="O545" t="s">
        <v>138</v>
      </c>
      <c r="P545" t="s">
        <v>182</v>
      </c>
      <c r="Q545" t="s">
        <v>183</v>
      </c>
      <c r="R545">
        <v>390.33</v>
      </c>
      <c r="S545">
        <v>1</v>
      </c>
      <c r="T545">
        <v>0.1</v>
      </c>
      <c r="U545">
        <v>65.790000000000006</v>
      </c>
    </row>
    <row r="546" spans="1:21">
      <c r="A546">
        <v>1675</v>
      </c>
      <c r="B546" t="s">
        <v>1212</v>
      </c>
      <c r="C546" s="1">
        <v>45389</v>
      </c>
      <c r="D546" s="1">
        <v>45392</v>
      </c>
      <c r="E546" t="s">
        <v>48</v>
      </c>
      <c r="F546" t="s">
        <v>645</v>
      </c>
      <c r="G546" t="s">
        <v>948</v>
      </c>
      <c r="H546" t="s">
        <v>38</v>
      </c>
      <c r="I546" t="s">
        <v>26</v>
      </c>
      <c r="J546" t="s">
        <v>61</v>
      </c>
      <c r="K546" t="s">
        <v>62</v>
      </c>
      <c r="L546" t="s">
        <v>29</v>
      </c>
      <c r="M546" t="s">
        <v>30</v>
      </c>
      <c r="N546" t="s">
        <v>1101</v>
      </c>
      <c r="O546" t="s">
        <v>138</v>
      </c>
      <c r="P546" t="s">
        <v>156</v>
      </c>
      <c r="Q546" t="s">
        <v>157</v>
      </c>
      <c r="R546">
        <v>368.68</v>
      </c>
      <c r="S546">
        <v>1</v>
      </c>
      <c r="T546">
        <v>0.1</v>
      </c>
      <c r="U546">
        <v>38.33</v>
      </c>
    </row>
    <row r="547" spans="1:21">
      <c r="A547">
        <v>1489</v>
      </c>
      <c r="B547" t="s">
        <v>1213</v>
      </c>
      <c r="C547" s="1">
        <v>45461</v>
      </c>
      <c r="D547" s="1">
        <v>45463</v>
      </c>
      <c r="E547" t="s">
        <v>69</v>
      </c>
      <c r="F547" t="s">
        <v>781</v>
      </c>
      <c r="G547" t="s">
        <v>136</v>
      </c>
      <c r="H547" t="s">
        <v>51</v>
      </c>
      <c r="I547" t="s">
        <v>26</v>
      </c>
      <c r="J547" t="s">
        <v>160</v>
      </c>
      <c r="K547" t="s">
        <v>161</v>
      </c>
      <c r="L547" t="s">
        <v>63</v>
      </c>
      <c r="M547" t="s">
        <v>170</v>
      </c>
      <c r="N547" t="s">
        <v>824</v>
      </c>
      <c r="O547" t="s">
        <v>83</v>
      </c>
      <c r="P547" t="s">
        <v>84</v>
      </c>
      <c r="Q547" t="s">
        <v>85</v>
      </c>
      <c r="R547">
        <v>6497.36</v>
      </c>
      <c r="S547">
        <v>2</v>
      </c>
      <c r="T547">
        <v>0</v>
      </c>
      <c r="U547">
        <v>1260.02</v>
      </c>
    </row>
    <row r="548" spans="1:21">
      <c r="A548">
        <v>1148</v>
      </c>
      <c r="B548" t="s">
        <v>1214</v>
      </c>
      <c r="C548" s="1">
        <v>45387</v>
      </c>
      <c r="D548" s="1">
        <v>45393</v>
      </c>
      <c r="E548" t="s">
        <v>22</v>
      </c>
      <c r="F548" t="s">
        <v>288</v>
      </c>
      <c r="G548" t="s">
        <v>174</v>
      </c>
      <c r="H548" t="s">
        <v>51</v>
      </c>
      <c r="I548" t="s">
        <v>26</v>
      </c>
      <c r="J548" t="s">
        <v>115</v>
      </c>
      <c r="K548" t="s">
        <v>116</v>
      </c>
      <c r="L548" t="s">
        <v>41</v>
      </c>
      <c r="M548" t="s">
        <v>170</v>
      </c>
      <c r="N548" t="s">
        <v>712</v>
      </c>
      <c r="O548" t="s">
        <v>55</v>
      </c>
      <c r="P548" t="s">
        <v>98</v>
      </c>
      <c r="Q548" t="s">
        <v>99</v>
      </c>
      <c r="R548">
        <v>9027.16</v>
      </c>
      <c r="S548">
        <v>2</v>
      </c>
      <c r="T548">
        <v>0.25</v>
      </c>
      <c r="U548">
        <v>-22.82</v>
      </c>
    </row>
    <row r="549" spans="1:21">
      <c r="A549">
        <v>1147</v>
      </c>
      <c r="B549" t="s">
        <v>1215</v>
      </c>
      <c r="C549" s="1">
        <v>45597</v>
      </c>
      <c r="D549" s="1">
        <v>45602</v>
      </c>
      <c r="E549" t="s">
        <v>22</v>
      </c>
      <c r="F549" t="s">
        <v>708</v>
      </c>
      <c r="G549" t="s">
        <v>136</v>
      </c>
      <c r="H549" t="s">
        <v>51</v>
      </c>
      <c r="I549" t="s">
        <v>26</v>
      </c>
      <c r="J549" t="s">
        <v>79</v>
      </c>
      <c r="K549" t="s">
        <v>80</v>
      </c>
      <c r="L549" t="s">
        <v>103</v>
      </c>
      <c r="M549" t="s">
        <v>81</v>
      </c>
      <c r="N549" t="s">
        <v>453</v>
      </c>
      <c r="O549" t="s">
        <v>138</v>
      </c>
      <c r="P549" t="s">
        <v>182</v>
      </c>
      <c r="Q549" t="s">
        <v>183</v>
      </c>
      <c r="R549">
        <v>1656.3</v>
      </c>
      <c r="S549">
        <v>5</v>
      </c>
      <c r="T549">
        <v>0.3</v>
      </c>
      <c r="U549">
        <v>7.7</v>
      </c>
    </row>
    <row r="550" spans="1:21">
      <c r="A550">
        <v>1559</v>
      </c>
      <c r="B550" t="s">
        <v>1216</v>
      </c>
      <c r="C550" s="1">
        <v>45618</v>
      </c>
      <c r="D550" s="1">
        <v>45620</v>
      </c>
      <c r="E550" t="s">
        <v>69</v>
      </c>
      <c r="F550" t="s">
        <v>649</v>
      </c>
      <c r="G550" t="s">
        <v>24</v>
      </c>
      <c r="H550" t="s">
        <v>25</v>
      </c>
      <c r="I550" t="s">
        <v>26</v>
      </c>
      <c r="J550" t="s">
        <v>27</v>
      </c>
      <c r="K550" t="s">
        <v>28</v>
      </c>
      <c r="L550" t="s">
        <v>215</v>
      </c>
      <c r="M550" t="s">
        <v>74</v>
      </c>
      <c r="N550" t="s">
        <v>1217</v>
      </c>
      <c r="O550" t="s">
        <v>144</v>
      </c>
      <c r="P550" t="s">
        <v>98</v>
      </c>
      <c r="Q550" t="s">
        <v>99</v>
      </c>
      <c r="R550">
        <v>4187.18</v>
      </c>
      <c r="S550">
        <v>1</v>
      </c>
      <c r="T550">
        <v>0.3</v>
      </c>
      <c r="U550">
        <v>-174.21</v>
      </c>
    </row>
    <row r="551" spans="1:21">
      <c r="A551">
        <v>1703</v>
      </c>
      <c r="B551" t="s">
        <v>1218</v>
      </c>
      <c r="C551" s="1">
        <v>45574</v>
      </c>
      <c r="D551" s="1">
        <v>45551</v>
      </c>
      <c r="E551" t="s">
        <v>48</v>
      </c>
      <c r="F551" t="s">
        <v>280</v>
      </c>
      <c r="G551" t="s">
        <v>165</v>
      </c>
      <c r="H551" t="s">
        <v>389</v>
      </c>
      <c r="I551" t="s">
        <v>26</v>
      </c>
      <c r="J551" t="s">
        <v>346</v>
      </c>
      <c r="K551" t="s">
        <v>132</v>
      </c>
      <c r="L551" t="s">
        <v>29</v>
      </c>
      <c r="M551" t="s">
        <v>118</v>
      </c>
      <c r="N551" t="s">
        <v>1219</v>
      </c>
      <c r="O551" t="s">
        <v>94</v>
      </c>
      <c r="P551" t="s">
        <v>45</v>
      </c>
      <c r="Q551" t="s">
        <v>46</v>
      </c>
      <c r="R551">
        <v>110830.54</v>
      </c>
      <c r="S551">
        <v>4</v>
      </c>
      <c r="T551">
        <v>0.25</v>
      </c>
      <c r="U551">
        <v>-5744.8</v>
      </c>
    </row>
    <row r="552" spans="1:21">
      <c r="A552">
        <v>1572</v>
      </c>
      <c r="B552" t="s">
        <v>1220</v>
      </c>
      <c r="C552" s="1">
        <v>45488</v>
      </c>
      <c r="D552" s="1">
        <v>45494</v>
      </c>
      <c r="E552" t="s">
        <v>101</v>
      </c>
      <c r="F552" t="s">
        <v>442</v>
      </c>
      <c r="G552" t="s">
        <v>114</v>
      </c>
      <c r="H552" t="s">
        <v>25</v>
      </c>
      <c r="I552" t="s">
        <v>26</v>
      </c>
      <c r="J552" t="s">
        <v>27</v>
      </c>
      <c r="K552" t="s">
        <v>28</v>
      </c>
      <c r="L552" t="s">
        <v>63</v>
      </c>
      <c r="M552" t="s">
        <v>42</v>
      </c>
      <c r="N552" t="s">
        <v>1221</v>
      </c>
      <c r="O552" t="s">
        <v>543</v>
      </c>
      <c r="P552" t="s">
        <v>84</v>
      </c>
      <c r="Q552" t="s">
        <v>85</v>
      </c>
      <c r="R552">
        <v>9873.43</v>
      </c>
      <c r="S552">
        <v>3</v>
      </c>
      <c r="T552">
        <v>0</v>
      </c>
    </row>
    <row r="553" spans="1:21">
      <c r="A553">
        <v>1349</v>
      </c>
      <c r="B553" t="s">
        <v>1222</v>
      </c>
      <c r="C553" s="1">
        <v>45643</v>
      </c>
      <c r="D553" s="1">
        <v>45645</v>
      </c>
      <c r="E553" t="s">
        <v>48</v>
      </c>
      <c r="F553" t="s">
        <v>315</v>
      </c>
      <c r="G553" t="s">
        <v>165</v>
      </c>
      <c r="H553" t="s">
        <v>51</v>
      </c>
      <c r="I553" t="s">
        <v>26</v>
      </c>
      <c r="J553" t="s">
        <v>39</v>
      </c>
      <c r="K553" t="s">
        <v>40</v>
      </c>
      <c r="L553" t="s">
        <v>63</v>
      </c>
      <c r="M553" t="s">
        <v>127</v>
      </c>
      <c r="N553" t="s">
        <v>932</v>
      </c>
      <c r="O553" t="s">
        <v>83</v>
      </c>
      <c r="P553" t="s">
        <v>33</v>
      </c>
      <c r="Q553" t="s">
        <v>34</v>
      </c>
      <c r="R553">
        <v>3043.47</v>
      </c>
      <c r="S553">
        <v>3</v>
      </c>
      <c r="T553">
        <v>0.25</v>
      </c>
      <c r="U553">
        <v>277.12</v>
      </c>
    </row>
    <row r="554" spans="1:21">
      <c r="A554">
        <v>1464</v>
      </c>
      <c r="B554" t="s">
        <v>1223</v>
      </c>
      <c r="C554" s="1">
        <v>45516</v>
      </c>
      <c r="D554" s="1">
        <v>45522</v>
      </c>
      <c r="E554" t="s">
        <v>69</v>
      </c>
      <c r="F554" t="s">
        <v>701</v>
      </c>
      <c r="G554" t="s">
        <v>24</v>
      </c>
      <c r="H554" t="s">
        <v>302</v>
      </c>
      <c r="I554" t="s">
        <v>26</v>
      </c>
      <c r="J554" t="s">
        <v>72</v>
      </c>
      <c r="K554" t="s">
        <v>73</v>
      </c>
      <c r="L554" t="s">
        <v>29</v>
      </c>
      <c r="M554" t="s">
        <v>42</v>
      </c>
      <c r="N554" t="s">
        <v>359</v>
      </c>
      <c r="O554" t="s">
        <v>65</v>
      </c>
      <c r="P554" t="s">
        <v>56</v>
      </c>
      <c r="Q554" t="s">
        <v>57</v>
      </c>
      <c r="R554">
        <v>27734.07</v>
      </c>
      <c r="S554">
        <v>5</v>
      </c>
      <c r="T554">
        <v>0.2</v>
      </c>
      <c r="U554">
        <v>849.34</v>
      </c>
    </row>
    <row r="555" spans="1:21">
      <c r="A555">
        <v>1326</v>
      </c>
      <c r="B555" t="s">
        <v>1224</v>
      </c>
      <c r="C555" s="1">
        <v>45580</v>
      </c>
      <c r="D555" s="1">
        <v>45581</v>
      </c>
      <c r="E555" t="s">
        <v>48</v>
      </c>
      <c r="F555" t="s">
        <v>301</v>
      </c>
      <c r="G555" t="s">
        <v>136</v>
      </c>
      <c r="H555" t="s">
        <v>89</v>
      </c>
      <c r="I555" t="s">
        <v>26</v>
      </c>
      <c r="J555" t="s">
        <v>79</v>
      </c>
      <c r="K555" t="s">
        <v>80</v>
      </c>
      <c r="L555" t="s">
        <v>63</v>
      </c>
      <c r="M555" t="s">
        <v>118</v>
      </c>
      <c r="N555" t="s">
        <v>1010</v>
      </c>
      <c r="O555" t="s">
        <v>138</v>
      </c>
      <c r="P555" t="s">
        <v>139</v>
      </c>
      <c r="Q555" t="s">
        <v>140</v>
      </c>
      <c r="R555">
        <v>6210.48</v>
      </c>
      <c r="S555">
        <v>7</v>
      </c>
      <c r="T555">
        <v>0</v>
      </c>
      <c r="U555">
        <v>1265.1400000000001</v>
      </c>
    </row>
    <row r="556" spans="1:21">
      <c r="A556">
        <v>1187</v>
      </c>
      <c r="B556" t="s">
        <v>1225</v>
      </c>
      <c r="C556" s="1">
        <v>45347</v>
      </c>
      <c r="D556" s="1">
        <v>45352</v>
      </c>
      <c r="E556" t="s">
        <v>69</v>
      </c>
      <c r="F556" t="s">
        <v>1124</v>
      </c>
      <c r="G556" t="s">
        <v>229</v>
      </c>
      <c r="H556" t="s">
        <v>108</v>
      </c>
      <c r="I556" t="s">
        <v>26</v>
      </c>
      <c r="J556" t="s">
        <v>52</v>
      </c>
      <c r="K556" t="s">
        <v>52</v>
      </c>
      <c r="L556" t="s">
        <v>92</v>
      </c>
      <c r="M556" t="s">
        <v>81</v>
      </c>
      <c r="N556" t="s">
        <v>181</v>
      </c>
      <c r="O556" t="s">
        <v>55</v>
      </c>
      <c r="P556" t="s">
        <v>66</v>
      </c>
      <c r="Q556" t="s">
        <v>67</v>
      </c>
      <c r="R556">
        <v>30204.080000000002</v>
      </c>
      <c r="S556">
        <v>4</v>
      </c>
      <c r="T556">
        <v>0.05</v>
      </c>
      <c r="U556">
        <v>4203.3999999999996</v>
      </c>
    </row>
    <row r="557" spans="1:21">
      <c r="A557">
        <v>1124</v>
      </c>
      <c r="B557" t="s">
        <v>1226</v>
      </c>
      <c r="C557" s="1">
        <v>45440</v>
      </c>
      <c r="D557" s="1">
        <v>45441</v>
      </c>
      <c r="E557" t="s">
        <v>101</v>
      </c>
      <c r="F557" t="s">
        <v>701</v>
      </c>
      <c r="G557" t="s">
        <v>174</v>
      </c>
      <c r="H557" t="s">
        <v>51</v>
      </c>
      <c r="I557" t="s">
        <v>26</v>
      </c>
      <c r="J557" t="s">
        <v>226</v>
      </c>
      <c r="K557" t="s">
        <v>110</v>
      </c>
      <c r="L557" t="s">
        <v>92</v>
      </c>
      <c r="M557" t="s">
        <v>127</v>
      </c>
      <c r="N557" t="s">
        <v>1227</v>
      </c>
      <c r="O557" t="s">
        <v>240</v>
      </c>
      <c r="P557" t="s">
        <v>139</v>
      </c>
      <c r="Q557" t="s">
        <v>140</v>
      </c>
      <c r="R557">
        <v>1408.63</v>
      </c>
      <c r="S557">
        <v>2</v>
      </c>
      <c r="T557">
        <v>0.25</v>
      </c>
      <c r="U557">
        <v>65.150000000000006</v>
      </c>
    </row>
    <row r="558" spans="1:21">
      <c r="A558">
        <v>1712</v>
      </c>
      <c r="B558" t="s">
        <v>1228</v>
      </c>
      <c r="C558" s="1">
        <v>45372</v>
      </c>
      <c r="D558" s="1">
        <v>45378</v>
      </c>
      <c r="E558" t="s">
        <v>48</v>
      </c>
      <c r="F558" t="s">
        <v>663</v>
      </c>
      <c r="G558" t="s">
        <v>165</v>
      </c>
      <c r="H558" t="s">
        <v>310</v>
      </c>
      <c r="I558" t="s">
        <v>26</v>
      </c>
      <c r="J558" t="s">
        <v>166</v>
      </c>
      <c r="K558" t="s">
        <v>132</v>
      </c>
      <c r="M558" t="s">
        <v>81</v>
      </c>
      <c r="N558" t="s">
        <v>741</v>
      </c>
      <c r="O558" t="s">
        <v>240</v>
      </c>
      <c r="P558" t="s">
        <v>156</v>
      </c>
      <c r="Q558" t="s">
        <v>157</v>
      </c>
      <c r="R558">
        <v>281.7</v>
      </c>
      <c r="S558">
        <v>1</v>
      </c>
      <c r="T558">
        <v>0.2</v>
      </c>
      <c r="U558">
        <v>16.25</v>
      </c>
    </row>
    <row r="559" spans="1:21">
      <c r="A559">
        <v>1144</v>
      </c>
      <c r="B559" t="s">
        <v>1229</v>
      </c>
      <c r="C559" s="1">
        <v>45624</v>
      </c>
      <c r="D559" s="1">
        <v>45627</v>
      </c>
      <c r="E559" t="s">
        <v>69</v>
      </c>
      <c r="F559" t="s">
        <v>526</v>
      </c>
      <c r="G559" t="s">
        <v>229</v>
      </c>
      <c r="H559" t="s">
        <v>51</v>
      </c>
      <c r="I559" t="s">
        <v>26</v>
      </c>
      <c r="J559" t="s">
        <v>131</v>
      </c>
      <c r="K559" t="s">
        <v>132</v>
      </c>
      <c r="L559" t="s">
        <v>63</v>
      </c>
      <c r="M559" t="s">
        <v>127</v>
      </c>
      <c r="N559" t="s">
        <v>1159</v>
      </c>
      <c r="O559" t="s">
        <v>65</v>
      </c>
      <c r="P559" t="s">
        <v>56</v>
      </c>
      <c r="Q559" t="s">
        <v>57</v>
      </c>
      <c r="R559">
        <v>14320.74</v>
      </c>
      <c r="S559">
        <v>2</v>
      </c>
      <c r="T559">
        <v>0</v>
      </c>
      <c r="U559">
        <v>2340.17</v>
      </c>
    </row>
    <row r="560" spans="1:21">
      <c r="A560">
        <v>1724</v>
      </c>
      <c r="B560" t="s">
        <v>1230</v>
      </c>
      <c r="C560" s="1">
        <v>45333</v>
      </c>
      <c r="D560" s="1">
        <v>45334</v>
      </c>
      <c r="E560" t="s">
        <v>22</v>
      </c>
      <c r="F560" t="s">
        <v>791</v>
      </c>
      <c r="G560" t="s">
        <v>71</v>
      </c>
      <c r="H560" t="s">
        <v>51</v>
      </c>
      <c r="I560" t="s">
        <v>26</v>
      </c>
      <c r="J560" t="s">
        <v>226</v>
      </c>
      <c r="K560" t="s">
        <v>110</v>
      </c>
      <c r="L560" t="s">
        <v>92</v>
      </c>
      <c r="M560" t="s">
        <v>118</v>
      </c>
      <c r="N560" t="s">
        <v>402</v>
      </c>
      <c r="O560" t="s">
        <v>240</v>
      </c>
      <c r="P560" t="s">
        <v>182</v>
      </c>
      <c r="Q560" t="s">
        <v>183</v>
      </c>
      <c r="R560">
        <v>1391.61</v>
      </c>
      <c r="S560">
        <v>4</v>
      </c>
      <c r="T560">
        <v>0.25</v>
      </c>
      <c r="U560">
        <v>61.01</v>
      </c>
    </row>
    <row r="561" spans="1:21">
      <c r="A561">
        <v>1198</v>
      </c>
      <c r="B561" t="s">
        <v>1231</v>
      </c>
      <c r="C561" s="1">
        <v>45561</v>
      </c>
      <c r="D561" s="1">
        <v>45565</v>
      </c>
      <c r="E561" t="s">
        <v>48</v>
      </c>
      <c r="F561" t="s">
        <v>482</v>
      </c>
      <c r="G561" t="s">
        <v>71</v>
      </c>
      <c r="H561" t="s">
        <v>25</v>
      </c>
      <c r="I561" t="s">
        <v>26</v>
      </c>
      <c r="J561" t="s">
        <v>27</v>
      </c>
      <c r="K561" t="s">
        <v>28</v>
      </c>
      <c r="L561" t="s">
        <v>41</v>
      </c>
      <c r="M561" t="s">
        <v>74</v>
      </c>
      <c r="N561" t="s">
        <v>1232</v>
      </c>
      <c r="O561" t="s">
        <v>240</v>
      </c>
      <c r="P561" t="s">
        <v>156</v>
      </c>
      <c r="Q561" t="s">
        <v>157</v>
      </c>
      <c r="R561">
        <v>1481.28</v>
      </c>
      <c r="S561">
        <v>4</v>
      </c>
      <c r="T561">
        <v>0</v>
      </c>
      <c r="U561">
        <v>360.06</v>
      </c>
    </row>
    <row r="562" spans="1:21">
      <c r="A562">
        <v>1280</v>
      </c>
      <c r="B562" t="s">
        <v>1233</v>
      </c>
      <c r="C562" s="1">
        <v>45377</v>
      </c>
      <c r="D562" s="1">
        <v>45380</v>
      </c>
      <c r="E562" t="s">
        <v>69</v>
      </c>
      <c r="F562" t="s">
        <v>645</v>
      </c>
      <c r="G562" t="s">
        <v>147</v>
      </c>
      <c r="H562" t="s">
        <v>108</v>
      </c>
      <c r="I562" t="s">
        <v>26</v>
      </c>
      <c r="J562" t="s">
        <v>166</v>
      </c>
      <c r="K562" t="s">
        <v>132</v>
      </c>
      <c r="L562" t="s">
        <v>215</v>
      </c>
      <c r="M562" t="s">
        <v>81</v>
      </c>
      <c r="N562" t="s">
        <v>628</v>
      </c>
      <c r="O562" t="s">
        <v>138</v>
      </c>
      <c r="P562" t="s">
        <v>182</v>
      </c>
      <c r="Q562" t="s">
        <v>183</v>
      </c>
      <c r="R562">
        <v>1194.3399999999999</v>
      </c>
      <c r="S562">
        <v>3</v>
      </c>
      <c r="T562">
        <v>0.15</v>
      </c>
      <c r="U562">
        <v>129.78</v>
      </c>
    </row>
    <row r="563" spans="1:21">
      <c r="A563">
        <v>1294</v>
      </c>
      <c r="B563" t="s">
        <v>1234</v>
      </c>
      <c r="C563" s="1">
        <v>45402</v>
      </c>
      <c r="D563" s="1">
        <v>45405</v>
      </c>
      <c r="E563" t="s">
        <v>69</v>
      </c>
      <c r="F563" t="s">
        <v>185</v>
      </c>
      <c r="G563" t="s">
        <v>24</v>
      </c>
      <c r="H563" t="s">
        <v>51</v>
      </c>
      <c r="I563" t="s">
        <v>26</v>
      </c>
      <c r="J563" t="s">
        <v>27</v>
      </c>
      <c r="K563" t="s">
        <v>28</v>
      </c>
      <c r="L563" t="s">
        <v>92</v>
      </c>
      <c r="M563" t="s">
        <v>42</v>
      </c>
      <c r="N563" t="s">
        <v>464</v>
      </c>
      <c r="O563" t="s">
        <v>240</v>
      </c>
      <c r="P563" t="s">
        <v>156</v>
      </c>
      <c r="Q563" t="s">
        <v>157</v>
      </c>
      <c r="R563">
        <v>1416.85</v>
      </c>
      <c r="S563">
        <v>4</v>
      </c>
      <c r="T563">
        <v>0</v>
      </c>
      <c r="U563">
        <v>230.79</v>
      </c>
    </row>
    <row r="564" spans="1:21">
      <c r="A564">
        <v>1401</v>
      </c>
      <c r="B564" t="s">
        <v>1235</v>
      </c>
      <c r="C564" s="1">
        <v>45567</v>
      </c>
      <c r="D564" s="1">
        <v>45569</v>
      </c>
      <c r="E564" t="s">
        <v>48</v>
      </c>
      <c r="F564" t="s">
        <v>214</v>
      </c>
      <c r="G564" t="s">
        <v>71</v>
      </c>
      <c r="H564" t="s">
        <v>89</v>
      </c>
      <c r="I564" t="s">
        <v>26</v>
      </c>
      <c r="J564" t="s">
        <v>166</v>
      </c>
      <c r="K564" t="s">
        <v>132</v>
      </c>
      <c r="L564" t="s">
        <v>41</v>
      </c>
      <c r="M564" t="s">
        <v>81</v>
      </c>
      <c r="N564" t="s">
        <v>1236</v>
      </c>
      <c r="O564" t="s">
        <v>138</v>
      </c>
      <c r="P564" t="s">
        <v>156</v>
      </c>
      <c r="Q564" t="s">
        <v>157</v>
      </c>
      <c r="R564">
        <v>1864.85</v>
      </c>
      <c r="S564">
        <v>5</v>
      </c>
      <c r="T564">
        <v>0.05</v>
      </c>
      <c r="U564">
        <v>258.10000000000002</v>
      </c>
    </row>
    <row r="565" spans="1:21">
      <c r="A565">
        <v>1123</v>
      </c>
      <c r="B565" t="s">
        <v>1237</v>
      </c>
      <c r="C565" s="1">
        <v>45328</v>
      </c>
      <c r="D565" s="1">
        <v>45332</v>
      </c>
      <c r="E565" t="s">
        <v>22</v>
      </c>
      <c r="F565" t="s">
        <v>235</v>
      </c>
      <c r="G565" t="s">
        <v>229</v>
      </c>
      <c r="H565" t="s">
        <v>51</v>
      </c>
      <c r="I565" t="s">
        <v>26</v>
      </c>
      <c r="J565" t="s">
        <v>52</v>
      </c>
      <c r="K565" t="s">
        <v>52</v>
      </c>
      <c r="L565" t="s">
        <v>29</v>
      </c>
      <c r="M565" t="s">
        <v>74</v>
      </c>
      <c r="N565" t="s">
        <v>1238</v>
      </c>
      <c r="O565" t="s">
        <v>83</v>
      </c>
      <c r="P565" t="s">
        <v>33</v>
      </c>
      <c r="Q565" t="s">
        <v>34</v>
      </c>
      <c r="R565" t="s">
        <v>1239</v>
      </c>
      <c r="S565">
        <v>3</v>
      </c>
      <c r="T565">
        <v>0.2</v>
      </c>
      <c r="U565">
        <v>451.6</v>
      </c>
    </row>
    <row r="566" spans="1:21">
      <c r="A566">
        <v>1184</v>
      </c>
      <c r="B566" t="s">
        <v>1240</v>
      </c>
      <c r="C566" s="1">
        <v>45439</v>
      </c>
      <c r="D566" s="1">
        <v>45445</v>
      </c>
      <c r="E566" t="s">
        <v>69</v>
      </c>
      <c r="F566" t="s">
        <v>23</v>
      </c>
      <c r="G566" t="s">
        <v>24</v>
      </c>
      <c r="H566" t="s">
        <v>153</v>
      </c>
      <c r="I566" t="s">
        <v>26</v>
      </c>
      <c r="J566" t="s">
        <v>52</v>
      </c>
      <c r="K566" t="s">
        <v>52</v>
      </c>
      <c r="L566" t="s">
        <v>29</v>
      </c>
      <c r="M566" t="s">
        <v>42</v>
      </c>
      <c r="N566" t="s">
        <v>1241</v>
      </c>
      <c r="O566" t="s">
        <v>55</v>
      </c>
      <c r="P566" t="s">
        <v>66</v>
      </c>
      <c r="Q566" t="s">
        <v>67</v>
      </c>
      <c r="R566">
        <v>62065.09</v>
      </c>
      <c r="S566">
        <v>8</v>
      </c>
      <c r="T566">
        <v>0.15</v>
      </c>
      <c r="U566">
        <v>4665.26</v>
      </c>
    </row>
    <row r="567" spans="1:21">
      <c r="A567">
        <v>1203</v>
      </c>
      <c r="B567" t="s">
        <v>1242</v>
      </c>
      <c r="C567" s="1">
        <v>45521</v>
      </c>
      <c r="D567" s="1">
        <v>45525</v>
      </c>
      <c r="E567" t="s">
        <v>101</v>
      </c>
      <c r="F567" t="s">
        <v>285</v>
      </c>
      <c r="G567" t="s">
        <v>125</v>
      </c>
      <c r="H567" t="s">
        <v>108</v>
      </c>
      <c r="I567" t="s">
        <v>26</v>
      </c>
      <c r="J567" t="s">
        <v>160</v>
      </c>
      <c r="K567" t="s">
        <v>161</v>
      </c>
      <c r="L567" t="s">
        <v>103</v>
      </c>
      <c r="M567" t="s">
        <v>81</v>
      </c>
      <c r="N567" t="s">
        <v>1129</v>
      </c>
      <c r="O567" t="s">
        <v>138</v>
      </c>
      <c r="P567" t="s">
        <v>156</v>
      </c>
      <c r="Q567" t="s">
        <v>157</v>
      </c>
      <c r="R567">
        <v>553.59</v>
      </c>
      <c r="S567">
        <v>2</v>
      </c>
      <c r="T567">
        <v>0.25</v>
      </c>
      <c r="U567">
        <v>24.87</v>
      </c>
    </row>
    <row r="568" spans="1:21">
      <c r="A568">
        <v>1439</v>
      </c>
      <c r="B568" t="s">
        <v>1243</v>
      </c>
      <c r="C568" s="1">
        <v>45296</v>
      </c>
      <c r="D568" s="1">
        <v>45298</v>
      </c>
      <c r="E568" t="s">
        <v>101</v>
      </c>
      <c r="F568" t="s">
        <v>461</v>
      </c>
      <c r="G568" t="s">
        <v>60</v>
      </c>
      <c r="H568" t="s">
        <v>25</v>
      </c>
      <c r="I568" t="s">
        <v>26</v>
      </c>
      <c r="J568" t="s">
        <v>72</v>
      </c>
      <c r="K568" t="s">
        <v>73</v>
      </c>
      <c r="L568" t="s">
        <v>63</v>
      </c>
      <c r="M568" t="s">
        <v>127</v>
      </c>
      <c r="N568" t="s">
        <v>1067</v>
      </c>
      <c r="O568" t="s">
        <v>44</v>
      </c>
      <c r="P568" t="s">
        <v>211</v>
      </c>
      <c r="Q568" t="s">
        <v>212</v>
      </c>
      <c r="R568">
        <v>3476.11</v>
      </c>
      <c r="S568">
        <v>4</v>
      </c>
      <c r="T568">
        <v>0.3</v>
      </c>
      <c r="U568">
        <v>-318.95</v>
      </c>
    </row>
    <row r="569" spans="1:21">
      <c r="A569">
        <v>1247</v>
      </c>
      <c r="B569" t="s">
        <v>1244</v>
      </c>
      <c r="C569" s="1">
        <v>45528</v>
      </c>
      <c r="D569" s="1">
        <v>45530</v>
      </c>
      <c r="E569" t="s">
        <v>101</v>
      </c>
      <c r="F569" t="s">
        <v>708</v>
      </c>
      <c r="G569" t="s">
        <v>60</v>
      </c>
      <c r="H569" t="s">
        <v>25</v>
      </c>
      <c r="I569" t="s">
        <v>26</v>
      </c>
      <c r="J569" t="s">
        <v>52</v>
      </c>
      <c r="K569" t="s">
        <v>52</v>
      </c>
      <c r="L569" t="s">
        <v>154</v>
      </c>
      <c r="M569" t="s">
        <v>81</v>
      </c>
      <c r="N569" t="s">
        <v>430</v>
      </c>
      <c r="O569" t="s">
        <v>44</v>
      </c>
      <c r="P569" t="s">
        <v>211</v>
      </c>
      <c r="Q569" t="s">
        <v>212</v>
      </c>
      <c r="R569">
        <v>1735.89</v>
      </c>
      <c r="S569">
        <v>2</v>
      </c>
      <c r="T569">
        <v>0.25</v>
      </c>
      <c r="U569">
        <v>-76.92</v>
      </c>
    </row>
    <row r="570" spans="1:21">
      <c r="A570">
        <v>1416</v>
      </c>
      <c r="B570" t="s">
        <v>1245</v>
      </c>
      <c r="C570" s="1">
        <v>45649</v>
      </c>
      <c r="D570" s="1">
        <v>45654</v>
      </c>
      <c r="E570" t="s">
        <v>101</v>
      </c>
      <c r="F570" t="s">
        <v>926</v>
      </c>
      <c r="G570" t="s">
        <v>147</v>
      </c>
      <c r="H570" t="s">
        <v>51</v>
      </c>
      <c r="I570" t="s">
        <v>26</v>
      </c>
      <c r="J570" t="s">
        <v>90</v>
      </c>
      <c r="K570" t="s">
        <v>91</v>
      </c>
      <c r="L570" t="s">
        <v>186</v>
      </c>
      <c r="M570" t="s">
        <v>127</v>
      </c>
      <c r="N570" t="s">
        <v>635</v>
      </c>
      <c r="O570" t="s">
        <v>55</v>
      </c>
      <c r="P570" t="s">
        <v>98</v>
      </c>
      <c r="Q570" t="s">
        <v>99</v>
      </c>
      <c r="R570">
        <v>12235.99</v>
      </c>
      <c r="S570">
        <v>2</v>
      </c>
      <c r="T570">
        <v>1</v>
      </c>
      <c r="U570">
        <v>1911.2</v>
      </c>
    </row>
    <row r="571" spans="1:21">
      <c r="A571">
        <v>1674</v>
      </c>
      <c r="B571" t="s">
        <v>1246</v>
      </c>
      <c r="C571" s="1">
        <v>45379</v>
      </c>
      <c r="D571" s="1">
        <v>45384</v>
      </c>
      <c r="E571" t="s">
        <v>22</v>
      </c>
      <c r="F571" t="s">
        <v>512</v>
      </c>
      <c r="G571" t="s">
        <v>24</v>
      </c>
      <c r="H571" t="s">
        <v>25</v>
      </c>
      <c r="I571" t="s">
        <v>26</v>
      </c>
      <c r="J571" t="s">
        <v>79</v>
      </c>
      <c r="K571" t="s">
        <v>80</v>
      </c>
      <c r="L571" t="s">
        <v>186</v>
      </c>
      <c r="M571" t="s">
        <v>127</v>
      </c>
      <c r="N571" t="s">
        <v>421</v>
      </c>
      <c r="O571" t="s">
        <v>55</v>
      </c>
      <c r="P571" t="s">
        <v>98</v>
      </c>
      <c r="Q571" t="s">
        <v>99</v>
      </c>
      <c r="R571">
        <v>4993.79</v>
      </c>
      <c r="S571">
        <v>1</v>
      </c>
      <c r="T571">
        <v>0.2</v>
      </c>
      <c r="U571">
        <v>140.15</v>
      </c>
    </row>
    <row r="572" spans="1:21">
      <c r="A572">
        <v>1130</v>
      </c>
      <c r="B572" t="s">
        <v>1247</v>
      </c>
      <c r="C572" s="1">
        <v>45622</v>
      </c>
      <c r="D572" s="1">
        <v>45623</v>
      </c>
      <c r="E572" t="s">
        <v>101</v>
      </c>
      <c r="F572" t="s">
        <v>598</v>
      </c>
      <c r="G572" t="s">
        <v>114</v>
      </c>
      <c r="H572" t="s">
        <v>51</v>
      </c>
      <c r="I572" t="s">
        <v>26</v>
      </c>
      <c r="J572" t="s">
        <v>39</v>
      </c>
      <c r="K572" t="s">
        <v>40</v>
      </c>
      <c r="L572" t="s">
        <v>41</v>
      </c>
      <c r="M572" t="s">
        <v>118</v>
      </c>
      <c r="N572" t="s">
        <v>874</v>
      </c>
      <c r="O572" t="s">
        <v>293</v>
      </c>
      <c r="P572" t="s">
        <v>207</v>
      </c>
      <c r="Q572" t="s">
        <v>208</v>
      </c>
      <c r="R572">
        <v>262914.53999999998</v>
      </c>
      <c r="S572">
        <v>5</v>
      </c>
      <c r="T572">
        <v>0</v>
      </c>
      <c r="U572">
        <v>23095.65</v>
      </c>
    </row>
    <row r="573" spans="1:21">
      <c r="A573">
        <v>1403</v>
      </c>
      <c r="B573" t="s">
        <v>1248</v>
      </c>
      <c r="C573" s="1">
        <v>45360</v>
      </c>
      <c r="D573" s="1">
        <v>45364</v>
      </c>
      <c r="E573" t="s">
        <v>22</v>
      </c>
      <c r="F573" t="s">
        <v>238</v>
      </c>
      <c r="G573" t="s">
        <v>174</v>
      </c>
      <c r="H573" t="s">
        <v>51</v>
      </c>
      <c r="I573" t="s">
        <v>26</v>
      </c>
      <c r="J573" t="s">
        <v>166</v>
      </c>
      <c r="K573" t="s">
        <v>132</v>
      </c>
      <c r="L573" t="s">
        <v>41</v>
      </c>
      <c r="M573" t="s">
        <v>81</v>
      </c>
      <c r="N573" t="s">
        <v>381</v>
      </c>
      <c r="O573" t="s">
        <v>55</v>
      </c>
      <c r="P573" t="s">
        <v>56</v>
      </c>
      <c r="Q573" t="s">
        <v>57</v>
      </c>
      <c r="R573">
        <v>36274.25</v>
      </c>
      <c r="S573">
        <v>6</v>
      </c>
      <c r="T573">
        <v>0.15</v>
      </c>
      <c r="U573">
        <v>2535.17</v>
      </c>
    </row>
    <row r="574" spans="1:21">
      <c r="A574">
        <v>1707</v>
      </c>
      <c r="B574" t="s">
        <v>1249</v>
      </c>
      <c r="C574" s="1">
        <v>45533</v>
      </c>
      <c r="D574" s="1">
        <v>45535</v>
      </c>
      <c r="E574" t="s">
        <v>69</v>
      </c>
      <c r="F574" t="s">
        <v>1014</v>
      </c>
      <c r="G574" t="s">
        <v>24</v>
      </c>
      <c r="H574" t="s">
        <v>51</v>
      </c>
      <c r="I574" t="s">
        <v>26</v>
      </c>
      <c r="J574" t="s">
        <v>160</v>
      </c>
      <c r="K574" t="s">
        <v>161</v>
      </c>
      <c r="L574" t="s">
        <v>41</v>
      </c>
      <c r="M574" t="s">
        <v>81</v>
      </c>
      <c r="N574" t="s">
        <v>824</v>
      </c>
      <c r="O574" t="s">
        <v>543</v>
      </c>
      <c r="P574" t="s">
        <v>33</v>
      </c>
      <c r="Q574" t="s">
        <v>34</v>
      </c>
      <c r="R574">
        <v>2157.48</v>
      </c>
      <c r="S574">
        <v>2</v>
      </c>
      <c r="T574">
        <v>0.2</v>
      </c>
      <c r="U574">
        <v>201.56</v>
      </c>
    </row>
    <row r="575" spans="1:21">
      <c r="A575">
        <v>1657</v>
      </c>
      <c r="B575" t="s">
        <v>1250</v>
      </c>
      <c r="C575" s="1">
        <v>45499</v>
      </c>
      <c r="D575" s="1">
        <v>45501</v>
      </c>
      <c r="E575" t="s">
        <v>22</v>
      </c>
      <c r="F575" t="s">
        <v>309</v>
      </c>
      <c r="G575" t="s">
        <v>107</v>
      </c>
      <c r="H575" t="s">
        <v>51</v>
      </c>
      <c r="I575" t="s">
        <v>26</v>
      </c>
      <c r="J575" t="s">
        <v>115</v>
      </c>
      <c r="K575" t="s">
        <v>116</v>
      </c>
      <c r="L575" t="s">
        <v>41</v>
      </c>
      <c r="M575" t="s">
        <v>30</v>
      </c>
      <c r="N575" t="s">
        <v>785</v>
      </c>
      <c r="O575" t="s">
        <v>240</v>
      </c>
      <c r="P575" t="s">
        <v>156</v>
      </c>
      <c r="Q575" t="s">
        <v>157</v>
      </c>
      <c r="R575" t="s">
        <v>1251</v>
      </c>
      <c r="S575">
        <v>4</v>
      </c>
      <c r="T575">
        <v>0.1</v>
      </c>
      <c r="U575">
        <v>215.61</v>
      </c>
    </row>
    <row r="576" spans="1:21">
      <c r="A576">
        <v>1688</v>
      </c>
      <c r="B576" t="s">
        <v>1252</v>
      </c>
      <c r="C576" s="1">
        <v>45400</v>
      </c>
      <c r="D576" s="1">
        <v>45401</v>
      </c>
      <c r="E576" t="s">
        <v>48</v>
      </c>
      <c r="F576" t="s">
        <v>553</v>
      </c>
      <c r="G576" t="s">
        <v>147</v>
      </c>
      <c r="H576" t="s">
        <v>108</v>
      </c>
      <c r="I576" t="s">
        <v>26</v>
      </c>
      <c r="J576" t="s">
        <v>90</v>
      </c>
      <c r="K576" t="s">
        <v>91</v>
      </c>
      <c r="L576" t="s">
        <v>41</v>
      </c>
      <c r="M576" t="s">
        <v>81</v>
      </c>
      <c r="N576" t="s">
        <v>1253</v>
      </c>
      <c r="O576" t="s">
        <v>138</v>
      </c>
      <c r="P576" t="s">
        <v>139</v>
      </c>
      <c r="Q576" t="s">
        <v>140</v>
      </c>
      <c r="R576">
        <v>1732</v>
      </c>
      <c r="S576">
        <v>2</v>
      </c>
      <c r="T576">
        <v>0.05</v>
      </c>
      <c r="U576">
        <v>343.89</v>
      </c>
    </row>
    <row r="577" spans="1:21">
      <c r="A577">
        <v>1220</v>
      </c>
      <c r="B577" t="s">
        <v>1254</v>
      </c>
      <c r="C577" s="1">
        <v>45296</v>
      </c>
      <c r="D577" s="1">
        <v>45298</v>
      </c>
      <c r="E577" t="s">
        <v>101</v>
      </c>
      <c r="F577" t="s">
        <v>446</v>
      </c>
      <c r="G577" t="s">
        <v>229</v>
      </c>
      <c r="H577" t="s">
        <v>25</v>
      </c>
      <c r="I577" t="s">
        <v>26</v>
      </c>
      <c r="J577" t="s">
        <v>109</v>
      </c>
      <c r="K577" t="s">
        <v>110</v>
      </c>
      <c r="L577" t="s">
        <v>29</v>
      </c>
      <c r="M577" t="s">
        <v>81</v>
      </c>
      <c r="N577" t="s">
        <v>327</v>
      </c>
      <c r="O577" t="s">
        <v>44</v>
      </c>
      <c r="P577" t="s">
        <v>211</v>
      </c>
      <c r="Q577" t="s">
        <v>212</v>
      </c>
      <c r="R577">
        <v>1177.6199999999999</v>
      </c>
      <c r="S577">
        <v>1</v>
      </c>
      <c r="T577">
        <v>0.05</v>
      </c>
      <c r="U577">
        <v>72.16</v>
      </c>
    </row>
    <row r="578" spans="1:21">
      <c r="A578">
        <v>1690</v>
      </c>
      <c r="B578" t="s">
        <v>1255</v>
      </c>
      <c r="C578" s="1">
        <v>45353</v>
      </c>
      <c r="D578" s="1">
        <v>45356</v>
      </c>
      <c r="E578" t="s">
        <v>101</v>
      </c>
      <c r="F578" t="s">
        <v>398</v>
      </c>
      <c r="G578" t="s">
        <v>37</v>
      </c>
      <c r="H578" t="s">
        <v>51</v>
      </c>
      <c r="I578" t="s">
        <v>26</v>
      </c>
      <c r="J578" t="s">
        <v>27</v>
      </c>
      <c r="K578" t="s">
        <v>28</v>
      </c>
      <c r="L578" t="s">
        <v>117</v>
      </c>
      <c r="M578" t="s">
        <v>81</v>
      </c>
      <c r="N578" t="s">
        <v>1256</v>
      </c>
      <c r="O578" t="s">
        <v>65</v>
      </c>
      <c r="P578" t="s">
        <v>98</v>
      </c>
      <c r="Q578" t="s">
        <v>99</v>
      </c>
      <c r="R578">
        <v>23772.25</v>
      </c>
      <c r="S578">
        <v>4</v>
      </c>
      <c r="T578">
        <v>0.05</v>
      </c>
      <c r="U578">
        <v>3171.83</v>
      </c>
    </row>
    <row r="579" spans="1:21">
      <c r="A579">
        <v>1580</v>
      </c>
      <c r="B579" t="s">
        <v>1257</v>
      </c>
      <c r="C579" s="1">
        <v>45458</v>
      </c>
      <c r="D579" s="1">
        <v>45459</v>
      </c>
      <c r="E579" t="s">
        <v>69</v>
      </c>
      <c r="F579" t="s">
        <v>553</v>
      </c>
      <c r="G579" t="s">
        <v>88</v>
      </c>
      <c r="H579" t="s">
        <v>310</v>
      </c>
      <c r="I579" t="s">
        <v>26</v>
      </c>
      <c r="J579" t="s">
        <v>72</v>
      </c>
      <c r="K579" t="s">
        <v>73</v>
      </c>
      <c r="L579" t="s">
        <v>92</v>
      </c>
      <c r="M579" t="s">
        <v>127</v>
      </c>
      <c r="N579" t="s">
        <v>1258</v>
      </c>
      <c r="O579" t="s">
        <v>55</v>
      </c>
      <c r="P579" t="s">
        <v>98</v>
      </c>
      <c r="Q579" t="s">
        <v>99</v>
      </c>
      <c r="R579">
        <v>25427.88</v>
      </c>
      <c r="S579">
        <v>5</v>
      </c>
      <c r="T579">
        <v>0.25</v>
      </c>
      <c r="U579">
        <v>-48.61</v>
      </c>
    </row>
    <row r="580" spans="1:21">
      <c r="A580">
        <v>1693</v>
      </c>
      <c r="B580" t="s">
        <v>1259</v>
      </c>
      <c r="C580" s="1">
        <v>45440</v>
      </c>
      <c r="D580" s="1">
        <v>45444</v>
      </c>
      <c r="E580" t="s">
        <v>101</v>
      </c>
      <c r="F580" t="s">
        <v>285</v>
      </c>
      <c r="G580" t="s">
        <v>71</v>
      </c>
      <c r="H580" t="s">
        <v>302</v>
      </c>
      <c r="I580" t="s">
        <v>26</v>
      </c>
      <c r="J580" t="s">
        <v>160</v>
      </c>
      <c r="K580" t="s">
        <v>161</v>
      </c>
      <c r="L580" t="s">
        <v>186</v>
      </c>
      <c r="M580" t="s">
        <v>42</v>
      </c>
      <c r="N580" t="s">
        <v>620</v>
      </c>
      <c r="O580" t="s">
        <v>44</v>
      </c>
      <c r="P580" t="s">
        <v>211</v>
      </c>
      <c r="Q580" t="s">
        <v>212</v>
      </c>
      <c r="R580">
        <v>3690.28</v>
      </c>
      <c r="S580">
        <v>3</v>
      </c>
      <c r="T580">
        <v>0</v>
      </c>
      <c r="U580">
        <v>370.45</v>
      </c>
    </row>
    <row r="581" spans="1:21">
      <c r="A581">
        <v>1588</v>
      </c>
      <c r="B581" t="s">
        <v>1260</v>
      </c>
      <c r="C581" s="1">
        <v>45519</v>
      </c>
      <c r="D581" s="1">
        <v>45524</v>
      </c>
      <c r="E581" t="s">
        <v>48</v>
      </c>
      <c r="F581" t="s">
        <v>751</v>
      </c>
      <c r="G581" t="s">
        <v>107</v>
      </c>
      <c r="H581" t="s">
        <v>51</v>
      </c>
      <c r="I581" t="s">
        <v>26</v>
      </c>
      <c r="J581" t="s">
        <v>346</v>
      </c>
      <c r="K581" t="s">
        <v>132</v>
      </c>
      <c r="L581" t="s">
        <v>63</v>
      </c>
      <c r="M581" t="s">
        <v>30</v>
      </c>
      <c r="N581" t="s">
        <v>175</v>
      </c>
      <c r="O581" t="s">
        <v>120</v>
      </c>
      <c r="P581" t="s">
        <v>182</v>
      </c>
      <c r="Q581" t="s">
        <v>183</v>
      </c>
      <c r="R581">
        <v>413.68</v>
      </c>
      <c r="S581">
        <v>1</v>
      </c>
      <c r="T581">
        <v>0.1</v>
      </c>
      <c r="U581">
        <v>56.96</v>
      </c>
    </row>
    <row r="582" spans="1:21">
      <c r="A582">
        <v>1387</v>
      </c>
      <c r="B582" t="s">
        <v>1261</v>
      </c>
      <c r="C582" s="1">
        <v>45555</v>
      </c>
      <c r="D582" s="1">
        <v>45560</v>
      </c>
      <c r="E582" t="s">
        <v>101</v>
      </c>
      <c r="F582" t="s">
        <v>135</v>
      </c>
      <c r="G582" t="s">
        <v>229</v>
      </c>
      <c r="H582" t="s">
        <v>51</v>
      </c>
      <c r="I582" t="s">
        <v>26</v>
      </c>
      <c r="J582" t="s">
        <v>52</v>
      </c>
      <c r="K582" t="s">
        <v>52</v>
      </c>
      <c r="L582" t="s">
        <v>117</v>
      </c>
      <c r="M582" t="s">
        <v>81</v>
      </c>
      <c r="N582" t="s">
        <v>1262</v>
      </c>
      <c r="O582" t="s">
        <v>32</v>
      </c>
      <c r="P582" t="s">
        <v>33</v>
      </c>
      <c r="Q582" t="s">
        <v>34</v>
      </c>
      <c r="R582">
        <v>6319.48</v>
      </c>
      <c r="S582">
        <v>6</v>
      </c>
      <c r="T582">
        <v>0.2</v>
      </c>
      <c r="U582">
        <v>719.39</v>
      </c>
    </row>
    <row r="583" spans="1:21">
      <c r="A583">
        <v>1735</v>
      </c>
      <c r="B583" t="s">
        <v>1263</v>
      </c>
      <c r="C583" s="1">
        <v>45497</v>
      </c>
      <c r="D583" s="1">
        <v>45502</v>
      </c>
      <c r="E583" t="s">
        <v>22</v>
      </c>
      <c r="F583" t="s">
        <v>135</v>
      </c>
      <c r="G583" t="s">
        <v>88</v>
      </c>
      <c r="H583" t="s">
        <v>108</v>
      </c>
      <c r="I583" t="s">
        <v>26</v>
      </c>
      <c r="J583" t="s">
        <v>160</v>
      </c>
      <c r="K583" t="s">
        <v>161</v>
      </c>
      <c r="L583" t="s">
        <v>41</v>
      </c>
      <c r="M583" t="s">
        <v>42</v>
      </c>
      <c r="N583" t="s">
        <v>966</v>
      </c>
      <c r="O583" t="s">
        <v>188</v>
      </c>
      <c r="P583" t="s">
        <v>189</v>
      </c>
      <c r="Q583" t="s">
        <v>386</v>
      </c>
      <c r="R583">
        <v>3728.81</v>
      </c>
      <c r="S583">
        <v>2</v>
      </c>
      <c r="T583">
        <v>0.2</v>
      </c>
      <c r="U583">
        <v>0</v>
      </c>
    </row>
    <row r="584" spans="1:21">
      <c r="A584">
        <v>1510</v>
      </c>
      <c r="B584" t="s">
        <v>1264</v>
      </c>
      <c r="C584" s="1">
        <v>45375</v>
      </c>
      <c r="D584" s="1">
        <v>45377</v>
      </c>
      <c r="E584" t="s">
        <v>69</v>
      </c>
      <c r="G584" t="s">
        <v>24</v>
      </c>
      <c r="H584" t="s">
        <v>51</v>
      </c>
      <c r="I584" t="s">
        <v>26</v>
      </c>
      <c r="J584" t="s">
        <v>166</v>
      </c>
      <c r="K584" t="s">
        <v>132</v>
      </c>
      <c r="L584" t="s">
        <v>41</v>
      </c>
      <c r="M584" t="s">
        <v>118</v>
      </c>
      <c r="N584" t="s">
        <v>1265</v>
      </c>
      <c r="O584" t="s">
        <v>357</v>
      </c>
      <c r="P584" t="s">
        <v>189</v>
      </c>
      <c r="Q584" t="s">
        <v>190</v>
      </c>
      <c r="R584">
        <v>35257.769999999997</v>
      </c>
      <c r="S584">
        <v>6</v>
      </c>
      <c r="T584">
        <v>0.05</v>
      </c>
      <c r="U584">
        <v>2636.57</v>
      </c>
    </row>
    <row r="585" spans="1:21">
      <c r="A585">
        <v>1268</v>
      </c>
      <c r="B585" t="s">
        <v>1266</v>
      </c>
      <c r="C585" s="1">
        <v>45296</v>
      </c>
      <c r="D585" s="1">
        <v>45297</v>
      </c>
      <c r="E585" t="s">
        <v>48</v>
      </c>
      <c r="F585" t="s">
        <v>159</v>
      </c>
      <c r="G585" t="s">
        <v>50</v>
      </c>
      <c r="H585" t="s">
        <v>25</v>
      </c>
      <c r="I585" t="s">
        <v>26</v>
      </c>
      <c r="J585" t="s">
        <v>131</v>
      </c>
      <c r="K585" t="s">
        <v>132</v>
      </c>
      <c r="L585" t="s">
        <v>186</v>
      </c>
      <c r="M585" t="s">
        <v>81</v>
      </c>
      <c r="N585" t="s">
        <v>31</v>
      </c>
      <c r="O585" t="s">
        <v>44</v>
      </c>
      <c r="P585" t="s">
        <v>211</v>
      </c>
      <c r="Q585" t="s">
        <v>212</v>
      </c>
      <c r="R585">
        <v>2628.46</v>
      </c>
      <c r="S585">
        <v>3</v>
      </c>
      <c r="T585">
        <v>0.3</v>
      </c>
      <c r="U585">
        <v>-273.10000000000002</v>
      </c>
    </row>
    <row r="586" spans="1:21">
      <c r="A586">
        <v>1626</v>
      </c>
      <c r="B586" t="s">
        <v>1267</v>
      </c>
      <c r="C586" s="1">
        <v>45371</v>
      </c>
      <c r="D586" s="1">
        <v>45376</v>
      </c>
      <c r="E586" t="s">
        <v>69</v>
      </c>
      <c r="F586" t="s">
        <v>340</v>
      </c>
      <c r="G586" t="s">
        <v>107</v>
      </c>
      <c r="H586" t="s">
        <v>108</v>
      </c>
      <c r="I586" t="s">
        <v>26</v>
      </c>
      <c r="J586" t="s">
        <v>109</v>
      </c>
      <c r="K586" t="s">
        <v>110</v>
      </c>
      <c r="L586" t="s">
        <v>41</v>
      </c>
      <c r="M586" t="s">
        <v>118</v>
      </c>
      <c r="N586" t="s">
        <v>1268</v>
      </c>
      <c r="O586" t="s">
        <v>55</v>
      </c>
      <c r="P586" t="s">
        <v>56</v>
      </c>
      <c r="Q586" t="s">
        <v>57</v>
      </c>
      <c r="R586">
        <v>6787.45</v>
      </c>
      <c r="S586">
        <v>1</v>
      </c>
      <c r="T586">
        <v>0.1</v>
      </c>
      <c r="U586">
        <v>638.85</v>
      </c>
    </row>
    <row r="587" spans="1:21">
      <c r="A587">
        <v>1442</v>
      </c>
      <c r="B587" t="s">
        <v>1269</v>
      </c>
      <c r="C587" s="1">
        <v>45437</v>
      </c>
      <c r="D587" s="1">
        <v>45440</v>
      </c>
      <c r="E587" t="s">
        <v>48</v>
      </c>
      <c r="F587" t="s">
        <v>375</v>
      </c>
      <c r="G587" t="s">
        <v>136</v>
      </c>
      <c r="H587" t="s">
        <v>108</v>
      </c>
      <c r="I587" t="s">
        <v>26</v>
      </c>
      <c r="J587" t="s">
        <v>61</v>
      </c>
      <c r="K587" t="s">
        <v>62</v>
      </c>
      <c r="L587" t="s">
        <v>29</v>
      </c>
      <c r="M587" t="s">
        <v>127</v>
      </c>
      <c r="N587" t="s">
        <v>1270</v>
      </c>
      <c r="O587" t="s">
        <v>138</v>
      </c>
      <c r="P587" t="s">
        <v>156</v>
      </c>
      <c r="Q587" t="s">
        <v>157</v>
      </c>
      <c r="R587">
        <v>333.26</v>
      </c>
      <c r="S587">
        <v>1</v>
      </c>
      <c r="T587">
        <v>0.05</v>
      </c>
      <c r="U587">
        <v>44.77</v>
      </c>
    </row>
    <row r="588" spans="1:21">
      <c r="A588">
        <v>1497</v>
      </c>
      <c r="B588" t="s">
        <v>1271</v>
      </c>
      <c r="C588" s="1">
        <v>45362</v>
      </c>
      <c r="D588" s="1">
        <v>45365</v>
      </c>
      <c r="E588" t="s">
        <v>69</v>
      </c>
      <c r="F588" t="s">
        <v>235</v>
      </c>
      <c r="H588" t="s">
        <v>389</v>
      </c>
      <c r="I588" t="s">
        <v>26</v>
      </c>
      <c r="J588" t="s">
        <v>166</v>
      </c>
      <c r="K588" t="s">
        <v>132</v>
      </c>
      <c r="L588" t="s">
        <v>92</v>
      </c>
      <c r="M588" t="s">
        <v>81</v>
      </c>
      <c r="N588" t="s">
        <v>1272</v>
      </c>
      <c r="O588" t="s">
        <v>44</v>
      </c>
      <c r="P588" t="s">
        <v>211</v>
      </c>
      <c r="Q588" t="s">
        <v>223</v>
      </c>
      <c r="R588">
        <v>4682.82</v>
      </c>
      <c r="S588">
        <v>3</v>
      </c>
      <c r="T588">
        <v>0.1</v>
      </c>
      <c r="U588">
        <v>220.23</v>
      </c>
    </row>
    <row r="589" spans="1:21">
      <c r="A589">
        <v>1113</v>
      </c>
      <c r="B589" t="s">
        <v>1273</v>
      </c>
      <c r="C589" s="1">
        <v>45483</v>
      </c>
      <c r="D589" s="1">
        <v>45485</v>
      </c>
      <c r="E589" t="s">
        <v>101</v>
      </c>
      <c r="F589" t="s">
        <v>164</v>
      </c>
      <c r="G589" t="s">
        <v>50</v>
      </c>
      <c r="H589" t="s">
        <v>38</v>
      </c>
      <c r="I589" t="s">
        <v>26</v>
      </c>
      <c r="J589" t="s">
        <v>160</v>
      </c>
      <c r="K589" t="s">
        <v>161</v>
      </c>
      <c r="L589" t="s">
        <v>41</v>
      </c>
      <c r="M589" t="s">
        <v>74</v>
      </c>
      <c r="N589" t="s">
        <v>1274</v>
      </c>
      <c r="O589" t="s">
        <v>44</v>
      </c>
      <c r="P589" t="s">
        <v>45</v>
      </c>
      <c r="Q589" t="s">
        <v>46</v>
      </c>
      <c r="R589">
        <v>58900.86</v>
      </c>
      <c r="S589">
        <v>2</v>
      </c>
      <c r="T589">
        <v>0.15</v>
      </c>
      <c r="U589">
        <v>642.02</v>
      </c>
    </row>
    <row r="590" spans="1:21">
      <c r="A590">
        <v>1233</v>
      </c>
      <c r="B590" t="s">
        <v>261</v>
      </c>
      <c r="C590" s="1">
        <v>45298</v>
      </c>
      <c r="D590" s="1">
        <v>45301</v>
      </c>
      <c r="E590" t="s">
        <v>101</v>
      </c>
      <c r="F590" t="s">
        <v>262</v>
      </c>
      <c r="G590" t="s">
        <v>147</v>
      </c>
      <c r="H590" t="s">
        <v>25</v>
      </c>
      <c r="I590" t="s">
        <v>26</v>
      </c>
      <c r="J590" t="s">
        <v>131</v>
      </c>
      <c r="K590" t="s">
        <v>132</v>
      </c>
      <c r="L590" t="s">
        <v>263</v>
      </c>
      <c r="M590" t="s">
        <v>81</v>
      </c>
      <c r="N590" t="s">
        <v>264</v>
      </c>
      <c r="O590" t="s">
        <v>138</v>
      </c>
      <c r="P590" t="s">
        <v>139</v>
      </c>
      <c r="Q590" t="s">
        <v>140</v>
      </c>
      <c r="R590">
        <v>1530.38</v>
      </c>
      <c r="S590">
        <v>2</v>
      </c>
      <c r="T590">
        <v>0.25</v>
      </c>
      <c r="U590">
        <v>53.8</v>
      </c>
    </row>
    <row r="591" spans="1:21">
      <c r="A591">
        <v>1661</v>
      </c>
      <c r="B591" t="s">
        <v>1275</v>
      </c>
      <c r="C591" s="1">
        <v>45546</v>
      </c>
      <c r="D591" s="1">
        <v>45547</v>
      </c>
      <c r="E591" t="s">
        <v>69</v>
      </c>
      <c r="F591" t="s">
        <v>146</v>
      </c>
      <c r="G591" t="s">
        <v>50</v>
      </c>
      <c r="H591" t="s">
        <v>51</v>
      </c>
      <c r="I591" t="s">
        <v>26</v>
      </c>
      <c r="J591" t="s">
        <v>79</v>
      </c>
      <c r="K591" t="s">
        <v>80</v>
      </c>
      <c r="L591" t="s">
        <v>63</v>
      </c>
      <c r="M591" t="s">
        <v>42</v>
      </c>
      <c r="N591" t="s">
        <v>1276</v>
      </c>
      <c r="O591" t="s">
        <v>83</v>
      </c>
      <c r="P591" t="s">
        <v>33</v>
      </c>
      <c r="Q591" t="s">
        <v>34</v>
      </c>
      <c r="R591">
        <v>1141.8499999999999</v>
      </c>
      <c r="S591">
        <v>1</v>
      </c>
      <c r="T591" t="s">
        <v>1022</v>
      </c>
      <c r="U591">
        <v>144.49</v>
      </c>
    </row>
    <row r="592" spans="1:21">
      <c r="A592">
        <v>1374</v>
      </c>
      <c r="B592" t="s">
        <v>1277</v>
      </c>
      <c r="C592" s="1">
        <v>45600</v>
      </c>
      <c r="D592" s="1">
        <v>45606</v>
      </c>
      <c r="E592" t="s">
        <v>48</v>
      </c>
      <c r="F592" t="s">
        <v>619</v>
      </c>
      <c r="G592" t="s">
        <v>24</v>
      </c>
      <c r="H592" t="s">
        <v>51</v>
      </c>
      <c r="I592" t="s">
        <v>26</v>
      </c>
      <c r="J592" t="s">
        <v>226</v>
      </c>
      <c r="K592" t="s">
        <v>110</v>
      </c>
      <c r="L592" t="s">
        <v>63</v>
      </c>
      <c r="M592" t="s">
        <v>81</v>
      </c>
      <c r="N592" t="s">
        <v>1270</v>
      </c>
      <c r="O592" t="s">
        <v>65</v>
      </c>
      <c r="P592" t="s">
        <v>66</v>
      </c>
      <c r="Q592" t="s">
        <v>67</v>
      </c>
      <c r="R592">
        <v>6256.57</v>
      </c>
      <c r="S592">
        <v>1</v>
      </c>
      <c r="T592">
        <v>0.25</v>
      </c>
      <c r="U592">
        <v>-15.98</v>
      </c>
    </row>
    <row r="593" spans="1:21">
      <c r="A593">
        <v>1234</v>
      </c>
      <c r="B593" t="s">
        <v>1278</v>
      </c>
      <c r="C593" s="1">
        <v>45363</v>
      </c>
      <c r="D593" s="1">
        <v>45366</v>
      </c>
      <c r="E593" t="s">
        <v>48</v>
      </c>
      <c r="F593" t="s">
        <v>266</v>
      </c>
      <c r="G593" t="s">
        <v>165</v>
      </c>
      <c r="H593" t="s">
        <v>51</v>
      </c>
      <c r="I593" t="s">
        <v>26</v>
      </c>
      <c r="J593" t="s">
        <v>72</v>
      </c>
      <c r="K593" t="s">
        <v>73</v>
      </c>
      <c r="L593" t="s">
        <v>154</v>
      </c>
      <c r="M593" t="s">
        <v>74</v>
      </c>
      <c r="N593" t="s">
        <v>1279</v>
      </c>
      <c r="O593" t="s">
        <v>240</v>
      </c>
      <c r="P593" t="s">
        <v>139</v>
      </c>
      <c r="Q593" t="s">
        <v>140</v>
      </c>
      <c r="R593">
        <v>3486.23</v>
      </c>
      <c r="S593">
        <v>4</v>
      </c>
      <c r="T593">
        <v>0.05</v>
      </c>
      <c r="U593">
        <v>691.56</v>
      </c>
    </row>
    <row r="594" spans="1:21">
      <c r="A594">
        <v>1602</v>
      </c>
      <c r="B594" t="s">
        <v>1280</v>
      </c>
      <c r="C594" s="1">
        <v>45532</v>
      </c>
      <c r="D594" s="1">
        <v>45538</v>
      </c>
      <c r="E594" t="s">
        <v>48</v>
      </c>
      <c r="F594" t="s">
        <v>260</v>
      </c>
      <c r="G594" t="s">
        <v>114</v>
      </c>
      <c r="H594" t="s">
        <v>51</v>
      </c>
      <c r="I594" t="s">
        <v>26</v>
      </c>
      <c r="J594" t="s">
        <v>131</v>
      </c>
      <c r="K594" t="s">
        <v>132</v>
      </c>
      <c r="L594" t="s">
        <v>117</v>
      </c>
      <c r="M594" t="s">
        <v>127</v>
      </c>
      <c r="N594" t="s">
        <v>438</v>
      </c>
      <c r="O594" t="s">
        <v>55</v>
      </c>
      <c r="P594" t="s">
        <v>56</v>
      </c>
      <c r="Q594" t="s">
        <v>57</v>
      </c>
      <c r="R594">
        <v>19948.46</v>
      </c>
      <c r="S594">
        <v>3</v>
      </c>
      <c r="T594">
        <v>0</v>
      </c>
      <c r="U594">
        <v>2910.26</v>
      </c>
    </row>
    <row r="595" spans="1:21">
      <c r="A595">
        <v>1318</v>
      </c>
      <c r="B595" t="s">
        <v>1281</v>
      </c>
      <c r="C595" s="1">
        <v>45510</v>
      </c>
      <c r="D595" s="1">
        <v>45511</v>
      </c>
      <c r="E595" t="s">
        <v>48</v>
      </c>
      <c r="F595" t="s">
        <v>247</v>
      </c>
      <c r="G595" t="s">
        <v>125</v>
      </c>
      <c r="H595" t="s">
        <v>51</v>
      </c>
      <c r="I595" t="s">
        <v>26</v>
      </c>
      <c r="J595" t="s">
        <v>52</v>
      </c>
      <c r="K595" t="s">
        <v>52</v>
      </c>
      <c r="L595" t="s">
        <v>29</v>
      </c>
      <c r="M595" t="s">
        <v>30</v>
      </c>
      <c r="N595" t="s">
        <v>1282</v>
      </c>
      <c r="O595" t="s">
        <v>188</v>
      </c>
      <c r="P595" t="s">
        <v>189</v>
      </c>
      <c r="Q595" t="s">
        <v>386</v>
      </c>
      <c r="R595">
        <v>2061.7199999999998</v>
      </c>
      <c r="S595">
        <v>1</v>
      </c>
      <c r="T595">
        <v>0</v>
      </c>
      <c r="U595">
        <v>260.98</v>
      </c>
    </row>
    <row r="596" spans="1:21">
      <c r="A596">
        <v>1411</v>
      </c>
      <c r="B596" t="s">
        <v>1283</v>
      </c>
      <c r="C596" s="1">
        <v>45320</v>
      </c>
      <c r="D596" s="1">
        <v>45322</v>
      </c>
      <c r="E596" t="s">
        <v>48</v>
      </c>
      <c r="F596" t="s">
        <v>77</v>
      </c>
      <c r="G596" t="s">
        <v>60</v>
      </c>
      <c r="H596" t="s">
        <v>153</v>
      </c>
      <c r="I596" t="s">
        <v>26</v>
      </c>
      <c r="J596" t="s">
        <v>79</v>
      </c>
      <c r="K596" t="s">
        <v>80</v>
      </c>
      <c r="L596" t="s">
        <v>29</v>
      </c>
      <c r="M596" t="s">
        <v>170</v>
      </c>
      <c r="N596" t="s">
        <v>1284</v>
      </c>
      <c r="O596" t="s">
        <v>44</v>
      </c>
      <c r="P596" t="s">
        <v>211</v>
      </c>
      <c r="Q596" t="s">
        <v>212</v>
      </c>
      <c r="R596">
        <v>3585.72</v>
      </c>
      <c r="S596">
        <v>3</v>
      </c>
      <c r="T596">
        <v>0.05</v>
      </c>
      <c r="U596">
        <v>209.06</v>
      </c>
    </row>
    <row r="597" spans="1:21">
      <c r="A597">
        <v>1679</v>
      </c>
      <c r="B597" t="s">
        <v>1285</v>
      </c>
      <c r="C597" s="1">
        <v>45294</v>
      </c>
      <c r="D597" s="1">
        <v>45297</v>
      </c>
      <c r="E597" t="s">
        <v>101</v>
      </c>
      <c r="F597" t="s">
        <v>520</v>
      </c>
      <c r="G597" t="s">
        <v>37</v>
      </c>
      <c r="H597" t="s">
        <v>108</v>
      </c>
      <c r="I597" t="s">
        <v>26</v>
      </c>
      <c r="J597" t="s">
        <v>72</v>
      </c>
      <c r="K597" t="s">
        <v>73</v>
      </c>
      <c r="L597" t="s">
        <v>117</v>
      </c>
      <c r="M597" t="s">
        <v>30</v>
      </c>
      <c r="N597" t="s">
        <v>264</v>
      </c>
      <c r="O597" t="s">
        <v>138</v>
      </c>
      <c r="P597" t="s">
        <v>182</v>
      </c>
      <c r="Q597" t="s">
        <v>183</v>
      </c>
      <c r="R597">
        <v>3830.8</v>
      </c>
      <c r="S597">
        <v>8</v>
      </c>
      <c r="T597">
        <v>0</v>
      </c>
      <c r="U597">
        <v>736.17</v>
      </c>
    </row>
    <row r="598" spans="1:21">
      <c r="A598">
        <v>1359</v>
      </c>
      <c r="B598" t="s">
        <v>1286</v>
      </c>
      <c r="C598" s="1">
        <v>45339</v>
      </c>
      <c r="D598" s="1">
        <v>45342</v>
      </c>
      <c r="E598" t="s">
        <v>48</v>
      </c>
      <c r="F598" t="s">
        <v>437</v>
      </c>
      <c r="G598" t="s">
        <v>50</v>
      </c>
      <c r="H598" t="s">
        <v>51</v>
      </c>
      <c r="I598" t="s">
        <v>26</v>
      </c>
      <c r="J598" t="s">
        <v>166</v>
      </c>
      <c r="K598" t="s">
        <v>132</v>
      </c>
      <c r="L598" t="s">
        <v>29</v>
      </c>
      <c r="M598" t="s">
        <v>118</v>
      </c>
      <c r="N598" t="s">
        <v>698</v>
      </c>
      <c r="O598" t="s">
        <v>55</v>
      </c>
      <c r="P598" t="s">
        <v>56</v>
      </c>
      <c r="Q598" t="s">
        <v>57</v>
      </c>
      <c r="R598">
        <v>12887.49</v>
      </c>
      <c r="S598">
        <v>2</v>
      </c>
      <c r="T598">
        <v>0.15</v>
      </c>
      <c r="U598">
        <v>992.75</v>
      </c>
    </row>
    <row r="599" spans="1:21">
      <c r="A599">
        <v>1259</v>
      </c>
      <c r="B599" t="s">
        <v>1287</v>
      </c>
      <c r="C599" s="1">
        <v>45397</v>
      </c>
      <c r="D599" s="1">
        <v>45398</v>
      </c>
      <c r="E599" t="s">
        <v>48</v>
      </c>
      <c r="F599" t="s">
        <v>420</v>
      </c>
      <c r="G599" t="s">
        <v>78</v>
      </c>
      <c r="H599" t="s">
        <v>51</v>
      </c>
      <c r="I599" t="s">
        <v>26</v>
      </c>
      <c r="J599" t="s">
        <v>79</v>
      </c>
      <c r="K599" t="s">
        <v>80</v>
      </c>
      <c r="L599" t="s">
        <v>92</v>
      </c>
      <c r="M599" t="s">
        <v>42</v>
      </c>
      <c r="N599" t="s">
        <v>1153</v>
      </c>
      <c r="O599" t="s">
        <v>138</v>
      </c>
      <c r="P599" t="s">
        <v>156</v>
      </c>
      <c r="Q599" t="s">
        <v>157</v>
      </c>
      <c r="R599">
        <v>1005.72</v>
      </c>
      <c r="S599">
        <v>3</v>
      </c>
      <c r="T599">
        <v>0.1</v>
      </c>
      <c r="U599">
        <v>156.85</v>
      </c>
    </row>
    <row r="600" spans="1:21">
      <c r="A600">
        <v>1283</v>
      </c>
      <c r="B600" t="s">
        <v>1288</v>
      </c>
      <c r="C600" s="1">
        <v>45315</v>
      </c>
      <c r="D600" s="1">
        <v>45319</v>
      </c>
      <c r="E600" t="s">
        <v>48</v>
      </c>
      <c r="F600" t="s">
        <v>262</v>
      </c>
      <c r="G600" t="s">
        <v>71</v>
      </c>
      <c r="H600" t="s">
        <v>51</v>
      </c>
      <c r="I600" t="s">
        <v>26</v>
      </c>
      <c r="J600" t="s">
        <v>52</v>
      </c>
      <c r="K600" t="s">
        <v>52</v>
      </c>
      <c r="L600" t="s">
        <v>92</v>
      </c>
      <c r="M600" t="s">
        <v>30</v>
      </c>
      <c r="N600" t="s">
        <v>691</v>
      </c>
      <c r="O600" t="s">
        <v>44</v>
      </c>
      <c r="P600" t="s">
        <v>207</v>
      </c>
      <c r="Q600" t="s">
        <v>208</v>
      </c>
      <c r="R600">
        <v>228406</v>
      </c>
      <c r="S600">
        <v>5</v>
      </c>
      <c r="T600">
        <v>0.1</v>
      </c>
      <c r="U600">
        <v>10740.37</v>
      </c>
    </row>
    <row r="601" spans="1:21">
      <c r="A601">
        <v>1377</v>
      </c>
      <c r="B601" t="s">
        <v>1289</v>
      </c>
      <c r="C601" s="1">
        <v>45319</v>
      </c>
      <c r="D601" s="1">
        <v>45325</v>
      </c>
      <c r="E601" t="s">
        <v>22</v>
      </c>
      <c r="F601" t="s">
        <v>59</v>
      </c>
      <c r="G601" t="s">
        <v>78</v>
      </c>
      <c r="H601" t="s">
        <v>38</v>
      </c>
      <c r="I601" t="s">
        <v>26</v>
      </c>
      <c r="J601" t="s">
        <v>27</v>
      </c>
      <c r="K601" t="s">
        <v>28</v>
      </c>
      <c r="L601" t="s">
        <v>92</v>
      </c>
      <c r="M601" t="s">
        <v>42</v>
      </c>
      <c r="N601" t="s">
        <v>480</v>
      </c>
      <c r="O601" t="s">
        <v>44</v>
      </c>
      <c r="P601" t="s">
        <v>207</v>
      </c>
      <c r="Q601" t="s">
        <v>208</v>
      </c>
      <c r="R601">
        <v>50409.4</v>
      </c>
      <c r="S601">
        <v>1</v>
      </c>
      <c r="T601">
        <v>0.05</v>
      </c>
      <c r="U601">
        <v>3584.24</v>
      </c>
    </row>
    <row r="602" spans="1:21">
      <c r="A602">
        <v>1385</v>
      </c>
      <c r="B602" t="s">
        <v>1290</v>
      </c>
      <c r="C602" s="1">
        <v>45442</v>
      </c>
      <c r="D602" s="1">
        <v>45444</v>
      </c>
      <c r="E602" t="s">
        <v>101</v>
      </c>
      <c r="F602" t="s">
        <v>142</v>
      </c>
      <c r="G602" t="s">
        <v>88</v>
      </c>
      <c r="H602" t="s">
        <v>51</v>
      </c>
      <c r="I602" t="s">
        <v>26</v>
      </c>
      <c r="J602" t="s">
        <v>72</v>
      </c>
      <c r="K602" t="s">
        <v>73</v>
      </c>
      <c r="L602" t="s">
        <v>169</v>
      </c>
      <c r="M602" t="s">
        <v>74</v>
      </c>
      <c r="N602" t="s">
        <v>1291</v>
      </c>
      <c r="O602" t="s">
        <v>188</v>
      </c>
      <c r="P602" t="s">
        <v>189</v>
      </c>
      <c r="Q602" t="s">
        <v>190</v>
      </c>
      <c r="R602">
        <v>9045.52</v>
      </c>
      <c r="S602">
        <v>2</v>
      </c>
      <c r="T602">
        <v>0.2</v>
      </c>
      <c r="U602">
        <v>0</v>
      </c>
    </row>
    <row r="603" spans="1:21">
      <c r="A603">
        <v>1225</v>
      </c>
      <c r="B603" t="s">
        <v>1292</v>
      </c>
      <c r="C603" s="1">
        <v>45622</v>
      </c>
      <c r="D603" s="1">
        <v>45625</v>
      </c>
      <c r="E603" t="s">
        <v>22</v>
      </c>
      <c r="F603" t="s">
        <v>177</v>
      </c>
      <c r="G603" t="s">
        <v>136</v>
      </c>
      <c r="H603" t="s">
        <v>153</v>
      </c>
      <c r="I603" t="s">
        <v>26</v>
      </c>
      <c r="J603" t="s">
        <v>346</v>
      </c>
      <c r="K603" t="s">
        <v>132</v>
      </c>
      <c r="L603" t="s">
        <v>41</v>
      </c>
      <c r="M603" t="s">
        <v>30</v>
      </c>
      <c r="N603" t="s">
        <v>1293</v>
      </c>
      <c r="O603" t="s">
        <v>32</v>
      </c>
      <c r="P603" t="s">
        <v>33</v>
      </c>
      <c r="Q603" t="s">
        <v>34</v>
      </c>
      <c r="R603">
        <v>3087.63</v>
      </c>
      <c r="S603">
        <v>3</v>
      </c>
      <c r="T603">
        <v>0.25</v>
      </c>
      <c r="U603">
        <v>213.91</v>
      </c>
    </row>
    <row r="604" spans="1:21">
      <c r="A604">
        <v>1720</v>
      </c>
      <c r="B604" t="s">
        <v>1294</v>
      </c>
      <c r="C604" s="1">
        <v>45617</v>
      </c>
      <c r="D604" s="1">
        <v>45619</v>
      </c>
      <c r="E604" t="s">
        <v>22</v>
      </c>
      <c r="F604" t="s">
        <v>426</v>
      </c>
      <c r="G604" t="s">
        <v>71</v>
      </c>
      <c r="H604" t="s">
        <v>51</v>
      </c>
      <c r="I604" t="s">
        <v>26</v>
      </c>
      <c r="J604" t="s">
        <v>115</v>
      </c>
      <c r="K604" t="s">
        <v>116</v>
      </c>
      <c r="L604" t="s">
        <v>63</v>
      </c>
      <c r="M604" t="s">
        <v>30</v>
      </c>
      <c r="N604" t="s">
        <v>1276</v>
      </c>
      <c r="O604" t="s">
        <v>44</v>
      </c>
      <c r="P604" t="s">
        <v>211</v>
      </c>
      <c r="Q604" t="s">
        <v>223</v>
      </c>
      <c r="R604">
        <v>4113.92</v>
      </c>
      <c r="S604">
        <v>0</v>
      </c>
      <c r="T604">
        <v>0.2</v>
      </c>
      <c r="U604">
        <v>-89.41</v>
      </c>
    </row>
    <row r="605" spans="1:21">
      <c r="A605">
        <v>1622</v>
      </c>
      <c r="B605" t="s">
        <v>1295</v>
      </c>
      <c r="C605" s="1">
        <v>45375</v>
      </c>
      <c r="D605" s="1">
        <v>45380</v>
      </c>
      <c r="E605" t="s">
        <v>22</v>
      </c>
      <c r="F605" t="s">
        <v>291</v>
      </c>
      <c r="G605" t="s">
        <v>174</v>
      </c>
      <c r="H605" t="s">
        <v>51</v>
      </c>
      <c r="I605" t="s">
        <v>26</v>
      </c>
      <c r="J605" t="s">
        <v>131</v>
      </c>
      <c r="K605" t="s">
        <v>132</v>
      </c>
      <c r="L605" t="s">
        <v>29</v>
      </c>
      <c r="M605" t="s">
        <v>81</v>
      </c>
      <c r="N605" t="s">
        <v>1075</v>
      </c>
      <c r="O605" t="s">
        <v>55</v>
      </c>
      <c r="P605" t="s">
        <v>56</v>
      </c>
      <c r="Q605" t="s">
        <v>57</v>
      </c>
      <c r="R605">
        <v>19155.86</v>
      </c>
      <c r="S605">
        <v>3</v>
      </c>
      <c r="T605">
        <v>0.15</v>
      </c>
      <c r="U605">
        <v>1403.64</v>
      </c>
    </row>
    <row r="606" spans="1:21">
      <c r="A606">
        <v>1473</v>
      </c>
      <c r="B606" t="s">
        <v>253</v>
      </c>
      <c r="C606" s="1">
        <v>45583</v>
      </c>
      <c r="D606" s="1">
        <v>45589</v>
      </c>
      <c r="E606" t="s">
        <v>69</v>
      </c>
      <c r="F606" t="s">
        <v>142</v>
      </c>
      <c r="G606" t="s">
        <v>24</v>
      </c>
      <c r="H606" t="s">
        <v>51</v>
      </c>
      <c r="I606" t="s">
        <v>26</v>
      </c>
      <c r="J606" t="s">
        <v>72</v>
      </c>
      <c r="K606" t="s">
        <v>73</v>
      </c>
      <c r="L606" t="s">
        <v>29</v>
      </c>
      <c r="M606" t="s">
        <v>81</v>
      </c>
      <c r="N606" t="s">
        <v>199</v>
      </c>
      <c r="O606" t="s">
        <v>138</v>
      </c>
      <c r="P606" t="s">
        <v>121</v>
      </c>
      <c r="Q606" t="s">
        <v>122</v>
      </c>
      <c r="R606">
        <v>557.52</v>
      </c>
      <c r="S606">
        <v>1</v>
      </c>
      <c r="T606">
        <v>0.1</v>
      </c>
      <c r="U606">
        <v>56.86</v>
      </c>
    </row>
    <row r="607" spans="1:21">
      <c r="A607">
        <v>1348</v>
      </c>
      <c r="B607" t="s">
        <v>1296</v>
      </c>
      <c r="C607" s="1">
        <v>45344</v>
      </c>
      <c r="D607" s="1">
        <v>45348</v>
      </c>
      <c r="E607" t="s">
        <v>48</v>
      </c>
      <c r="F607" t="s">
        <v>633</v>
      </c>
      <c r="G607" t="s">
        <v>50</v>
      </c>
      <c r="H607" t="s">
        <v>25</v>
      </c>
      <c r="I607" t="s">
        <v>26</v>
      </c>
      <c r="J607" t="s">
        <v>72</v>
      </c>
      <c r="K607" t="s">
        <v>73</v>
      </c>
      <c r="L607" t="s">
        <v>41</v>
      </c>
      <c r="M607" t="s">
        <v>42</v>
      </c>
      <c r="N607" t="s">
        <v>685</v>
      </c>
      <c r="O607" t="s">
        <v>293</v>
      </c>
      <c r="P607" t="s">
        <v>211</v>
      </c>
      <c r="Q607" t="s">
        <v>223</v>
      </c>
      <c r="R607">
        <v>3209.24</v>
      </c>
      <c r="S607">
        <v>2</v>
      </c>
      <c r="T607">
        <v>0.05</v>
      </c>
      <c r="U607">
        <v>262.47000000000003</v>
      </c>
    </row>
    <row r="608" spans="1:21">
      <c r="A608">
        <v>1506</v>
      </c>
      <c r="B608" t="s">
        <v>1297</v>
      </c>
      <c r="D608" s="1">
        <v>45606</v>
      </c>
      <c r="E608" t="s">
        <v>69</v>
      </c>
      <c r="F608" t="s">
        <v>598</v>
      </c>
      <c r="G608" t="s">
        <v>88</v>
      </c>
      <c r="H608" t="s">
        <v>51</v>
      </c>
      <c r="I608" t="s">
        <v>26</v>
      </c>
      <c r="J608" t="s">
        <v>27</v>
      </c>
      <c r="K608" t="s">
        <v>28</v>
      </c>
      <c r="L608" t="s">
        <v>29</v>
      </c>
      <c r="M608" t="s">
        <v>74</v>
      </c>
      <c r="N608" t="s">
        <v>379</v>
      </c>
      <c r="O608" t="s">
        <v>188</v>
      </c>
      <c r="P608" t="s">
        <v>189</v>
      </c>
      <c r="Q608" t="s">
        <v>386</v>
      </c>
      <c r="R608">
        <v>1786.59</v>
      </c>
      <c r="S608">
        <v>1</v>
      </c>
      <c r="T608">
        <v>0.15</v>
      </c>
      <c r="U608">
        <v>72.22</v>
      </c>
    </row>
    <row r="609" spans="1:21">
      <c r="A609">
        <v>1747</v>
      </c>
      <c r="B609" t="s">
        <v>1298</v>
      </c>
      <c r="C609" s="1">
        <v>45567</v>
      </c>
      <c r="D609" s="1">
        <v>45568</v>
      </c>
      <c r="E609" t="s">
        <v>101</v>
      </c>
      <c r="F609" t="s">
        <v>375</v>
      </c>
      <c r="G609" t="s">
        <v>50</v>
      </c>
      <c r="H609" t="s">
        <v>89</v>
      </c>
      <c r="I609" t="s">
        <v>26</v>
      </c>
      <c r="J609" t="s">
        <v>52</v>
      </c>
      <c r="K609" t="s">
        <v>52</v>
      </c>
      <c r="L609" t="s">
        <v>63</v>
      </c>
      <c r="M609" t="s">
        <v>127</v>
      </c>
      <c r="N609" t="s">
        <v>1299</v>
      </c>
      <c r="O609" t="s">
        <v>293</v>
      </c>
      <c r="P609" t="s">
        <v>45</v>
      </c>
      <c r="Q609" t="s">
        <v>46</v>
      </c>
      <c r="R609">
        <v>103287.22</v>
      </c>
      <c r="S609">
        <v>3</v>
      </c>
      <c r="T609">
        <v>0</v>
      </c>
      <c r="U609">
        <v>8937.01</v>
      </c>
    </row>
    <row r="610" spans="1:21">
      <c r="A610">
        <v>1290</v>
      </c>
      <c r="B610" t="s">
        <v>861</v>
      </c>
      <c r="C610" s="1">
        <v>45589</v>
      </c>
      <c r="D610" s="1">
        <v>45590</v>
      </c>
      <c r="E610" t="s">
        <v>69</v>
      </c>
      <c r="F610" t="s">
        <v>255</v>
      </c>
      <c r="G610" t="s">
        <v>88</v>
      </c>
      <c r="H610" t="s">
        <v>108</v>
      </c>
      <c r="I610" t="s">
        <v>26</v>
      </c>
      <c r="J610" t="s">
        <v>109</v>
      </c>
      <c r="K610" t="s">
        <v>110</v>
      </c>
      <c r="L610" t="s">
        <v>334</v>
      </c>
      <c r="M610" t="s">
        <v>74</v>
      </c>
      <c r="N610" t="s">
        <v>862</v>
      </c>
      <c r="O610" t="s">
        <v>83</v>
      </c>
      <c r="P610" t="s">
        <v>33</v>
      </c>
      <c r="Q610" t="s">
        <v>34</v>
      </c>
      <c r="R610">
        <v>2796.47</v>
      </c>
      <c r="S610">
        <v>2</v>
      </c>
      <c r="T610">
        <v>0</v>
      </c>
      <c r="U610">
        <v>614.61</v>
      </c>
    </row>
    <row r="611" spans="1:21">
      <c r="A611">
        <v>1684</v>
      </c>
      <c r="B611" t="s">
        <v>1300</v>
      </c>
      <c r="C611" s="1">
        <v>45367</v>
      </c>
      <c r="D611" s="1">
        <v>45368</v>
      </c>
      <c r="E611" t="s">
        <v>48</v>
      </c>
      <c r="F611" t="s">
        <v>185</v>
      </c>
      <c r="G611" t="s">
        <v>107</v>
      </c>
      <c r="H611" t="s">
        <v>25</v>
      </c>
      <c r="I611" t="s">
        <v>26</v>
      </c>
      <c r="J611" t="s">
        <v>226</v>
      </c>
      <c r="K611" t="s">
        <v>110</v>
      </c>
      <c r="L611" t="s">
        <v>63</v>
      </c>
      <c r="M611" t="s">
        <v>30</v>
      </c>
      <c r="N611" t="s">
        <v>835</v>
      </c>
      <c r="P611" t="s">
        <v>33</v>
      </c>
      <c r="Q611" t="s">
        <v>34</v>
      </c>
      <c r="R611">
        <v>2896.69</v>
      </c>
      <c r="S611">
        <v>2</v>
      </c>
      <c r="T611">
        <v>0</v>
      </c>
      <c r="U611">
        <v>872.28</v>
      </c>
    </row>
    <row r="612" spans="1:21">
      <c r="A612">
        <v>1649</v>
      </c>
      <c r="B612" t="s">
        <v>1301</v>
      </c>
      <c r="C612" s="1">
        <v>45582</v>
      </c>
      <c r="D612" s="1">
        <v>45587</v>
      </c>
      <c r="E612" t="s">
        <v>101</v>
      </c>
      <c r="F612" t="s">
        <v>266</v>
      </c>
      <c r="G612" t="s">
        <v>229</v>
      </c>
      <c r="H612" t="s">
        <v>51</v>
      </c>
      <c r="I612" t="s">
        <v>26</v>
      </c>
      <c r="J612" t="s">
        <v>346</v>
      </c>
      <c r="K612" t="s">
        <v>132</v>
      </c>
      <c r="L612" t="s">
        <v>29</v>
      </c>
      <c r="M612" t="s">
        <v>170</v>
      </c>
      <c r="N612" t="s">
        <v>405</v>
      </c>
      <c r="O612" t="s">
        <v>120</v>
      </c>
      <c r="P612" t="s">
        <v>121</v>
      </c>
      <c r="Q612" t="s">
        <v>122</v>
      </c>
      <c r="R612">
        <v>923.13</v>
      </c>
      <c r="S612">
        <v>2</v>
      </c>
      <c r="T612">
        <v>0.25</v>
      </c>
      <c r="U612">
        <v>27.77</v>
      </c>
    </row>
    <row r="613" spans="1:21">
      <c r="A613">
        <v>1642</v>
      </c>
      <c r="B613" t="s">
        <v>1302</v>
      </c>
      <c r="C613" s="1">
        <v>45370</v>
      </c>
      <c r="D613" s="1">
        <v>45373</v>
      </c>
      <c r="E613" t="s">
        <v>22</v>
      </c>
      <c r="F613" t="s">
        <v>417</v>
      </c>
      <c r="G613" t="s">
        <v>50</v>
      </c>
      <c r="H613" t="s">
        <v>51</v>
      </c>
      <c r="I613" t="s">
        <v>26</v>
      </c>
      <c r="J613" t="s">
        <v>39</v>
      </c>
      <c r="K613" t="s">
        <v>40</v>
      </c>
      <c r="L613" t="s">
        <v>29</v>
      </c>
      <c r="M613" t="s">
        <v>127</v>
      </c>
      <c r="N613" t="s">
        <v>311</v>
      </c>
      <c r="O613" t="s">
        <v>138</v>
      </c>
      <c r="P613" t="s">
        <v>156</v>
      </c>
      <c r="Q613" t="s">
        <v>157</v>
      </c>
      <c r="R613">
        <v>306.89999999999998</v>
      </c>
      <c r="S613">
        <v>1</v>
      </c>
      <c r="T613">
        <v>0.2</v>
      </c>
      <c r="U613">
        <v>16.22</v>
      </c>
    </row>
    <row r="614" spans="1:21">
      <c r="A614">
        <v>1557</v>
      </c>
      <c r="B614" t="s">
        <v>1303</v>
      </c>
      <c r="C614" s="1">
        <v>45629</v>
      </c>
      <c r="D614" s="1">
        <v>45633</v>
      </c>
      <c r="E614" t="s">
        <v>48</v>
      </c>
      <c r="F614" t="s">
        <v>414</v>
      </c>
      <c r="G614" t="s">
        <v>60</v>
      </c>
      <c r="H614" t="s">
        <v>310</v>
      </c>
      <c r="I614" t="s">
        <v>26</v>
      </c>
      <c r="J614" t="s">
        <v>131</v>
      </c>
      <c r="K614" t="s">
        <v>132</v>
      </c>
      <c r="L614" t="s">
        <v>63</v>
      </c>
      <c r="M614" t="s">
        <v>127</v>
      </c>
      <c r="N614" t="s">
        <v>1304</v>
      </c>
      <c r="O614" t="s">
        <v>240</v>
      </c>
      <c r="P614" t="s">
        <v>139</v>
      </c>
      <c r="Q614" t="s">
        <v>140</v>
      </c>
      <c r="R614">
        <v>2587.86</v>
      </c>
      <c r="S614">
        <v>3</v>
      </c>
      <c r="T614">
        <v>0.05</v>
      </c>
      <c r="U614">
        <v>441.48</v>
      </c>
    </row>
    <row r="615" spans="1:21">
      <c r="A615">
        <v>1578</v>
      </c>
      <c r="B615" t="s">
        <v>1305</v>
      </c>
      <c r="C615" s="1">
        <v>45651</v>
      </c>
      <c r="D615" s="1">
        <v>45657</v>
      </c>
      <c r="E615" t="s">
        <v>69</v>
      </c>
      <c r="F615" t="s">
        <v>512</v>
      </c>
      <c r="G615" t="s">
        <v>60</v>
      </c>
      <c r="H615" t="s">
        <v>126</v>
      </c>
      <c r="I615" t="s">
        <v>26</v>
      </c>
      <c r="J615" t="s">
        <v>346</v>
      </c>
      <c r="K615" t="s">
        <v>132</v>
      </c>
      <c r="L615" t="s">
        <v>41</v>
      </c>
      <c r="M615" t="s">
        <v>42</v>
      </c>
      <c r="N615" t="s">
        <v>1306</v>
      </c>
      <c r="O615" t="s">
        <v>138</v>
      </c>
      <c r="P615" t="s">
        <v>182</v>
      </c>
      <c r="Q615" t="s">
        <v>183</v>
      </c>
      <c r="R615">
        <v>1238.06</v>
      </c>
      <c r="S615">
        <v>3</v>
      </c>
      <c r="T615">
        <v>0.1</v>
      </c>
      <c r="U615">
        <v>188.26</v>
      </c>
    </row>
    <row r="616" spans="1:21">
      <c r="A616">
        <v>1086</v>
      </c>
      <c r="B616" t="s">
        <v>1307</v>
      </c>
      <c r="C616" s="1">
        <v>45561</v>
      </c>
      <c r="D616" s="1">
        <v>45565</v>
      </c>
      <c r="E616" t="s">
        <v>22</v>
      </c>
      <c r="F616" t="s">
        <v>593</v>
      </c>
      <c r="G616" t="s">
        <v>60</v>
      </c>
      <c r="H616" t="s">
        <v>310</v>
      </c>
      <c r="I616" t="s">
        <v>26</v>
      </c>
      <c r="J616" t="s">
        <v>226</v>
      </c>
      <c r="K616" t="s">
        <v>110</v>
      </c>
      <c r="L616" t="s">
        <v>29</v>
      </c>
      <c r="M616" t="s">
        <v>127</v>
      </c>
      <c r="N616" t="s">
        <v>1308</v>
      </c>
      <c r="O616" t="s">
        <v>188</v>
      </c>
      <c r="P616" t="s">
        <v>189</v>
      </c>
      <c r="Q616" t="s">
        <v>386</v>
      </c>
      <c r="R616">
        <v>11312.51</v>
      </c>
      <c r="S616">
        <v>5</v>
      </c>
      <c r="T616">
        <v>0</v>
      </c>
      <c r="U616">
        <v>1115.17</v>
      </c>
    </row>
    <row r="617" spans="1:21">
      <c r="A617">
        <v>1243</v>
      </c>
      <c r="B617" t="s">
        <v>1309</v>
      </c>
      <c r="C617" s="1">
        <v>45346</v>
      </c>
      <c r="D617" s="1">
        <v>45347</v>
      </c>
      <c r="E617" t="s">
        <v>22</v>
      </c>
      <c r="F617" t="s">
        <v>601</v>
      </c>
      <c r="G617" t="s">
        <v>107</v>
      </c>
      <c r="H617" t="s">
        <v>310</v>
      </c>
      <c r="I617" t="s">
        <v>26</v>
      </c>
      <c r="J617" t="s">
        <v>90</v>
      </c>
      <c r="K617" t="s">
        <v>91</v>
      </c>
      <c r="L617" t="s">
        <v>92</v>
      </c>
      <c r="M617" t="s">
        <v>118</v>
      </c>
      <c r="N617" t="s">
        <v>1310</v>
      </c>
      <c r="O617" t="s">
        <v>138</v>
      </c>
      <c r="P617" t="s">
        <v>156</v>
      </c>
      <c r="Q617" t="s">
        <v>157</v>
      </c>
      <c r="R617">
        <v>1155.3800000000001</v>
      </c>
      <c r="S617">
        <v>4</v>
      </c>
      <c r="T617">
        <v>0.25</v>
      </c>
      <c r="U617">
        <v>52.02</v>
      </c>
    </row>
    <row r="618" spans="1:21">
      <c r="A618">
        <v>1160</v>
      </c>
      <c r="B618" t="s">
        <v>1311</v>
      </c>
      <c r="C618" s="1">
        <v>45426</v>
      </c>
      <c r="D618" s="1">
        <v>45429</v>
      </c>
      <c r="E618" t="s">
        <v>101</v>
      </c>
      <c r="F618" t="s">
        <v>810</v>
      </c>
      <c r="G618" t="s">
        <v>114</v>
      </c>
      <c r="H618" t="s">
        <v>51</v>
      </c>
      <c r="I618" t="s">
        <v>26</v>
      </c>
      <c r="J618" t="s">
        <v>346</v>
      </c>
      <c r="K618" t="s">
        <v>132</v>
      </c>
      <c r="L618" t="s">
        <v>215</v>
      </c>
      <c r="M618" t="s">
        <v>81</v>
      </c>
      <c r="N618" t="s">
        <v>1312</v>
      </c>
      <c r="O618" t="s">
        <v>83</v>
      </c>
      <c r="P618" t="s">
        <v>33</v>
      </c>
      <c r="Q618" t="s">
        <v>34</v>
      </c>
      <c r="R618">
        <v>3969.13</v>
      </c>
      <c r="S618">
        <v>3</v>
      </c>
      <c r="T618">
        <v>0</v>
      </c>
      <c r="U618">
        <v>868.37</v>
      </c>
    </row>
    <row r="619" spans="1:21">
      <c r="A619">
        <v>1525</v>
      </c>
      <c r="B619" t="s">
        <v>1313</v>
      </c>
      <c r="C619" s="1">
        <v>45465</v>
      </c>
      <c r="D619" s="1">
        <v>45469</v>
      </c>
      <c r="E619" t="s">
        <v>69</v>
      </c>
      <c r="F619" t="s">
        <v>649</v>
      </c>
      <c r="G619" t="s">
        <v>114</v>
      </c>
      <c r="H619" t="s">
        <v>302</v>
      </c>
      <c r="I619" t="s">
        <v>26</v>
      </c>
      <c r="J619" t="s">
        <v>226</v>
      </c>
      <c r="K619" t="s">
        <v>110</v>
      </c>
      <c r="L619" t="s">
        <v>29</v>
      </c>
      <c r="M619" t="s">
        <v>30</v>
      </c>
      <c r="N619" t="s">
        <v>1314</v>
      </c>
      <c r="O619" t="s">
        <v>293</v>
      </c>
      <c r="P619" t="s">
        <v>45</v>
      </c>
      <c r="Q619" t="s">
        <v>46</v>
      </c>
      <c r="R619">
        <v>76263.539999999994</v>
      </c>
      <c r="S619">
        <v>2</v>
      </c>
      <c r="T619">
        <v>0</v>
      </c>
      <c r="U619">
        <v>6380.96</v>
      </c>
    </row>
    <row r="620" spans="1:21">
      <c r="A620">
        <v>1036</v>
      </c>
      <c r="B620" t="s">
        <v>1315</v>
      </c>
      <c r="C620" s="1">
        <v>45620</v>
      </c>
      <c r="D620" s="1">
        <v>45625</v>
      </c>
      <c r="E620" t="s">
        <v>101</v>
      </c>
      <c r="F620" t="s">
        <v>375</v>
      </c>
      <c r="G620" t="s">
        <v>88</v>
      </c>
      <c r="H620" t="s">
        <v>51</v>
      </c>
      <c r="I620" t="s">
        <v>26</v>
      </c>
      <c r="J620" t="s">
        <v>115</v>
      </c>
      <c r="K620" t="s">
        <v>116</v>
      </c>
      <c r="L620" t="s">
        <v>63</v>
      </c>
      <c r="M620" t="s">
        <v>74</v>
      </c>
      <c r="N620" t="s">
        <v>343</v>
      </c>
      <c r="O620" t="s">
        <v>328</v>
      </c>
      <c r="P620" t="s">
        <v>189</v>
      </c>
      <c r="Q620" t="s">
        <v>386</v>
      </c>
      <c r="R620">
        <v>7346.66</v>
      </c>
      <c r="S620">
        <v>4</v>
      </c>
      <c r="T620">
        <v>0.2</v>
      </c>
      <c r="U620">
        <v>0</v>
      </c>
    </row>
    <row r="621" spans="1:21">
      <c r="A621">
        <v>1541</v>
      </c>
      <c r="B621" t="s">
        <v>1316</v>
      </c>
      <c r="C621" s="1">
        <v>45350</v>
      </c>
      <c r="D621" s="1">
        <v>45355</v>
      </c>
      <c r="E621" t="s">
        <v>101</v>
      </c>
      <c r="F621" t="s">
        <v>553</v>
      </c>
      <c r="G621" t="s">
        <v>136</v>
      </c>
      <c r="H621" t="s">
        <v>25</v>
      </c>
      <c r="I621" t="s">
        <v>26</v>
      </c>
      <c r="J621" t="s">
        <v>90</v>
      </c>
      <c r="K621" t="s">
        <v>91</v>
      </c>
      <c r="L621" t="s">
        <v>41</v>
      </c>
      <c r="M621" t="s">
        <v>127</v>
      </c>
      <c r="N621" t="s">
        <v>1317</v>
      </c>
      <c r="O621" t="s">
        <v>44</v>
      </c>
      <c r="P621" t="s">
        <v>45</v>
      </c>
      <c r="Q621" t="s">
        <v>46</v>
      </c>
      <c r="R621">
        <v>105418.17</v>
      </c>
      <c r="S621">
        <v>4</v>
      </c>
      <c r="T621">
        <v>0.3</v>
      </c>
      <c r="U621">
        <v>-7120.99</v>
      </c>
    </row>
    <row r="622" spans="1:21">
      <c r="A622">
        <v>1171</v>
      </c>
      <c r="B622" t="s">
        <v>1318</v>
      </c>
      <c r="C622" s="1">
        <v>45530</v>
      </c>
      <c r="D622" s="1">
        <v>45531</v>
      </c>
      <c r="E622" t="s">
        <v>48</v>
      </c>
      <c r="F622" t="s">
        <v>260</v>
      </c>
      <c r="G622" t="s">
        <v>107</v>
      </c>
      <c r="H622" t="s">
        <v>51</v>
      </c>
      <c r="I622" t="s">
        <v>26</v>
      </c>
      <c r="J622" t="s">
        <v>27</v>
      </c>
      <c r="K622" t="s">
        <v>28</v>
      </c>
      <c r="L622" t="s">
        <v>103</v>
      </c>
      <c r="M622" t="s">
        <v>74</v>
      </c>
      <c r="N622" t="s">
        <v>554</v>
      </c>
      <c r="O622" t="s">
        <v>55</v>
      </c>
      <c r="P622" t="s">
        <v>56</v>
      </c>
      <c r="Q622" t="s">
        <v>57</v>
      </c>
      <c r="R622">
        <v>6471.31</v>
      </c>
      <c r="S622">
        <v>1</v>
      </c>
      <c r="T622">
        <v>0.1</v>
      </c>
      <c r="U622">
        <v>606.62</v>
      </c>
    </row>
    <row r="623" spans="1:21">
      <c r="A623">
        <v>1651</v>
      </c>
      <c r="B623" t="s">
        <v>1319</v>
      </c>
      <c r="C623" s="1">
        <v>45566</v>
      </c>
      <c r="D623" s="1">
        <v>45568</v>
      </c>
      <c r="E623" t="s">
        <v>48</v>
      </c>
      <c r="F623" t="s">
        <v>601</v>
      </c>
      <c r="G623" t="s">
        <v>229</v>
      </c>
      <c r="H623" t="s">
        <v>108</v>
      </c>
      <c r="I623" t="s">
        <v>26</v>
      </c>
      <c r="J623" t="s">
        <v>115</v>
      </c>
      <c r="K623" t="s">
        <v>116</v>
      </c>
      <c r="L623" t="s">
        <v>117</v>
      </c>
      <c r="M623" t="s">
        <v>170</v>
      </c>
      <c r="N623" t="s">
        <v>1320</v>
      </c>
      <c r="O623" t="s">
        <v>55</v>
      </c>
      <c r="P623" t="s">
        <v>56</v>
      </c>
      <c r="Q623" t="s">
        <v>57</v>
      </c>
      <c r="R623">
        <v>6660.39</v>
      </c>
      <c r="S623">
        <v>1</v>
      </c>
      <c r="T623">
        <v>0</v>
      </c>
      <c r="U623">
        <v>1298.0899999999999</v>
      </c>
    </row>
    <row r="624" spans="1:21">
      <c r="A624">
        <v>1643</v>
      </c>
      <c r="B624" t="s">
        <v>1321</v>
      </c>
      <c r="C624" s="1">
        <v>45569</v>
      </c>
      <c r="D624" s="1">
        <v>45572</v>
      </c>
      <c r="E624" t="s">
        <v>22</v>
      </c>
      <c r="F624" t="s">
        <v>417</v>
      </c>
      <c r="G624" t="s">
        <v>229</v>
      </c>
      <c r="H624" t="s">
        <v>25</v>
      </c>
      <c r="I624" t="s">
        <v>26</v>
      </c>
      <c r="J624" t="s">
        <v>72</v>
      </c>
      <c r="K624" t="s">
        <v>73</v>
      </c>
      <c r="L624" t="s">
        <v>29</v>
      </c>
      <c r="M624" t="s">
        <v>74</v>
      </c>
      <c r="N624" t="s">
        <v>1151</v>
      </c>
      <c r="O624" t="s">
        <v>55</v>
      </c>
      <c r="P624" t="s">
        <v>66</v>
      </c>
      <c r="Q624" t="s">
        <v>67</v>
      </c>
      <c r="R624">
        <v>21073.17</v>
      </c>
      <c r="S624">
        <v>3</v>
      </c>
      <c r="T624">
        <v>0.15</v>
      </c>
      <c r="U624">
        <v>1328.74</v>
      </c>
    </row>
    <row r="625" spans="1:21">
      <c r="A625">
        <v>1713</v>
      </c>
      <c r="B625" t="s">
        <v>1322</v>
      </c>
      <c r="C625" s="1">
        <v>45354</v>
      </c>
      <c r="D625" s="1">
        <v>45356</v>
      </c>
      <c r="E625" t="s">
        <v>101</v>
      </c>
      <c r="F625" t="s">
        <v>751</v>
      </c>
      <c r="G625" t="s">
        <v>147</v>
      </c>
      <c r="H625" t="s">
        <v>89</v>
      </c>
      <c r="I625" t="s">
        <v>26</v>
      </c>
      <c r="J625" t="s">
        <v>131</v>
      </c>
      <c r="K625" t="s">
        <v>132</v>
      </c>
      <c r="L625" t="s">
        <v>41</v>
      </c>
      <c r="M625" t="s">
        <v>30</v>
      </c>
      <c r="N625" t="s">
        <v>835</v>
      </c>
      <c r="O625" t="s">
        <v>44</v>
      </c>
      <c r="P625" t="s">
        <v>211</v>
      </c>
      <c r="Q625" t="s">
        <v>212</v>
      </c>
      <c r="R625">
        <v>2457.52</v>
      </c>
      <c r="S625">
        <v>2</v>
      </c>
      <c r="T625">
        <v>0.05</v>
      </c>
      <c r="U625">
        <v>234.75</v>
      </c>
    </row>
    <row r="626" spans="1:21">
      <c r="A626">
        <v>1096</v>
      </c>
      <c r="B626" t="s">
        <v>1323</v>
      </c>
      <c r="C626" s="1">
        <v>45443</v>
      </c>
      <c r="D626" s="1">
        <v>45446</v>
      </c>
      <c r="E626" t="s">
        <v>101</v>
      </c>
      <c r="F626" t="s">
        <v>370</v>
      </c>
      <c r="G626" t="s">
        <v>107</v>
      </c>
      <c r="H626" t="s">
        <v>25</v>
      </c>
      <c r="I626" t="s">
        <v>26</v>
      </c>
      <c r="J626" t="s">
        <v>39</v>
      </c>
      <c r="K626" t="s">
        <v>40</v>
      </c>
      <c r="L626" t="s">
        <v>92</v>
      </c>
      <c r="M626" t="s">
        <v>127</v>
      </c>
      <c r="N626" t="s">
        <v>1324</v>
      </c>
      <c r="O626" t="s">
        <v>293</v>
      </c>
      <c r="P626" t="s">
        <v>207</v>
      </c>
      <c r="Q626" t="s">
        <v>208</v>
      </c>
      <c r="R626">
        <v>194458.46</v>
      </c>
      <c r="S626">
        <v>4</v>
      </c>
      <c r="T626">
        <v>0</v>
      </c>
      <c r="U626">
        <v>25638.74</v>
      </c>
    </row>
    <row r="627" spans="1:21">
      <c r="A627">
        <v>1564</v>
      </c>
      <c r="B627" t="s">
        <v>1325</v>
      </c>
      <c r="C627" s="1">
        <v>45342</v>
      </c>
      <c r="D627" s="1">
        <v>45347</v>
      </c>
      <c r="E627" t="s">
        <v>22</v>
      </c>
      <c r="F627" t="s">
        <v>1118</v>
      </c>
      <c r="G627" t="s">
        <v>165</v>
      </c>
      <c r="H627" t="s">
        <v>51</v>
      </c>
      <c r="I627" t="s">
        <v>26</v>
      </c>
      <c r="J627" t="s">
        <v>346</v>
      </c>
      <c r="K627" t="s">
        <v>132</v>
      </c>
      <c r="L627" t="s">
        <v>63</v>
      </c>
      <c r="M627" t="s">
        <v>30</v>
      </c>
      <c r="N627" t="s">
        <v>1326</v>
      </c>
      <c r="O627" t="s">
        <v>240</v>
      </c>
      <c r="P627" t="s">
        <v>156</v>
      </c>
      <c r="Q627" t="s">
        <v>157</v>
      </c>
      <c r="R627">
        <v>266.17</v>
      </c>
      <c r="S627">
        <v>1</v>
      </c>
      <c r="T627">
        <v>0.25</v>
      </c>
      <c r="U627">
        <v>9.52</v>
      </c>
    </row>
    <row r="628" spans="1:21">
      <c r="A628">
        <v>1241</v>
      </c>
      <c r="B628" t="s">
        <v>1327</v>
      </c>
      <c r="C628" s="1">
        <v>45590</v>
      </c>
      <c r="D628" s="1">
        <v>45594</v>
      </c>
      <c r="E628" t="s">
        <v>101</v>
      </c>
      <c r="F628" t="s">
        <v>130</v>
      </c>
      <c r="G628" t="s">
        <v>229</v>
      </c>
      <c r="H628" t="s">
        <v>153</v>
      </c>
      <c r="I628" t="s">
        <v>26</v>
      </c>
      <c r="J628" t="s">
        <v>27</v>
      </c>
      <c r="K628" t="s">
        <v>28</v>
      </c>
      <c r="L628" t="s">
        <v>215</v>
      </c>
      <c r="M628" t="s">
        <v>81</v>
      </c>
      <c r="N628" t="s">
        <v>1328</v>
      </c>
      <c r="O628" t="s">
        <v>55</v>
      </c>
      <c r="P628" t="s">
        <v>98</v>
      </c>
      <c r="Q628" t="s">
        <v>99</v>
      </c>
      <c r="R628">
        <v>36582.019999999997</v>
      </c>
      <c r="S628">
        <v>8</v>
      </c>
      <c r="T628">
        <v>0.3</v>
      </c>
      <c r="U628">
        <v>-1405.69</v>
      </c>
    </row>
    <row r="629" spans="1:21">
      <c r="A629">
        <v>1575</v>
      </c>
      <c r="B629" t="s">
        <v>1329</v>
      </c>
      <c r="C629" s="1">
        <v>45363</v>
      </c>
      <c r="D629" s="1">
        <v>45364</v>
      </c>
      <c r="E629" t="s">
        <v>69</v>
      </c>
      <c r="F629" t="s">
        <v>426</v>
      </c>
      <c r="G629" t="s">
        <v>24</v>
      </c>
      <c r="H629" t="s">
        <v>51</v>
      </c>
      <c r="I629" t="s">
        <v>26</v>
      </c>
      <c r="J629" t="s">
        <v>226</v>
      </c>
      <c r="K629" t="s">
        <v>110</v>
      </c>
      <c r="L629" t="s">
        <v>103</v>
      </c>
      <c r="M629" t="s">
        <v>118</v>
      </c>
      <c r="N629" t="s">
        <v>1330</v>
      </c>
      <c r="O629" t="s">
        <v>138</v>
      </c>
      <c r="P629" t="s">
        <v>182</v>
      </c>
      <c r="Q629" t="s">
        <v>183</v>
      </c>
      <c r="R629">
        <v>1283.1500000000001</v>
      </c>
      <c r="S629">
        <v>3</v>
      </c>
      <c r="T629">
        <v>0.1</v>
      </c>
      <c r="U629">
        <v>205.04</v>
      </c>
    </row>
    <row r="630" spans="1:21">
      <c r="A630">
        <v>1461</v>
      </c>
      <c r="B630" t="s">
        <v>1331</v>
      </c>
      <c r="C630" s="1">
        <v>45377</v>
      </c>
      <c r="D630" s="1">
        <v>45380</v>
      </c>
      <c r="E630" t="s">
        <v>22</v>
      </c>
      <c r="F630" t="s">
        <v>238</v>
      </c>
      <c r="G630" t="s">
        <v>147</v>
      </c>
      <c r="H630" t="s">
        <v>51</v>
      </c>
      <c r="I630" t="s">
        <v>26</v>
      </c>
      <c r="J630" t="s">
        <v>72</v>
      </c>
      <c r="K630" t="s">
        <v>73</v>
      </c>
      <c r="L630" t="s">
        <v>92</v>
      </c>
      <c r="M630" t="s">
        <v>74</v>
      </c>
      <c r="N630" t="s">
        <v>1027</v>
      </c>
      <c r="O630" t="s">
        <v>44</v>
      </c>
      <c r="P630" t="s">
        <v>45</v>
      </c>
      <c r="Q630" t="s">
        <v>46</v>
      </c>
      <c r="R630">
        <v>76244.75</v>
      </c>
      <c r="S630">
        <v>2</v>
      </c>
      <c r="T630">
        <v>0</v>
      </c>
      <c r="U630">
        <v>8334.2199999999993</v>
      </c>
    </row>
    <row r="631" spans="1:21">
      <c r="A631">
        <v>1554</v>
      </c>
      <c r="B631" t="s">
        <v>1332</v>
      </c>
      <c r="C631" s="1">
        <v>45472</v>
      </c>
      <c r="D631" s="1">
        <v>45475</v>
      </c>
      <c r="E631" t="s">
        <v>48</v>
      </c>
      <c r="F631" t="s">
        <v>633</v>
      </c>
      <c r="G631" t="s">
        <v>229</v>
      </c>
      <c r="H631" t="s">
        <v>51</v>
      </c>
      <c r="I631" t="s">
        <v>26</v>
      </c>
      <c r="J631" t="s">
        <v>52</v>
      </c>
      <c r="K631" t="s">
        <v>52</v>
      </c>
      <c r="L631" t="s">
        <v>63</v>
      </c>
      <c r="M631" t="s">
        <v>81</v>
      </c>
      <c r="N631" t="s">
        <v>1024</v>
      </c>
      <c r="O631" t="s">
        <v>188</v>
      </c>
      <c r="P631" t="s">
        <v>189</v>
      </c>
      <c r="Q631" t="s">
        <v>190</v>
      </c>
      <c r="R631">
        <v>17111.14</v>
      </c>
      <c r="S631">
        <v>4</v>
      </c>
      <c r="T631">
        <v>0.25</v>
      </c>
      <c r="U631">
        <v>-627.91999999999996</v>
      </c>
    </row>
    <row r="632" spans="1:21">
      <c r="A632">
        <v>1667</v>
      </c>
      <c r="B632" t="s">
        <v>1333</v>
      </c>
      <c r="C632" s="1">
        <v>45621</v>
      </c>
      <c r="D632" s="1">
        <v>45625</v>
      </c>
      <c r="E632" t="s">
        <v>22</v>
      </c>
      <c r="F632" t="s">
        <v>660</v>
      </c>
      <c r="G632" t="s">
        <v>88</v>
      </c>
      <c r="H632" t="s">
        <v>51</v>
      </c>
      <c r="I632" t="s">
        <v>26</v>
      </c>
      <c r="J632" t="s">
        <v>61</v>
      </c>
      <c r="K632" t="s">
        <v>62</v>
      </c>
      <c r="L632" t="s">
        <v>41</v>
      </c>
      <c r="M632" t="s">
        <v>127</v>
      </c>
      <c r="N632" t="s">
        <v>281</v>
      </c>
      <c r="O632" t="s">
        <v>188</v>
      </c>
      <c r="P632" t="s">
        <v>189</v>
      </c>
      <c r="Q632" t="s">
        <v>190</v>
      </c>
      <c r="R632">
        <v>8876.81</v>
      </c>
      <c r="S632">
        <v>2</v>
      </c>
      <c r="T632">
        <v>0.2</v>
      </c>
      <c r="U632">
        <v>0</v>
      </c>
    </row>
    <row r="633" spans="1:21">
      <c r="A633">
        <v>1207</v>
      </c>
      <c r="B633" t="s">
        <v>1334</v>
      </c>
      <c r="C633" s="1">
        <v>45363</v>
      </c>
      <c r="D633" s="1">
        <v>45368</v>
      </c>
      <c r="E633" t="s">
        <v>48</v>
      </c>
      <c r="F633" t="s">
        <v>926</v>
      </c>
      <c r="G633" t="s">
        <v>88</v>
      </c>
      <c r="H633" t="s">
        <v>51</v>
      </c>
      <c r="I633" t="s">
        <v>26</v>
      </c>
      <c r="J633" t="s">
        <v>72</v>
      </c>
      <c r="K633" t="s">
        <v>73</v>
      </c>
      <c r="L633" t="s">
        <v>63</v>
      </c>
      <c r="M633" t="s">
        <v>170</v>
      </c>
      <c r="N633" t="s">
        <v>347</v>
      </c>
      <c r="O633" t="s">
        <v>138</v>
      </c>
      <c r="P633" t="s">
        <v>121</v>
      </c>
      <c r="Q633" t="s">
        <v>122</v>
      </c>
      <c r="R633">
        <v>3484.32</v>
      </c>
      <c r="S633">
        <v>5</v>
      </c>
      <c r="T633">
        <v>0</v>
      </c>
      <c r="U633">
        <v>722.45</v>
      </c>
    </row>
    <row r="634" spans="1:21">
      <c r="A634">
        <v>1393</v>
      </c>
      <c r="B634" t="s">
        <v>1335</v>
      </c>
      <c r="C634" s="1">
        <v>45361</v>
      </c>
      <c r="D634" s="1">
        <v>45367</v>
      </c>
      <c r="E634" t="s">
        <v>101</v>
      </c>
      <c r="F634" t="s">
        <v>36</v>
      </c>
      <c r="G634" t="s">
        <v>147</v>
      </c>
      <c r="H634" t="s">
        <v>310</v>
      </c>
      <c r="I634" t="s">
        <v>26</v>
      </c>
      <c r="J634" t="s">
        <v>61</v>
      </c>
      <c r="K634" t="s">
        <v>62</v>
      </c>
      <c r="L634" t="s">
        <v>63</v>
      </c>
      <c r="M634" t="s">
        <v>81</v>
      </c>
      <c r="N634" t="s">
        <v>453</v>
      </c>
      <c r="O634" t="s">
        <v>240</v>
      </c>
      <c r="P634" t="s">
        <v>156</v>
      </c>
      <c r="Q634" t="s">
        <v>157</v>
      </c>
      <c r="R634">
        <v>324.58</v>
      </c>
      <c r="S634">
        <v>1</v>
      </c>
      <c r="T634">
        <v>0.1</v>
      </c>
      <c r="U634">
        <v>52.77</v>
      </c>
    </row>
    <row r="635" spans="1:21">
      <c r="A635">
        <v>1398</v>
      </c>
      <c r="B635" t="s">
        <v>1336</v>
      </c>
      <c r="C635" s="1">
        <v>45460</v>
      </c>
      <c r="D635" s="1">
        <v>45465</v>
      </c>
      <c r="E635" t="s">
        <v>48</v>
      </c>
      <c r="F635" t="s">
        <v>23</v>
      </c>
      <c r="G635" t="s">
        <v>114</v>
      </c>
      <c r="H635" t="s">
        <v>108</v>
      </c>
      <c r="I635" t="s">
        <v>26</v>
      </c>
      <c r="J635" t="s">
        <v>79</v>
      </c>
      <c r="K635" t="s">
        <v>80</v>
      </c>
      <c r="L635" t="s">
        <v>103</v>
      </c>
      <c r="M635" t="s">
        <v>170</v>
      </c>
      <c r="N635" t="s">
        <v>104</v>
      </c>
      <c r="O635" t="s">
        <v>44</v>
      </c>
      <c r="P635" t="s">
        <v>45</v>
      </c>
      <c r="Q635" t="s">
        <v>46</v>
      </c>
      <c r="R635">
        <v>46514.04</v>
      </c>
      <c r="S635">
        <v>2</v>
      </c>
      <c r="T635">
        <v>0.3</v>
      </c>
      <c r="U635">
        <v>-4689.33</v>
      </c>
    </row>
    <row r="636" spans="1:21">
      <c r="A636">
        <v>1644</v>
      </c>
      <c r="B636" t="s">
        <v>1337</v>
      </c>
      <c r="C636" s="1">
        <v>45308</v>
      </c>
      <c r="D636" s="1">
        <v>45310</v>
      </c>
      <c r="E636" t="s">
        <v>48</v>
      </c>
      <c r="F636" t="s">
        <v>373</v>
      </c>
      <c r="G636" t="s">
        <v>24</v>
      </c>
      <c r="H636" t="s">
        <v>108</v>
      </c>
      <c r="I636" t="s">
        <v>26</v>
      </c>
      <c r="J636" t="s">
        <v>39</v>
      </c>
      <c r="K636" t="s">
        <v>40</v>
      </c>
      <c r="L636" t="s">
        <v>92</v>
      </c>
      <c r="M636" t="s">
        <v>118</v>
      </c>
      <c r="N636" t="s">
        <v>1101</v>
      </c>
      <c r="O636" t="s">
        <v>55</v>
      </c>
      <c r="P636" t="s">
        <v>56</v>
      </c>
      <c r="Q636" t="s">
        <v>57</v>
      </c>
      <c r="R636">
        <v>13450.44</v>
      </c>
      <c r="S636">
        <v>2</v>
      </c>
      <c r="T636">
        <v>0</v>
      </c>
      <c r="U636">
        <v>1991.34</v>
      </c>
    </row>
    <row r="637" spans="1:21">
      <c r="A637">
        <v>1218</v>
      </c>
      <c r="B637" t="s">
        <v>1338</v>
      </c>
      <c r="C637" s="1">
        <v>45423</v>
      </c>
      <c r="D637" s="1">
        <v>45427</v>
      </c>
      <c r="E637" t="s">
        <v>101</v>
      </c>
      <c r="F637" t="s">
        <v>192</v>
      </c>
      <c r="G637" t="s">
        <v>60</v>
      </c>
      <c r="H637" t="s">
        <v>25</v>
      </c>
      <c r="I637" t="s">
        <v>26</v>
      </c>
      <c r="J637" t="s">
        <v>72</v>
      </c>
      <c r="K637" t="s">
        <v>73</v>
      </c>
      <c r="L637" t="s">
        <v>63</v>
      </c>
      <c r="M637" t="s">
        <v>30</v>
      </c>
      <c r="N637" t="s">
        <v>1339</v>
      </c>
      <c r="O637" t="s">
        <v>138</v>
      </c>
      <c r="P637" t="s">
        <v>182</v>
      </c>
      <c r="Q637" t="s">
        <v>183</v>
      </c>
      <c r="R637">
        <v>2352.31</v>
      </c>
      <c r="S637">
        <v>7</v>
      </c>
      <c r="T637">
        <v>0.2</v>
      </c>
      <c r="U637">
        <v>181.21</v>
      </c>
    </row>
    <row r="638" spans="1:21">
      <c r="A638">
        <v>1005</v>
      </c>
      <c r="B638" t="s">
        <v>1340</v>
      </c>
      <c r="C638" s="1">
        <v>45652</v>
      </c>
      <c r="D638" s="1">
        <v>45653</v>
      </c>
      <c r="E638" t="s">
        <v>22</v>
      </c>
      <c r="F638" t="s">
        <v>221</v>
      </c>
      <c r="G638" t="s">
        <v>107</v>
      </c>
      <c r="H638" t="s">
        <v>389</v>
      </c>
      <c r="I638" t="s">
        <v>26</v>
      </c>
      <c r="J638" t="s">
        <v>61</v>
      </c>
      <c r="K638" t="s">
        <v>62</v>
      </c>
      <c r="L638" t="s">
        <v>63</v>
      </c>
      <c r="M638" t="s">
        <v>74</v>
      </c>
      <c r="N638" t="s">
        <v>1341</v>
      </c>
      <c r="O638" t="s">
        <v>138</v>
      </c>
      <c r="P638" t="s">
        <v>156</v>
      </c>
      <c r="Q638" t="s">
        <v>157</v>
      </c>
      <c r="R638">
        <v>1737.67</v>
      </c>
      <c r="S638">
        <v>5</v>
      </c>
      <c r="T638">
        <v>0.1</v>
      </c>
      <c r="U638">
        <v>258.99</v>
      </c>
    </row>
    <row r="639" spans="1:21">
      <c r="A639">
        <v>1678</v>
      </c>
      <c r="B639" t="s">
        <v>1342</v>
      </c>
      <c r="C639" s="1">
        <v>45654</v>
      </c>
      <c r="D639" s="1">
        <v>45658</v>
      </c>
      <c r="E639" t="s">
        <v>48</v>
      </c>
      <c r="F639" t="s">
        <v>482</v>
      </c>
      <c r="G639" t="s">
        <v>50</v>
      </c>
      <c r="H639" t="s">
        <v>51</v>
      </c>
      <c r="I639" t="s">
        <v>26</v>
      </c>
      <c r="J639" t="s">
        <v>226</v>
      </c>
      <c r="K639" t="s">
        <v>110</v>
      </c>
      <c r="L639" t="s">
        <v>41</v>
      </c>
      <c r="M639" t="s">
        <v>74</v>
      </c>
      <c r="N639" t="s">
        <v>1343</v>
      </c>
      <c r="O639" t="s">
        <v>83</v>
      </c>
      <c r="P639" t="s">
        <v>33</v>
      </c>
      <c r="Q639" t="s">
        <v>34</v>
      </c>
      <c r="R639">
        <v>1047.76</v>
      </c>
      <c r="S639">
        <v>1</v>
      </c>
      <c r="T639">
        <v>0.25</v>
      </c>
    </row>
    <row r="640" spans="1:21">
      <c r="A640">
        <v>1613</v>
      </c>
      <c r="B640" t="s">
        <v>1344</v>
      </c>
      <c r="C640" s="1">
        <v>45392</v>
      </c>
      <c r="D640" s="1">
        <v>45393</v>
      </c>
      <c r="E640" t="s">
        <v>22</v>
      </c>
      <c r="F640" t="s">
        <v>420</v>
      </c>
      <c r="G640" t="s">
        <v>88</v>
      </c>
      <c r="H640" t="s">
        <v>38</v>
      </c>
      <c r="I640" t="s">
        <v>26</v>
      </c>
      <c r="J640" t="s">
        <v>79</v>
      </c>
      <c r="K640" t="s">
        <v>80</v>
      </c>
      <c r="L640" t="s">
        <v>334</v>
      </c>
      <c r="M640" t="s">
        <v>81</v>
      </c>
      <c r="N640" t="s">
        <v>1345</v>
      </c>
      <c r="O640" t="s">
        <v>138</v>
      </c>
      <c r="P640" t="s">
        <v>156</v>
      </c>
      <c r="Q640" t="s">
        <v>157</v>
      </c>
      <c r="R640">
        <v>956.55</v>
      </c>
      <c r="S640">
        <v>3</v>
      </c>
      <c r="T640">
        <v>0.15</v>
      </c>
      <c r="U640">
        <v>104.84</v>
      </c>
    </row>
    <row r="641" spans="1:21">
      <c r="A641">
        <v>1547</v>
      </c>
      <c r="B641" t="s">
        <v>1346</v>
      </c>
      <c r="C641" s="1">
        <v>45631</v>
      </c>
      <c r="D641" s="1">
        <v>45633</v>
      </c>
      <c r="E641" t="s">
        <v>101</v>
      </c>
      <c r="F641" t="s">
        <v>526</v>
      </c>
      <c r="G641" t="s">
        <v>107</v>
      </c>
      <c r="H641" t="s">
        <v>51</v>
      </c>
      <c r="I641" t="s">
        <v>26</v>
      </c>
      <c r="J641" t="s">
        <v>160</v>
      </c>
      <c r="K641" t="s">
        <v>161</v>
      </c>
      <c r="L641" t="s">
        <v>29</v>
      </c>
      <c r="M641" t="s">
        <v>127</v>
      </c>
      <c r="N641" t="s">
        <v>1347</v>
      </c>
      <c r="O641" t="s">
        <v>55</v>
      </c>
      <c r="P641" t="s">
        <v>98</v>
      </c>
      <c r="Q641" t="s">
        <v>99</v>
      </c>
      <c r="R641">
        <v>11718.58</v>
      </c>
      <c r="S641">
        <v>2</v>
      </c>
      <c r="T641">
        <v>0.1</v>
      </c>
      <c r="U641">
        <v>1120.33</v>
      </c>
    </row>
    <row r="642" spans="1:21">
      <c r="A642">
        <v>1099</v>
      </c>
      <c r="B642" t="s">
        <v>1348</v>
      </c>
      <c r="C642" s="1">
        <v>45591</v>
      </c>
      <c r="D642" s="1">
        <v>45595</v>
      </c>
      <c r="E642" t="s">
        <v>48</v>
      </c>
      <c r="F642" t="s">
        <v>173</v>
      </c>
      <c r="G642" t="s">
        <v>125</v>
      </c>
      <c r="H642" t="s">
        <v>51</v>
      </c>
      <c r="I642" t="s">
        <v>26</v>
      </c>
      <c r="J642" t="s">
        <v>131</v>
      </c>
      <c r="K642" t="s">
        <v>132</v>
      </c>
      <c r="L642" t="s">
        <v>92</v>
      </c>
      <c r="M642" t="s">
        <v>118</v>
      </c>
      <c r="N642" t="s">
        <v>584</v>
      </c>
      <c r="O642" t="s">
        <v>138</v>
      </c>
      <c r="P642" t="s">
        <v>182</v>
      </c>
      <c r="Q642" t="s">
        <v>183</v>
      </c>
      <c r="R642">
        <v>1585.31</v>
      </c>
      <c r="S642">
        <v>4</v>
      </c>
      <c r="T642">
        <v>0.15</v>
      </c>
      <c r="U642">
        <v>194.76</v>
      </c>
    </row>
    <row r="643" spans="1:21">
      <c r="A643">
        <v>1574</v>
      </c>
      <c r="B643" t="s">
        <v>1349</v>
      </c>
      <c r="C643" s="1">
        <v>45630</v>
      </c>
      <c r="D643" s="1">
        <v>45632</v>
      </c>
      <c r="E643" t="s">
        <v>48</v>
      </c>
      <c r="F643" t="s">
        <v>324</v>
      </c>
      <c r="G643" t="s">
        <v>37</v>
      </c>
      <c r="H643" t="s">
        <v>51</v>
      </c>
      <c r="I643" t="s">
        <v>26</v>
      </c>
      <c r="J643" t="s">
        <v>115</v>
      </c>
      <c r="K643" t="s">
        <v>116</v>
      </c>
      <c r="L643" t="s">
        <v>41</v>
      </c>
      <c r="M643" t="s">
        <v>81</v>
      </c>
      <c r="N643" t="s">
        <v>193</v>
      </c>
      <c r="O643" t="s">
        <v>138</v>
      </c>
      <c r="P643" t="s">
        <v>156</v>
      </c>
      <c r="Q643" t="s">
        <v>157</v>
      </c>
      <c r="R643">
        <v>895.69</v>
      </c>
      <c r="S643">
        <v>3</v>
      </c>
      <c r="T643">
        <v>0.25</v>
      </c>
      <c r="U643">
        <v>36.25</v>
      </c>
    </row>
    <row r="644" spans="1:21">
      <c r="A644">
        <v>1407</v>
      </c>
      <c r="B644" t="s">
        <v>1350</v>
      </c>
      <c r="C644" s="1">
        <v>45479</v>
      </c>
      <c r="D644" s="1">
        <v>45484</v>
      </c>
      <c r="E644" t="s">
        <v>22</v>
      </c>
      <c r="F644" t="s">
        <v>277</v>
      </c>
      <c r="G644" t="s">
        <v>78</v>
      </c>
      <c r="H644" t="s">
        <v>51</v>
      </c>
      <c r="I644" t="s">
        <v>26</v>
      </c>
      <c r="J644" t="s">
        <v>115</v>
      </c>
      <c r="K644" t="s">
        <v>116</v>
      </c>
      <c r="L644" t="s">
        <v>29</v>
      </c>
      <c r="M644" t="s">
        <v>30</v>
      </c>
      <c r="N644" t="s">
        <v>1351</v>
      </c>
      <c r="O644" t="s">
        <v>240</v>
      </c>
      <c r="P644" t="s">
        <v>139</v>
      </c>
      <c r="Q644" t="s">
        <v>140</v>
      </c>
      <c r="R644">
        <v>669.71</v>
      </c>
      <c r="S644">
        <v>1</v>
      </c>
      <c r="T644">
        <v>0.25</v>
      </c>
      <c r="U644">
        <v>30.4</v>
      </c>
    </row>
    <row r="645" spans="1:21">
      <c r="A645">
        <v>1503</v>
      </c>
      <c r="B645" t="s">
        <v>1352</v>
      </c>
      <c r="C645" s="1">
        <v>45418</v>
      </c>
      <c r="D645" s="1">
        <v>45422</v>
      </c>
      <c r="E645" t="s">
        <v>101</v>
      </c>
      <c r="F645" t="s">
        <v>87</v>
      </c>
      <c r="G645" t="s">
        <v>229</v>
      </c>
      <c r="H645" t="s">
        <v>51</v>
      </c>
      <c r="I645" t="s">
        <v>26</v>
      </c>
      <c r="J645" t="s">
        <v>61</v>
      </c>
      <c r="K645" t="s">
        <v>62</v>
      </c>
      <c r="L645" t="s">
        <v>186</v>
      </c>
      <c r="M645" t="s">
        <v>81</v>
      </c>
      <c r="N645" t="s">
        <v>1353</v>
      </c>
      <c r="O645" t="s">
        <v>138</v>
      </c>
      <c r="P645" t="s">
        <v>139</v>
      </c>
      <c r="Q645" t="s">
        <v>140</v>
      </c>
      <c r="R645">
        <v>1395.24</v>
      </c>
      <c r="S645">
        <v>2</v>
      </c>
      <c r="T645">
        <v>0.3</v>
      </c>
      <c r="U645">
        <v>7.53</v>
      </c>
    </row>
    <row r="646" spans="1:21">
      <c r="A646">
        <v>1048</v>
      </c>
      <c r="B646" t="s">
        <v>1354</v>
      </c>
      <c r="C646" s="1">
        <v>45488</v>
      </c>
      <c r="D646" s="1">
        <v>45494</v>
      </c>
      <c r="E646" t="s">
        <v>69</v>
      </c>
      <c r="F646" t="s">
        <v>663</v>
      </c>
      <c r="G646" t="s">
        <v>107</v>
      </c>
      <c r="H646" t="s">
        <v>310</v>
      </c>
      <c r="I646" t="s">
        <v>26</v>
      </c>
      <c r="J646" t="s">
        <v>226</v>
      </c>
      <c r="K646" t="s">
        <v>110</v>
      </c>
      <c r="L646" t="s">
        <v>41</v>
      </c>
      <c r="M646" t="s">
        <v>118</v>
      </c>
      <c r="N646" t="s">
        <v>1355</v>
      </c>
      <c r="O646" t="s">
        <v>188</v>
      </c>
      <c r="P646" t="s">
        <v>189</v>
      </c>
      <c r="Q646" t="s">
        <v>190</v>
      </c>
      <c r="R646">
        <v>5446.31</v>
      </c>
      <c r="S646">
        <v>1</v>
      </c>
      <c r="T646">
        <v>0.1</v>
      </c>
      <c r="U646">
        <v>352.91</v>
      </c>
    </row>
    <row r="647" spans="1:21">
      <c r="A647">
        <v>1033</v>
      </c>
      <c r="B647" t="s">
        <v>1356</v>
      </c>
      <c r="C647" s="1">
        <v>45609</v>
      </c>
      <c r="D647" s="1">
        <v>45615</v>
      </c>
      <c r="E647" t="s">
        <v>69</v>
      </c>
      <c r="F647" t="s">
        <v>77</v>
      </c>
      <c r="G647" t="s">
        <v>71</v>
      </c>
      <c r="H647" t="s">
        <v>25</v>
      </c>
      <c r="I647" t="s">
        <v>26</v>
      </c>
      <c r="J647" t="s">
        <v>90</v>
      </c>
      <c r="K647" t="s">
        <v>91</v>
      </c>
      <c r="L647" t="s">
        <v>103</v>
      </c>
      <c r="M647" t="s">
        <v>127</v>
      </c>
      <c r="N647" t="s">
        <v>1357</v>
      </c>
      <c r="O647" t="s">
        <v>44</v>
      </c>
      <c r="P647" t="s">
        <v>211</v>
      </c>
      <c r="Q647" t="s">
        <v>223</v>
      </c>
      <c r="R647">
        <v>2605.36</v>
      </c>
      <c r="S647">
        <v>2</v>
      </c>
      <c r="T647">
        <v>0.25</v>
      </c>
      <c r="U647">
        <v>-139.69999999999999</v>
      </c>
    </row>
    <row r="648" spans="1:21">
      <c r="A648">
        <v>1201</v>
      </c>
      <c r="B648" t="s">
        <v>1358</v>
      </c>
      <c r="C648" s="1">
        <v>45293</v>
      </c>
      <c r="D648" s="1">
        <v>45299</v>
      </c>
      <c r="E648" t="s">
        <v>69</v>
      </c>
      <c r="F648" t="s">
        <v>1359</v>
      </c>
      <c r="G648" t="s">
        <v>50</v>
      </c>
      <c r="H648" t="s">
        <v>51</v>
      </c>
      <c r="I648" t="s">
        <v>26</v>
      </c>
      <c r="J648" t="s">
        <v>90</v>
      </c>
      <c r="K648" t="s">
        <v>91</v>
      </c>
      <c r="L648" t="s">
        <v>41</v>
      </c>
      <c r="M648" t="s">
        <v>118</v>
      </c>
      <c r="N648" t="s">
        <v>1164</v>
      </c>
      <c r="O648" t="s">
        <v>543</v>
      </c>
      <c r="P648" t="s">
        <v>84</v>
      </c>
      <c r="Q648" t="s">
        <v>85</v>
      </c>
      <c r="R648">
        <v>2547.2800000000002</v>
      </c>
      <c r="S648">
        <v>1</v>
      </c>
      <c r="T648">
        <v>0.15</v>
      </c>
      <c r="U648">
        <v>466.65</v>
      </c>
    </row>
    <row r="649" spans="1:21">
      <c r="A649">
        <v>1135</v>
      </c>
      <c r="B649" t="s">
        <v>1360</v>
      </c>
      <c r="C649" s="1">
        <v>45450</v>
      </c>
      <c r="D649" s="1">
        <v>45455</v>
      </c>
      <c r="E649" t="s">
        <v>101</v>
      </c>
      <c r="F649" t="s">
        <v>499</v>
      </c>
      <c r="G649" t="s">
        <v>147</v>
      </c>
      <c r="H649" t="s">
        <v>51</v>
      </c>
      <c r="I649" t="s">
        <v>26</v>
      </c>
      <c r="J649" t="s">
        <v>90</v>
      </c>
      <c r="K649" t="s">
        <v>91</v>
      </c>
      <c r="L649" t="s">
        <v>63</v>
      </c>
      <c r="M649" t="s">
        <v>127</v>
      </c>
      <c r="N649" t="s">
        <v>1361</v>
      </c>
      <c r="O649" t="s">
        <v>55</v>
      </c>
      <c r="P649" t="s">
        <v>98</v>
      </c>
      <c r="Q649" t="s">
        <v>99</v>
      </c>
      <c r="R649">
        <v>25024.48</v>
      </c>
      <c r="S649">
        <v>4</v>
      </c>
      <c r="T649">
        <v>0</v>
      </c>
      <c r="U649">
        <v>3590.7</v>
      </c>
    </row>
    <row r="650" spans="1:21">
      <c r="A650">
        <v>1028</v>
      </c>
      <c r="B650" t="s">
        <v>1362</v>
      </c>
      <c r="C650" s="1">
        <v>45605</v>
      </c>
      <c r="D650" s="1">
        <v>45611</v>
      </c>
      <c r="E650" t="s">
        <v>22</v>
      </c>
      <c r="F650" t="s">
        <v>70</v>
      </c>
      <c r="G650" t="s">
        <v>88</v>
      </c>
      <c r="H650" t="s">
        <v>51</v>
      </c>
      <c r="I650" t="s">
        <v>26</v>
      </c>
      <c r="J650" t="s">
        <v>72</v>
      </c>
      <c r="K650" t="s">
        <v>73</v>
      </c>
      <c r="L650" t="s">
        <v>63</v>
      </c>
      <c r="M650" t="s">
        <v>81</v>
      </c>
      <c r="N650" t="s">
        <v>1363</v>
      </c>
      <c r="O650" t="s">
        <v>144</v>
      </c>
      <c r="P650" t="s">
        <v>56</v>
      </c>
      <c r="Q650" t="s">
        <v>57</v>
      </c>
      <c r="R650">
        <v>12431.73</v>
      </c>
      <c r="S650">
        <v>2</v>
      </c>
      <c r="T650">
        <v>0.15</v>
      </c>
      <c r="U650">
        <v>940.88</v>
      </c>
    </row>
    <row r="651" spans="1:21">
      <c r="A651">
        <v>1669</v>
      </c>
      <c r="B651" t="s">
        <v>1364</v>
      </c>
      <c r="C651" s="1">
        <v>45647</v>
      </c>
      <c r="D651" s="1">
        <v>45648</v>
      </c>
      <c r="E651" t="s">
        <v>22</v>
      </c>
      <c r="F651" t="s">
        <v>499</v>
      </c>
      <c r="G651" t="s">
        <v>125</v>
      </c>
      <c r="H651" t="s">
        <v>25</v>
      </c>
      <c r="I651" t="s">
        <v>26</v>
      </c>
      <c r="J651" t="s">
        <v>79</v>
      </c>
      <c r="K651" t="s">
        <v>80</v>
      </c>
      <c r="L651" t="s">
        <v>154</v>
      </c>
      <c r="M651" t="s">
        <v>81</v>
      </c>
      <c r="N651" t="s">
        <v>488</v>
      </c>
      <c r="O651" t="s">
        <v>83</v>
      </c>
      <c r="P651" t="s">
        <v>33</v>
      </c>
      <c r="Q651" t="s">
        <v>34</v>
      </c>
      <c r="R651">
        <v>3731.55</v>
      </c>
      <c r="S651">
        <v>4</v>
      </c>
      <c r="T651">
        <v>0.3</v>
      </c>
      <c r="U651">
        <v>223.73</v>
      </c>
    </row>
    <row r="652" spans="1:21">
      <c r="A652">
        <v>1231</v>
      </c>
      <c r="B652" t="s">
        <v>1365</v>
      </c>
      <c r="C652" s="1">
        <v>45454</v>
      </c>
      <c r="D652" s="1">
        <v>45457</v>
      </c>
      <c r="E652" t="s">
        <v>22</v>
      </c>
      <c r="F652" t="s">
        <v>185</v>
      </c>
      <c r="G652" t="s">
        <v>229</v>
      </c>
      <c r="H652" t="s">
        <v>25</v>
      </c>
      <c r="I652" t="s">
        <v>26</v>
      </c>
      <c r="J652" t="s">
        <v>166</v>
      </c>
      <c r="K652" t="s">
        <v>132</v>
      </c>
      <c r="L652" t="s">
        <v>63</v>
      </c>
      <c r="M652" t="s">
        <v>118</v>
      </c>
      <c r="N652" t="s">
        <v>1347</v>
      </c>
      <c r="O652" t="s">
        <v>55</v>
      </c>
      <c r="P652" t="s">
        <v>98</v>
      </c>
      <c r="Q652" t="s">
        <v>99</v>
      </c>
      <c r="R652" t="s">
        <v>1366</v>
      </c>
      <c r="S652">
        <v>3</v>
      </c>
      <c r="T652">
        <v>0.25</v>
      </c>
      <c r="U652">
        <v>-36.32</v>
      </c>
    </row>
    <row r="653" spans="1:21">
      <c r="A653">
        <v>1490</v>
      </c>
      <c r="B653" t="s">
        <v>1367</v>
      </c>
      <c r="C653" s="1">
        <v>45603</v>
      </c>
      <c r="D653" s="1">
        <v>45489</v>
      </c>
      <c r="E653" t="s">
        <v>22</v>
      </c>
      <c r="F653" t="s">
        <v>330</v>
      </c>
      <c r="G653" t="s">
        <v>60</v>
      </c>
      <c r="H653" t="s">
        <v>108</v>
      </c>
      <c r="I653" t="s">
        <v>26</v>
      </c>
      <c r="J653" t="s">
        <v>79</v>
      </c>
      <c r="K653" t="s">
        <v>80</v>
      </c>
      <c r="L653" t="s">
        <v>263</v>
      </c>
      <c r="M653" t="s">
        <v>42</v>
      </c>
      <c r="N653" t="s">
        <v>1368</v>
      </c>
      <c r="O653" t="s">
        <v>83</v>
      </c>
      <c r="P653" t="s">
        <v>33</v>
      </c>
      <c r="Q653" t="s">
        <v>34</v>
      </c>
      <c r="R653">
        <v>5596.74</v>
      </c>
      <c r="S653">
        <v>4</v>
      </c>
      <c r="T653">
        <v>0</v>
      </c>
      <c r="U653">
        <v>1466.94</v>
      </c>
    </row>
    <row r="654" spans="1:21">
      <c r="A654">
        <v>1379</v>
      </c>
      <c r="B654" t="s">
        <v>1369</v>
      </c>
      <c r="C654" s="1">
        <v>45413</v>
      </c>
      <c r="D654" s="1">
        <v>45418</v>
      </c>
      <c r="E654" t="s">
        <v>48</v>
      </c>
      <c r="F654" t="s">
        <v>23</v>
      </c>
      <c r="G654" t="s">
        <v>125</v>
      </c>
      <c r="H654" t="s">
        <v>389</v>
      </c>
      <c r="I654" t="s">
        <v>26</v>
      </c>
      <c r="J654" t="s">
        <v>61</v>
      </c>
      <c r="K654" t="s">
        <v>62</v>
      </c>
      <c r="L654" t="s">
        <v>53</v>
      </c>
      <c r="M654" t="s">
        <v>118</v>
      </c>
      <c r="N654" t="s">
        <v>1370</v>
      </c>
      <c r="O654" t="s">
        <v>138</v>
      </c>
      <c r="P654" t="s">
        <v>156</v>
      </c>
      <c r="Q654" t="s">
        <v>157</v>
      </c>
      <c r="R654">
        <v>1452.38</v>
      </c>
      <c r="S654">
        <v>5</v>
      </c>
      <c r="T654">
        <v>0.25</v>
      </c>
      <c r="U654">
        <v>55.38</v>
      </c>
    </row>
    <row r="655" spans="1:21">
      <c r="A655">
        <v>1289</v>
      </c>
      <c r="B655" t="s">
        <v>1371</v>
      </c>
      <c r="C655" s="1">
        <v>45656</v>
      </c>
      <c r="D655" s="1">
        <v>45659</v>
      </c>
      <c r="E655" t="s">
        <v>22</v>
      </c>
      <c r="F655" t="s">
        <v>517</v>
      </c>
      <c r="G655" t="s">
        <v>71</v>
      </c>
      <c r="H655" t="s">
        <v>310</v>
      </c>
      <c r="I655" t="s">
        <v>26</v>
      </c>
      <c r="J655" t="s">
        <v>52</v>
      </c>
      <c r="K655" t="s">
        <v>52</v>
      </c>
      <c r="L655" t="s">
        <v>92</v>
      </c>
      <c r="M655" t="s">
        <v>127</v>
      </c>
      <c r="N655" t="s">
        <v>1372</v>
      </c>
      <c r="O655" t="s">
        <v>44</v>
      </c>
      <c r="P655" t="s">
        <v>211</v>
      </c>
      <c r="Q655" t="s">
        <v>223</v>
      </c>
      <c r="R655">
        <v>11294.08</v>
      </c>
      <c r="S655">
        <v>7</v>
      </c>
      <c r="T655">
        <v>0.05</v>
      </c>
      <c r="U655">
        <v>1061.99</v>
      </c>
    </row>
    <row r="656" spans="1:21">
      <c r="A656">
        <v>1419</v>
      </c>
      <c r="B656" t="s">
        <v>1373</v>
      </c>
      <c r="C656" s="1">
        <v>45477</v>
      </c>
      <c r="D656" s="1">
        <v>45478</v>
      </c>
      <c r="E656" t="s">
        <v>69</v>
      </c>
      <c r="F656" t="s">
        <v>791</v>
      </c>
      <c r="G656" t="s">
        <v>125</v>
      </c>
      <c r="H656" t="s">
        <v>38</v>
      </c>
      <c r="I656" t="s">
        <v>26</v>
      </c>
      <c r="J656" t="s">
        <v>109</v>
      </c>
      <c r="K656" t="s">
        <v>110</v>
      </c>
      <c r="L656" t="s">
        <v>215</v>
      </c>
      <c r="M656" t="s">
        <v>42</v>
      </c>
      <c r="N656" t="s">
        <v>1341</v>
      </c>
      <c r="O656" t="s">
        <v>138</v>
      </c>
      <c r="P656" t="s">
        <v>156</v>
      </c>
      <c r="Q656" t="s">
        <v>157</v>
      </c>
      <c r="R656">
        <v>1519.58</v>
      </c>
      <c r="S656">
        <v>5</v>
      </c>
      <c r="T656">
        <v>0.25</v>
      </c>
      <c r="U656">
        <v>53.06</v>
      </c>
    </row>
    <row r="657" spans="1:21">
      <c r="A657">
        <v>1392</v>
      </c>
      <c r="B657" t="s">
        <v>1374</v>
      </c>
      <c r="C657" s="1">
        <v>45602</v>
      </c>
      <c r="D657" s="1">
        <v>45603</v>
      </c>
      <c r="E657" t="s">
        <v>48</v>
      </c>
      <c r="F657" t="s">
        <v>417</v>
      </c>
      <c r="G657" t="s">
        <v>71</v>
      </c>
      <c r="H657" t="s">
        <v>108</v>
      </c>
      <c r="I657" t="s">
        <v>26</v>
      </c>
      <c r="J657" t="s">
        <v>131</v>
      </c>
      <c r="K657" t="s">
        <v>132</v>
      </c>
      <c r="L657" t="s">
        <v>29</v>
      </c>
      <c r="M657" t="s">
        <v>118</v>
      </c>
      <c r="N657" t="s">
        <v>1375</v>
      </c>
      <c r="O657" t="s">
        <v>55</v>
      </c>
      <c r="P657" t="s">
        <v>56</v>
      </c>
      <c r="Q657" t="s">
        <v>57</v>
      </c>
      <c r="R657">
        <v>5876.96</v>
      </c>
      <c r="S657">
        <v>1</v>
      </c>
      <c r="T657">
        <v>0.15</v>
      </c>
      <c r="U657">
        <v>338.97</v>
      </c>
    </row>
    <row r="658" spans="1:21">
      <c r="A658">
        <v>1593</v>
      </c>
      <c r="B658" t="s">
        <v>1376</v>
      </c>
      <c r="C658" s="1">
        <v>45418</v>
      </c>
      <c r="D658" s="1">
        <v>45420</v>
      </c>
      <c r="E658" t="s">
        <v>48</v>
      </c>
      <c r="F658" t="s">
        <v>235</v>
      </c>
      <c r="G658" t="s">
        <v>114</v>
      </c>
      <c r="H658" t="s">
        <v>25</v>
      </c>
      <c r="I658" t="s">
        <v>26</v>
      </c>
      <c r="J658" t="s">
        <v>79</v>
      </c>
      <c r="K658" t="s">
        <v>80</v>
      </c>
      <c r="L658" t="s">
        <v>92</v>
      </c>
      <c r="M658" t="s">
        <v>170</v>
      </c>
      <c r="N658" t="s">
        <v>620</v>
      </c>
      <c r="O658" t="s">
        <v>138</v>
      </c>
      <c r="P658" t="s">
        <v>182</v>
      </c>
      <c r="Q658" t="s">
        <v>183</v>
      </c>
      <c r="R658">
        <v>632.07000000000005</v>
      </c>
      <c r="S658">
        <v>2</v>
      </c>
      <c r="T658">
        <v>0.25</v>
      </c>
      <c r="U658">
        <v>28.88</v>
      </c>
    </row>
    <row r="659" spans="1:21">
      <c r="A659">
        <v>1499</v>
      </c>
      <c r="B659" t="s">
        <v>1377</v>
      </c>
      <c r="C659" s="1">
        <v>45369</v>
      </c>
      <c r="D659" s="1">
        <v>45371</v>
      </c>
      <c r="E659" t="s">
        <v>22</v>
      </c>
      <c r="F659" t="s">
        <v>736</v>
      </c>
      <c r="G659" t="s">
        <v>60</v>
      </c>
      <c r="H659" t="s">
        <v>25</v>
      </c>
      <c r="I659" t="s">
        <v>26</v>
      </c>
      <c r="J659" t="s">
        <v>115</v>
      </c>
      <c r="K659" t="s">
        <v>116</v>
      </c>
      <c r="L659" t="s">
        <v>41</v>
      </c>
      <c r="M659" t="s">
        <v>127</v>
      </c>
      <c r="N659" t="s">
        <v>1378</v>
      </c>
      <c r="O659" t="s">
        <v>138</v>
      </c>
      <c r="P659" t="s">
        <v>182</v>
      </c>
      <c r="Q659" t="s">
        <v>183</v>
      </c>
      <c r="R659">
        <v>2040.2</v>
      </c>
      <c r="S659">
        <v>5</v>
      </c>
      <c r="T659">
        <v>0.15</v>
      </c>
      <c r="U659">
        <v>171.15</v>
      </c>
    </row>
    <row r="660" spans="1:21">
      <c r="A660">
        <v>1139</v>
      </c>
      <c r="B660" t="s">
        <v>1379</v>
      </c>
      <c r="C660" s="1">
        <v>45314</v>
      </c>
      <c r="D660" s="1">
        <v>45318</v>
      </c>
      <c r="E660" t="s">
        <v>48</v>
      </c>
      <c r="F660" t="s">
        <v>375</v>
      </c>
      <c r="G660" t="s">
        <v>24</v>
      </c>
      <c r="H660" t="s">
        <v>25</v>
      </c>
      <c r="I660" t="s">
        <v>26</v>
      </c>
      <c r="J660" t="s">
        <v>27</v>
      </c>
      <c r="K660" t="s">
        <v>28</v>
      </c>
      <c r="L660" t="s">
        <v>92</v>
      </c>
      <c r="M660" t="s">
        <v>118</v>
      </c>
      <c r="N660" t="s">
        <v>1380</v>
      </c>
      <c r="O660" t="s">
        <v>240</v>
      </c>
      <c r="P660" t="s">
        <v>139</v>
      </c>
      <c r="Q660" t="s">
        <v>140</v>
      </c>
      <c r="R660">
        <v>696.74</v>
      </c>
      <c r="S660">
        <v>1</v>
      </c>
      <c r="T660">
        <v>0.3</v>
      </c>
      <c r="U660">
        <v>3.74</v>
      </c>
    </row>
    <row r="661" spans="1:21">
      <c r="A661">
        <v>1063</v>
      </c>
      <c r="B661" t="s">
        <v>1381</v>
      </c>
      <c r="C661" s="1">
        <v>45534</v>
      </c>
      <c r="D661" s="1">
        <v>45539</v>
      </c>
      <c r="E661" t="s">
        <v>48</v>
      </c>
      <c r="F661" t="s">
        <v>791</v>
      </c>
      <c r="G661" t="s">
        <v>24</v>
      </c>
      <c r="H661" t="s">
        <v>25</v>
      </c>
      <c r="I661" t="s">
        <v>26</v>
      </c>
      <c r="J661" t="s">
        <v>72</v>
      </c>
      <c r="K661" t="s">
        <v>73</v>
      </c>
      <c r="L661" t="s">
        <v>63</v>
      </c>
      <c r="M661" t="s">
        <v>42</v>
      </c>
      <c r="N661" t="s">
        <v>1382</v>
      </c>
      <c r="O661" t="s">
        <v>55</v>
      </c>
      <c r="P661" t="s">
        <v>98</v>
      </c>
      <c r="Q661" t="s">
        <v>99</v>
      </c>
      <c r="R661">
        <v>9794.25</v>
      </c>
      <c r="S661">
        <v>2</v>
      </c>
      <c r="T661">
        <v>0.2</v>
      </c>
      <c r="U661">
        <v>283.12</v>
      </c>
    </row>
    <row r="662" spans="1:21">
      <c r="A662">
        <v>1472</v>
      </c>
      <c r="B662" t="s">
        <v>1383</v>
      </c>
      <c r="C662" s="1">
        <v>45328</v>
      </c>
      <c r="D662" s="1">
        <v>45331</v>
      </c>
      <c r="E662" t="s">
        <v>22</v>
      </c>
      <c r="F662" t="s">
        <v>810</v>
      </c>
      <c r="G662" t="s">
        <v>136</v>
      </c>
      <c r="H662" t="s">
        <v>51</v>
      </c>
      <c r="I662" t="s">
        <v>26</v>
      </c>
      <c r="J662" t="s">
        <v>27</v>
      </c>
      <c r="K662" t="s">
        <v>28</v>
      </c>
      <c r="L662" t="s">
        <v>41</v>
      </c>
      <c r="M662" t="s">
        <v>74</v>
      </c>
      <c r="N662" t="s">
        <v>1326</v>
      </c>
      <c r="O662" t="s">
        <v>32</v>
      </c>
      <c r="P662" t="s">
        <v>33</v>
      </c>
      <c r="Q662" t="s">
        <v>34</v>
      </c>
      <c r="R662">
        <v>4301.75</v>
      </c>
      <c r="S662">
        <v>3</v>
      </c>
      <c r="T662">
        <v>0</v>
      </c>
      <c r="U662">
        <v>1252.75</v>
      </c>
    </row>
    <row r="663" spans="1:21">
      <c r="A663">
        <v>1648</v>
      </c>
      <c r="B663" t="s">
        <v>1384</v>
      </c>
      <c r="C663" s="1">
        <v>45595</v>
      </c>
      <c r="D663" s="1">
        <v>45596</v>
      </c>
      <c r="E663" t="s">
        <v>22</v>
      </c>
      <c r="F663" t="s">
        <v>301</v>
      </c>
      <c r="G663" t="s">
        <v>78</v>
      </c>
      <c r="H663" t="s">
        <v>25</v>
      </c>
      <c r="I663" t="s">
        <v>26</v>
      </c>
      <c r="J663" t="s">
        <v>226</v>
      </c>
      <c r="K663" t="s">
        <v>110</v>
      </c>
      <c r="L663" t="s">
        <v>53</v>
      </c>
      <c r="M663" t="s">
        <v>42</v>
      </c>
      <c r="N663" t="s">
        <v>936</v>
      </c>
      <c r="P663" t="s">
        <v>207</v>
      </c>
      <c r="Q663" t="s">
        <v>208</v>
      </c>
      <c r="R663">
        <v>46325.75</v>
      </c>
      <c r="S663">
        <v>1</v>
      </c>
      <c r="T663">
        <v>0.15</v>
      </c>
      <c r="U663">
        <v>492.25</v>
      </c>
    </row>
    <row r="664" spans="1:21">
      <c r="A664">
        <v>1129</v>
      </c>
      <c r="B664" t="s">
        <v>1385</v>
      </c>
      <c r="C664" s="1">
        <v>45432</v>
      </c>
      <c r="D664" s="1">
        <v>45437</v>
      </c>
      <c r="E664" t="s">
        <v>22</v>
      </c>
      <c r="F664" t="s">
        <v>551</v>
      </c>
      <c r="G664" t="s">
        <v>136</v>
      </c>
      <c r="H664" t="s">
        <v>51</v>
      </c>
      <c r="I664" t="s">
        <v>26</v>
      </c>
      <c r="J664" t="s">
        <v>226</v>
      </c>
      <c r="K664" t="s">
        <v>110</v>
      </c>
      <c r="L664" t="s">
        <v>41</v>
      </c>
      <c r="M664" t="s">
        <v>42</v>
      </c>
      <c r="N664" t="s">
        <v>1386</v>
      </c>
      <c r="O664" t="s">
        <v>44</v>
      </c>
      <c r="P664" t="s">
        <v>211</v>
      </c>
      <c r="Q664" t="s">
        <v>212</v>
      </c>
      <c r="R664">
        <v>2182.36</v>
      </c>
      <c r="S664">
        <v>25</v>
      </c>
      <c r="T664">
        <v>0.15</v>
      </c>
      <c r="U664">
        <v>29.95</v>
      </c>
    </row>
    <row r="665" spans="1:21">
      <c r="A665">
        <v>1738</v>
      </c>
      <c r="B665" t="s">
        <v>1387</v>
      </c>
      <c r="C665" s="1">
        <v>45457</v>
      </c>
      <c r="D665" s="1">
        <v>45460</v>
      </c>
      <c r="E665" t="s">
        <v>101</v>
      </c>
      <c r="F665" t="s">
        <v>247</v>
      </c>
      <c r="G665" t="s">
        <v>71</v>
      </c>
      <c r="H665" t="s">
        <v>153</v>
      </c>
      <c r="I665" t="s">
        <v>26</v>
      </c>
      <c r="J665" t="s">
        <v>346</v>
      </c>
      <c r="K665" t="s">
        <v>132</v>
      </c>
      <c r="L665" t="s">
        <v>41</v>
      </c>
      <c r="M665" t="s">
        <v>74</v>
      </c>
      <c r="N665" t="s">
        <v>303</v>
      </c>
      <c r="O665" t="s">
        <v>55</v>
      </c>
      <c r="P665" t="s">
        <v>66</v>
      </c>
      <c r="Q665" t="s">
        <v>67</v>
      </c>
      <c r="R665">
        <v>12397.15</v>
      </c>
      <c r="S665">
        <v>2</v>
      </c>
      <c r="T665">
        <v>0.25</v>
      </c>
      <c r="U665">
        <v>-33.590000000000003</v>
      </c>
    </row>
    <row r="666" spans="1:21">
      <c r="A666">
        <v>1521</v>
      </c>
      <c r="B666" t="s">
        <v>1388</v>
      </c>
      <c r="C666" s="1">
        <v>45570</v>
      </c>
      <c r="D666" s="1">
        <v>45423</v>
      </c>
      <c r="E666" t="s">
        <v>48</v>
      </c>
      <c r="F666" t="s">
        <v>520</v>
      </c>
      <c r="G666" t="s">
        <v>136</v>
      </c>
      <c r="H666" t="s">
        <v>51</v>
      </c>
      <c r="I666" t="s">
        <v>26</v>
      </c>
      <c r="J666" t="s">
        <v>90</v>
      </c>
      <c r="K666" t="s">
        <v>91</v>
      </c>
      <c r="L666" t="s">
        <v>63</v>
      </c>
      <c r="M666" t="s">
        <v>127</v>
      </c>
      <c r="N666" t="s">
        <v>162</v>
      </c>
      <c r="O666" t="s">
        <v>44</v>
      </c>
      <c r="P666" t="s">
        <v>211</v>
      </c>
      <c r="Q666" t="s">
        <v>223</v>
      </c>
      <c r="R666">
        <v>1539.67</v>
      </c>
      <c r="S666">
        <v>1</v>
      </c>
      <c r="T666">
        <v>0.15</v>
      </c>
      <c r="U666">
        <v>22.04</v>
      </c>
    </row>
    <row r="667" spans="1:21">
      <c r="A667">
        <v>1065</v>
      </c>
      <c r="B667" t="s">
        <v>1389</v>
      </c>
      <c r="C667" s="1">
        <v>45391</v>
      </c>
      <c r="D667" s="1">
        <v>45394</v>
      </c>
      <c r="E667" t="s">
        <v>69</v>
      </c>
      <c r="F667" t="s">
        <v>203</v>
      </c>
      <c r="G667" t="s">
        <v>60</v>
      </c>
      <c r="H667" t="s">
        <v>51</v>
      </c>
      <c r="I667" t="s">
        <v>26</v>
      </c>
      <c r="J667" t="s">
        <v>79</v>
      </c>
      <c r="K667" t="s">
        <v>80</v>
      </c>
      <c r="L667" t="s">
        <v>117</v>
      </c>
      <c r="M667" t="s">
        <v>74</v>
      </c>
      <c r="N667" t="s">
        <v>1390</v>
      </c>
      <c r="O667" t="s">
        <v>83</v>
      </c>
      <c r="P667" t="s">
        <v>84</v>
      </c>
      <c r="Q667" t="s">
        <v>85</v>
      </c>
      <c r="R667">
        <v>5895.12</v>
      </c>
      <c r="S667">
        <v>2</v>
      </c>
      <c r="T667">
        <v>0</v>
      </c>
      <c r="U667">
        <v>1481.7</v>
      </c>
    </row>
    <row r="668" spans="1:21">
      <c r="A668">
        <v>1015</v>
      </c>
      <c r="B668" t="s">
        <v>1391</v>
      </c>
      <c r="C668" s="1">
        <v>45357</v>
      </c>
      <c r="D668" s="1">
        <v>45363</v>
      </c>
      <c r="E668" t="s">
        <v>101</v>
      </c>
      <c r="F668" t="s">
        <v>198</v>
      </c>
      <c r="G668" t="s">
        <v>60</v>
      </c>
      <c r="H668" t="s">
        <v>51</v>
      </c>
      <c r="I668" t="s">
        <v>26</v>
      </c>
      <c r="J668" t="s">
        <v>131</v>
      </c>
      <c r="K668" t="s">
        <v>132</v>
      </c>
      <c r="L668" t="s">
        <v>63</v>
      </c>
      <c r="M668" t="s">
        <v>170</v>
      </c>
      <c r="N668" t="s">
        <v>267</v>
      </c>
      <c r="O668" t="s">
        <v>543</v>
      </c>
      <c r="P668" t="s">
        <v>33</v>
      </c>
      <c r="Q668" t="s">
        <v>34</v>
      </c>
      <c r="R668">
        <v>1349.67</v>
      </c>
      <c r="S668">
        <v>1</v>
      </c>
      <c r="T668">
        <v>0.05</v>
      </c>
      <c r="U668">
        <v>226.98</v>
      </c>
    </row>
    <row r="669" spans="1:21">
      <c r="A669">
        <v>1157</v>
      </c>
      <c r="B669" t="s">
        <v>1392</v>
      </c>
      <c r="C669" s="1">
        <v>45635</v>
      </c>
      <c r="D669" s="1">
        <v>45641</v>
      </c>
      <c r="E669" t="s">
        <v>101</v>
      </c>
      <c r="F669" t="s">
        <v>203</v>
      </c>
      <c r="G669" t="s">
        <v>136</v>
      </c>
      <c r="H669" t="s">
        <v>126</v>
      </c>
      <c r="I669" t="s">
        <v>26</v>
      </c>
      <c r="J669" t="s">
        <v>115</v>
      </c>
      <c r="K669" t="s">
        <v>116</v>
      </c>
      <c r="L669" t="s">
        <v>92</v>
      </c>
      <c r="M669" t="s">
        <v>74</v>
      </c>
      <c r="N669" t="s">
        <v>1393</v>
      </c>
      <c r="O669" t="s">
        <v>138</v>
      </c>
      <c r="P669" t="s">
        <v>156</v>
      </c>
      <c r="Q669" t="s">
        <v>157</v>
      </c>
      <c r="R669">
        <v>2457.9899999999998</v>
      </c>
      <c r="S669">
        <v>7</v>
      </c>
      <c r="T669">
        <v>0</v>
      </c>
      <c r="U669">
        <v>605.32000000000005</v>
      </c>
    </row>
    <row r="670" spans="1:21">
      <c r="A670">
        <v>1041</v>
      </c>
      <c r="B670" t="s">
        <v>1394</v>
      </c>
      <c r="C670" s="1">
        <v>45530</v>
      </c>
      <c r="D670" s="1">
        <v>45534</v>
      </c>
      <c r="E670" t="s">
        <v>101</v>
      </c>
      <c r="F670" t="s">
        <v>375</v>
      </c>
      <c r="G670" t="s">
        <v>107</v>
      </c>
      <c r="H670" t="s">
        <v>310</v>
      </c>
      <c r="I670" t="s">
        <v>26</v>
      </c>
      <c r="J670" t="s">
        <v>61</v>
      </c>
      <c r="K670" t="s">
        <v>62</v>
      </c>
      <c r="L670" t="s">
        <v>334</v>
      </c>
      <c r="M670" t="s">
        <v>127</v>
      </c>
      <c r="N670" t="s">
        <v>855</v>
      </c>
      <c r="O670" t="s">
        <v>44</v>
      </c>
      <c r="P670" t="s">
        <v>207</v>
      </c>
      <c r="Q670" t="s">
        <v>208</v>
      </c>
      <c r="R670">
        <v>44016.82</v>
      </c>
      <c r="S670">
        <v>1</v>
      </c>
      <c r="T670">
        <v>0.2</v>
      </c>
      <c r="U670">
        <v>-934.61</v>
      </c>
    </row>
    <row r="671" spans="1:21">
      <c r="A671">
        <v>1493</v>
      </c>
      <c r="B671" t="s">
        <v>1395</v>
      </c>
      <c r="C671" s="1">
        <v>45579</v>
      </c>
      <c r="D671" s="1">
        <v>45585</v>
      </c>
      <c r="E671" t="s">
        <v>22</v>
      </c>
      <c r="F671" t="s">
        <v>517</v>
      </c>
      <c r="G671" t="s">
        <v>107</v>
      </c>
      <c r="H671" t="s">
        <v>51</v>
      </c>
      <c r="I671" t="s">
        <v>26</v>
      </c>
      <c r="J671" t="s">
        <v>52</v>
      </c>
      <c r="K671" t="s">
        <v>52</v>
      </c>
      <c r="L671" t="s">
        <v>117</v>
      </c>
      <c r="M671" t="s">
        <v>42</v>
      </c>
      <c r="N671" t="s">
        <v>256</v>
      </c>
      <c r="O671" t="s">
        <v>44</v>
      </c>
      <c r="P671" t="s">
        <v>45</v>
      </c>
      <c r="Q671" t="s">
        <v>46</v>
      </c>
      <c r="R671">
        <v>78360.17</v>
      </c>
      <c r="S671">
        <v>3</v>
      </c>
      <c r="T671">
        <v>0.3</v>
      </c>
      <c r="U671">
        <v>-6645.6</v>
      </c>
    </row>
    <row r="672" spans="1:21">
      <c r="A672">
        <v>1380</v>
      </c>
      <c r="B672" t="s">
        <v>1396</v>
      </c>
      <c r="C672" s="1">
        <v>45298</v>
      </c>
      <c r="D672" s="1">
        <v>45304</v>
      </c>
      <c r="E672" t="s">
        <v>48</v>
      </c>
      <c r="F672" t="s">
        <v>59</v>
      </c>
      <c r="G672" t="s">
        <v>114</v>
      </c>
      <c r="H672" t="s">
        <v>108</v>
      </c>
      <c r="I672" t="s">
        <v>26</v>
      </c>
      <c r="J672" t="s">
        <v>109</v>
      </c>
      <c r="K672" t="s">
        <v>110</v>
      </c>
      <c r="L672" t="s">
        <v>29</v>
      </c>
      <c r="M672" t="s">
        <v>127</v>
      </c>
      <c r="N672" t="s">
        <v>466</v>
      </c>
      <c r="O672" t="s">
        <v>83</v>
      </c>
      <c r="P672" t="s">
        <v>84</v>
      </c>
      <c r="Q672" t="s">
        <v>85</v>
      </c>
      <c r="R672">
        <v>6803.35</v>
      </c>
      <c r="S672">
        <v>2</v>
      </c>
      <c r="T672">
        <v>0</v>
      </c>
      <c r="U672">
        <v>1946.27</v>
      </c>
    </row>
    <row r="673" spans="1:21">
      <c r="A673">
        <v>1188</v>
      </c>
      <c r="B673" t="s">
        <v>1397</v>
      </c>
      <c r="C673" s="1">
        <v>45640</v>
      </c>
      <c r="D673" s="1">
        <v>45642</v>
      </c>
      <c r="E673" t="s">
        <v>22</v>
      </c>
      <c r="F673" t="s">
        <v>198</v>
      </c>
      <c r="G673" t="s">
        <v>71</v>
      </c>
      <c r="H673" t="s">
        <v>51</v>
      </c>
      <c r="I673" t="s">
        <v>26</v>
      </c>
      <c r="J673" t="s">
        <v>346</v>
      </c>
      <c r="K673" t="s">
        <v>132</v>
      </c>
      <c r="L673" t="s">
        <v>154</v>
      </c>
      <c r="M673" t="s">
        <v>118</v>
      </c>
      <c r="N673" t="s">
        <v>1398</v>
      </c>
      <c r="O673" t="s">
        <v>44</v>
      </c>
      <c r="P673" t="s">
        <v>45</v>
      </c>
      <c r="Q673" t="s">
        <v>46</v>
      </c>
      <c r="R673">
        <v>134120.19</v>
      </c>
      <c r="S673">
        <v>4</v>
      </c>
      <c r="T673">
        <v>0</v>
      </c>
      <c r="U673">
        <v>13417.87</v>
      </c>
    </row>
    <row r="674" spans="1:21">
      <c r="A674">
        <v>1217</v>
      </c>
      <c r="B674" t="s">
        <v>1399</v>
      </c>
      <c r="C674" s="1">
        <v>45443</v>
      </c>
      <c r="D674" s="1">
        <v>45445</v>
      </c>
      <c r="E674" t="s">
        <v>69</v>
      </c>
      <c r="F674" t="s">
        <v>744</v>
      </c>
      <c r="G674" t="s">
        <v>107</v>
      </c>
      <c r="H674" t="s">
        <v>25</v>
      </c>
      <c r="I674" t="s">
        <v>26</v>
      </c>
      <c r="J674" t="s">
        <v>346</v>
      </c>
      <c r="K674" t="s">
        <v>132</v>
      </c>
      <c r="L674" t="s">
        <v>29</v>
      </c>
      <c r="M674" t="s">
        <v>170</v>
      </c>
      <c r="N674" t="s">
        <v>1400</v>
      </c>
      <c r="O674" t="s">
        <v>55</v>
      </c>
      <c r="P674" t="s">
        <v>66</v>
      </c>
      <c r="Q674" t="s">
        <v>67</v>
      </c>
      <c r="R674">
        <v>19486.75</v>
      </c>
      <c r="S674">
        <v>3</v>
      </c>
      <c r="T674">
        <v>0.25</v>
      </c>
      <c r="U674">
        <v>-39</v>
      </c>
    </row>
    <row r="675" spans="1:21">
      <c r="A675">
        <v>1053</v>
      </c>
      <c r="B675" t="s">
        <v>1401</v>
      </c>
      <c r="C675" s="1">
        <v>45421</v>
      </c>
      <c r="D675" s="1">
        <v>45422</v>
      </c>
      <c r="E675" t="s">
        <v>101</v>
      </c>
      <c r="F675" t="s">
        <v>701</v>
      </c>
      <c r="G675" t="s">
        <v>24</v>
      </c>
      <c r="H675" t="s">
        <v>25</v>
      </c>
      <c r="I675" t="s">
        <v>26</v>
      </c>
      <c r="J675" t="s">
        <v>226</v>
      </c>
      <c r="K675" t="s">
        <v>110</v>
      </c>
      <c r="L675" t="s">
        <v>41</v>
      </c>
      <c r="M675" t="s">
        <v>42</v>
      </c>
      <c r="N675" t="s">
        <v>1402</v>
      </c>
      <c r="O675" t="s">
        <v>65</v>
      </c>
      <c r="P675" t="s">
        <v>56</v>
      </c>
      <c r="Q675" t="s">
        <v>57</v>
      </c>
      <c r="R675">
        <v>11504.27</v>
      </c>
      <c r="S675">
        <v>2</v>
      </c>
      <c r="T675">
        <v>0.25</v>
      </c>
      <c r="U675">
        <v>-25.16</v>
      </c>
    </row>
    <row r="676" spans="1:21">
      <c r="A676">
        <v>1338</v>
      </c>
      <c r="B676" t="s">
        <v>1403</v>
      </c>
      <c r="C676" s="1">
        <v>45433</v>
      </c>
      <c r="D676" s="1">
        <v>45436</v>
      </c>
      <c r="E676" t="s">
        <v>48</v>
      </c>
      <c r="F676" t="s">
        <v>355</v>
      </c>
      <c r="G676" t="s">
        <v>60</v>
      </c>
      <c r="H676" t="s">
        <v>153</v>
      </c>
      <c r="I676" t="s">
        <v>26</v>
      </c>
      <c r="J676" t="s">
        <v>131</v>
      </c>
      <c r="K676" t="s">
        <v>132</v>
      </c>
      <c r="L676" t="s">
        <v>92</v>
      </c>
      <c r="M676" t="s">
        <v>74</v>
      </c>
      <c r="N676" t="s">
        <v>1404</v>
      </c>
      <c r="O676" t="s">
        <v>138</v>
      </c>
      <c r="P676" t="s">
        <v>182</v>
      </c>
      <c r="Q676" t="s">
        <v>183</v>
      </c>
      <c r="R676">
        <v>2838.71</v>
      </c>
      <c r="S676">
        <v>8</v>
      </c>
      <c r="T676">
        <v>0.2</v>
      </c>
      <c r="U676">
        <v>246.64</v>
      </c>
    </row>
    <row r="677" spans="1:21">
      <c r="A677">
        <v>1296</v>
      </c>
      <c r="B677" t="s">
        <v>1405</v>
      </c>
      <c r="C677" s="1">
        <v>45405</v>
      </c>
      <c r="D677" s="1">
        <v>45407</v>
      </c>
      <c r="E677" t="s">
        <v>69</v>
      </c>
      <c r="F677" t="s">
        <v>247</v>
      </c>
      <c r="G677" t="s">
        <v>37</v>
      </c>
      <c r="H677" t="s">
        <v>89</v>
      </c>
      <c r="I677" t="s">
        <v>26</v>
      </c>
      <c r="J677" t="s">
        <v>131</v>
      </c>
      <c r="K677" t="s">
        <v>132</v>
      </c>
      <c r="L677" t="s">
        <v>63</v>
      </c>
      <c r="M677" t="s">
        <v>81</v>
      </c>
      <c r="N677" t="s">
        <v>1139</v>
      </c>
      <c r="O677" t="s">
        <v>83</v>
      </c>
      <c r="P677" t="s">
        <v>84</v>
      </c>
      <c r="Q677" t="s">
        <v>85</v>
      </c>
      <c r="R677">
        <v>3015.08</v>
      </c>
      <c r="S677">
        <v>1</v>
      </c>
      <c r="T677">
        <v>0</v>
      </c>
      <c r="U677">
        <v>806.86</v>
      </c>
    </row>
    <row r="678" spans="1:21">
      <c r="A678">
        <v>1252</v>
      </c>
      <c r="B678" t="s">
        <v>1406</v>
      </c>
      <c r="C678" s="1">
        <v>45506</v>
      </c>
      <c r="D678" s="1">
        <v>45511</v>
      </c>
      <c r="E678" t="s">
        <v>69</v>
      </c>
      <c r="F678" t="s">
        <v>649</v>
      </c>
      <c r="G678" t="s">
        <v>37</v>
      </c>
      <c r="H678" t="s">
        <v>51</v>
      </c>
      <c r="I678" t="s">
        <v>26</v>
      </c>
      <c r="J678" t="s">
        <v>115</v>
      </c>
      <c r="K678" t="s">
        <v>116</v>
      </c>
      <c r="M678" t="s">
        <v>30</v>
      </c>
      <c r="N678" t="s">
        <v>1067</v>
      </c>
      <c r="O678" t="s">
        <v>293</v>
      </c>
      <c r="P678" t="s">
        <v>45</v>
      </c>
      <c r="Q678" t="s">
        <v>46</v>
      </c>
      <c r="R678">
        <v>104708.64</v>
      </c>
      <c r="S678">
        <v>4</v>
      </c>
      <c r="T678">
        <v>0.25</v>
      </c>
      <c r="U678">
        <v>-6359.7</v>
      </c>
    </row>
    <row r="679" spans="1:21">
      <c r="A679">
        <v>1462</v>
      </c>
      <c r="B679" t="s">
        <v>1407</v>
      </c>
      <c r="C679" s="1">
        <v>45482</v>
      </c>
      <c r="D679" s="1">
        <v>45483</v>
      </c>
      <c r="E679" t="s">
        <v>69</v>
      </c>
      <c r="F679" t="s">
        <v>195</v>
      </c>
      <c r="G679" t="s">
        <v>165</v>
      </c>
      <c r="H679" t="s">
        <v>25</v>
      </c>
      <c r="I679" t="s">
        <v>26</v>
      </c>
      <c r="J679" t="s">
        <v>79</v>
      </c>
      <c r="K679" t="s">
        <v>80</v>
      </c>
      <c r="L679" t="s">
        <v>41</v>
      </c>
      <c r="M679" t="s">
        <v>81</v>
      </c>
      <c r="N679" t="s">
        <v>1408</v>
      </c>
      <c r="O679" t="s">
        <v>83</v>
      </c>
      <c r="P679" t="s">
        <v>84</v>
      </c>
      <c r="Q679" t="s">
        <v>85</v>
      </c>
      <c r="R679">
        <v>12927.64</v>
      </c>
      <c r="S679">
        <v>4</v>
      </c>
      <c r="T679">
        <v>0.05</v>
      </c>
      <c r="U679">
        <v>3233.32</v>
      </c>
    </row>
    <row r="680" spans="1:21">
      <c r="A680">
        <v>1456</v>
      </c>
      <c r="B680" t="s">
        <v>1409</v>
      </c>
      <c r="C680" s="1">
        <v>45356</v>
      </c>
      <c r="D680" s="1">
        <v>45362</v>
      </c>
      <c r="E680" t="s">
        <v>101</v>
      </c>
      <c r="F680" t="s">
        <v>214</v>
      </c>
      <c r="G680" t="s">
        <v>229</v>
      </c>
      <c r="H680" t="s">
        <v>153</v>
      </c>
      <c r="I680" t="s">
        <v>26</v>
      </c>
      <c r="J680" t="s">
        <v>52</v>
      </c>
      <c r="K680" t="s">
        <v>52</v>
      </c>
      <c r="L680" t="s">
        <v>92</v>
      </c>
      <c r="M680" t="s">
        <v>74</v>
      </c>
      <c r="N680" t="s">
        <v>1410</v>
      </c>
      <c r="O680" t="s">
        <v>44</v>
      </c>
      <c r="P680" t="s">
        <v>207</v>
      </c>
      <c r="Q680" t="s">
        <v>208</v>
      </c>
      <c r="R680">
        <v>44838.57</v>
      </c>
      <c r="S680">
        <v>1</v>
      </c>
      <c r="U680">
        <v>495.48</v>
      </c>
    </row>
    <row r="681" spans="1:21">
      <c r="A681">
        <v>1727</v>
      </c>
      <c r="B681" t="s">
        <v>1044</v>
      </c>
      <c r="C681" s="1">
        <v>45352</v>
      </c>
      <c r="D681" s="1">
        <v>45357</v>
      </c>
      <c r="E681" t="s">
        <v>101</v>
      </c>
      <c r="F681" t="s">
        <v>102</v>
      </c>
      <c r="G681" t="s">
        <v>50</v>
      </c>
      <c r="H681" t="s">
        <v>310</v>
      </c>
      <c r="I681" t="s">
        <v>26</v>
      </c>
      <c r="J681" t="s">
        <v>39</v>
      </c>
      <c r="K681" t="s">
        <v>40</v>
      </c>
      <c r="L681" t="s">
        <v>215</v>
      </c>
      <c r="M681" t="s">
        <v>170</v>
      </c>
      <c r="N681" t="s">
        <v>1045</v>
      </c>
      <c r="O681" t="s">
        <v>138</v>
      </c>
      <c r="P681" t="s">
        <v>182</v>
      </c>
      <c r="Q681" t="s">
        <v>183</v>
      </c>
      <c r="R681">
        <v>381.25</v>
      </c>
      <c r="S681">
        <v>1</v>
      </c>
      <c r="T681">
        <v>0.2</v>
      </c>
      <c r="U681">
        <v>27.63</v>
      </c>
    </row>
    <row r="682" spans="1:21">
      <c r="A682">
        <v>1270</v>
      </c>
      <c r="B682" t="s">
        <v>1411</v>
      </c>
      <c r="C682" s="1">
        <v>45327</v>
      </c>
      <c r="D682" s="1">
        <v>45332</v>
      </c>
      <c r="E682" t="s">
        <v>22</v>
      </c>
      <c r="F682" t="s">
        <v>113</v>
      </c>
      <c r="G682" t="s">
        <v>125</v>
      </c>
      <c r="H682" t="s">
        <v>108</v>
      </c>
      <c r="I682" t="s">
        <v>26</v>
      </c>
      <c r="J682" t="s">
        <v>61</v>
      </c>
      <c r="K682" t="s">
        <v>62</v>
      </c>
      <c r="L682" t="s">
        <v>92</v>
      </c>
      <c r="M682" t="s">
        <v>118</v>
      </c>
      <c r="N682" t="s">
        <v>687</v>
      </c>
      <c r="O682" t="s">
        <v>32</v>
      </c>
      <c r="P682" t="s">
        <v>84</v>
      </c>
      <c r="Q682" t="s">
        <v>85</v>
      </c>
      <c r="R682">
        <v>9047.83</v>
      </c>
      <c r="S682">
        <v>3</v>
      </c>
      <c r="T682">
        <v>0.05</v>
      </c>
      <c r="U682">
        <v>1603.01</v>
      </c>
    </row>
    <row r="683" spans="1:21">
      <c r="A683">
        <v>1202</v>
      </c>
      <c r="B683" t="s">
        <v>1412</v>
      </c>
      <c r="C683" s="1">
        <v>45533</v>
      </c>
      <c r="D683" s="1">
        <v>45534</v>
      </c>
      <c r="E683" t="s">
        <v>48</v>
      </c>
      <c r="F683" t="s">
        <v>271</v>
      </c>
      <c r="G683" t="s">
        <v>60</v>
      </c>
      <c r="H683" t="s">
        <v>51</v>
      </c>
      <c r="I683" t="s">
        <v>26</v>
      </c>
      <c r="J683" t="s">
        <v>160</v>
      </c>
      <c r="K683" t="s">
        <v>161</v>
      </c>
      <c r="L683" t="s">
        <v>103</v>
      </c>
      <c r="M683" t="s">
        <v>127</v>
      </c>
      <c r="N683" t="s">
        <v>1413</v>
      </c>
      <c r="O683" t="s">
        <v>44</v>
      </c>
      <c r="P683" t="s">
        <v>45</v>
      </c>
      <c r="Q683" t="s">
        <v>46</v>
      </c>
      <c r="R683">
        <v>36030.25</v>
      </c>
      <c r="S683">
        <v>1</v>
      </c>
      <c r="T683">
        <v>0</v>
      </c>
      <c r="U683">
        <v>4610.26</v>
      </c>
    </row>
    <row r="684" spans="1:21">
      <c r="A684">
        <v>1162</v>
      </c>
      <c r="B684" t="s">
        <v>1414</v>
      </c>
      <c r="C684" s="1">
        <v>45477</v>
      </c>
      <c r="D684" s="1">
        <v>45482</v>
      </c>
      <c r="E684" t="s">
        <v>69</v>
      </c>
      <c r="F684" t="s">
        <v>442</v>
      </c>
      <c r="G684" t="s">
        <v>107</v>
      </c>
      <c r="H684" t="s">
        <v>51</v>
      </c>
      <c r="I684" t="s">
        <v>26</v>
      </c>
      <c r="J684" t="s">
        <v>115</v>
      </c>
      <c r="K684" t="s">
        <v>116</v>
      </c>
      <c r="L684" t="s">
        <v>92</v>
      </c>
      <c r="M684" t="s">
        <v>30</v>
      </c>
      <c r="N684" t="s">
        <v>1415</v>
      </c>
      <c r="O684" t="s">
        <v>188</v>
      </c>
      <c r="P684" t="s">
        <v>189</v>
      </c>
      <c r="Q684" t="s">
        <v>190</v>
      </c>
      <c r="R684">
        <v>5651.23</v>
      </c>
      <c r="S684">
        <v>1</v>
      </c>
      <c r="T684">
        <v>0.05</v>
      </c>
      <c r="U684">
        <v>490.37</v>
      </c>
    </row>
    <row r="685" spans="1:21">
      <c r="A685">
        <v>1556</v>
      </c>
      <c r="B685" t="s">
        <v>1416</v>
      </c>
      <c r="C685" s="1">
        <v>45421</v>
      </c>
      <c r="D685" s="1">
        <v>45423</v>
      </c>
      <c r="E685" t="s">
        <v>48</v>
      </c>
      <c r="F685" t="s">
        <v>660</v>
      </c>
      <c r="G685" t="s">
        <v>88</v>
      </c>
      <c r="H685" t="s">
        <v>51</v>
      </c>
      <c r="I685" t="s">
        <v>26</v>
      </c>
      <c r="J685" t="s">
        <v>131</v>
      </c>
      <c r="K685" t="s">
        <v>132</v>
      </c>
      <c r="L685" t="s">
        <v>63</v>
      </c>
      <c r="M685" t="s">
        <v>74</v>
      </c>
      <c r="N685" t="s">
        <v>818</v>
      </c>
      <c r="O685" t="s">
        <v>44</v>
      </c>
      <c r="P685" t="s">
        <v>211</v>
      </c>
      <c r="Q685" t="s">
        <v>212</v>
      </c>
      <c r="R685">
        <v>5357.72</v>
      </c>
      <c r="S685">
        <v>5</v>
      </c>
      <c r="T685">
        <v>0.15</v>
      </c>
      <c r="U685">
        <v>57.74</v>
      </c>
    </row>
    <row r="686" spans="1:21">
      <c r="A686">
        <v>1402</v>
      </c>
      <c r="B686" t="s">
        <v>1417</v>
      </c>
      <c r="C686" s="1">
        <v>45594</v>
      </c>
      <c r="D686" s="1">
        <v>45596</v>
      </c>
      <c r="E686" t="s">
        <v>22</v>
      </c>
      <c r="F686" t="s">
        <v>198</v>
      </c>
      <c r="G686" t="s">
        <v>78</v>
      </c>
      <c r="H686" t="s">
        <v>153</v>
      </c>
      <c r="I686" t="s">
        <v>26</v>
      </c>
      <c r="J686" t="s">
        <v>346</v>
      </c>
      <c r="K686" t="s">
        <v>132</v>
      </c>
      <c r="L686" t="s">
        <v>186</v>
      </c>
      <c r="M686" t="s">
        <v>81</v>
      </c>
      <c r="N686" t="s">
        <v>1418</v>
      </c>
      <c r="O686" t="s">
        <v>328</v>
      </c>
      <c r="P686" t="s">
        <v>189</v>
      </c>
      <c r="Q686" t="s">
        <v>386</v>
      </c>
      <c r="R686">
        <v>1670.14</v>
      </c>
      <c r="S686">
        <v>1</v>
      </c>
      <c r="T686">
        <v>0.25</v>
      </c>
      <c r="U686">
        <v>-57.18</v>
      </c>
    </row>
    <row r="687" spans="1:21">
      <c r="A687">
        <v>1477</v>
      </c>
      <c r="B687" t="s">
        <v>1419</v>
      </c>
      <c r="C687" s="1">
        <v>45446</v>
      </c>
      <c r="D687" s="1">
        <v>45447</v>
      </c>
      <c r="E687" t="s">
        <v>48</v>
      </c>
      <c r="F687" t="s">
        <v>583</v>
      </c>
      <c r="G687" t="s">
        <v>107</v>
      </c>
      <c r="H687" t="s">
        <v>108</v>
      </c>
      <c r="I687" t="s">
        <v>26</v>
      </c>
      <c r="J687" t="s">
        <v>160</v>
      </c>
      <c r="K687" t="s">
        <v>161</v>
      </c>
      <c r="L687" t="s">
        <v>63</v>
      </c>
      <c r="M687" t="s">
        <v>74</v>
      </c>
      <c r="N687" t="s">
        <v>1420</v>
      </c>
      <c r="O687" t="s">
        <v>44</v>
      </c>
      <c r="P687" t="s">
        <v>207</v>
      </c>
      <c r="Q687" t="s">
        <v>208</v>
      </c>
      <c r="R687">
        <v>140502.39999999999</v>
      </c>
      <c r="S687">
        <v>3</v>
      </c>
      <c r="T687">
        <v>0.05</v>
      </c>
      <c r="U687">
        <v>13145.19</v>
      </c>
    </row>
    <row r="688" spans="1:21">
      <c r="A688">
        <v>1106</v>
      </c>
      <c r="B688" t="s">
        <v>1421</v>
      </c>
      <c r="C688" s="1">
        <v>45460</v>
      </c>
      <c r="D688" s="1">
        <v>45462</v>
      </c>
      <c r="E688" t="s">
        <v>22</v>
      </c>
      <c r="F688" t="s">
        <v>660</v>
      </c>
      <c r="G688" t="s">
        <v>88</v>
      </c>
      <c r="H688" t="s">
        <v>51</v>
      </c>
      <c r="I688" t="s">
        <v>26</v>
      </c>
      <c r="J688" t="s">
        <v>27</v>
      </c>
      <c r="K688" t="s">
        <v>28</v>
      </c>
      <c r="L688" t="s">
        <v>103</v>
      </c>
      <c r="M688" t="s">
        <v>30</v>
      </c>
      <c r="N688" t="s">
        <v>893</v>
      </c>
      <c r="O688" t="s">
        <v>240</v>
      </c>
      <c r="P688" t="s">
        <v>121</v>
      </c>
      <c r="Q688" t="s">
        <v>122</v>
      </c>
      <c r="R688">
        <v>589.55999999999995</v>
      </c>
      <c r="S688">
        <v>1</v>
      </c>
      <c r="T688">
        <v>0.1</v>
      </c>
      <c r="U688">
        <v>87.23</v>
      </c>
    </row>
    <row r="689" spans="1:21">
      <c r="A689">
        <v>1566</v>
      </c>
      <c r="B689" t="s">
        <v>1422</v>
      </c>
      <c r="C689" s="1">
        <v>45348</v>
      </c>
      <c r="D689" s="1">
        <v>45354</v>
      </c>
      <c r="E689" t="s">
        <v>69</v>
      </c>
      <c r="F689" t="s">
        <v>330</v>
      </c>
      <c r="G689" t="s">
        <v>78</v>
      </c>
      <c r="H689" t="s">
        <v>25</v>
      </c>
      <c r="I689" t="s">
        <v>26</v>
      </c>
      <c r="J689" t="s">
        <v>131</v>
      </c>
      <c r="K689" t="s">
        <v>132</v>
      </c>
      <c r="L689" t="s">
        <v>29</v>
      </c>
      <c r="M689" t="s">
        <v>81</v>
      </c>
      <c r="N689" t="s">
        <v>1236</v>
      </c>
      <c r="O689" t="s">
        <v>188</v>
      </c>
      <c r="P689" t="s">
        <v>189</v>
      </c>
      <c r="Q689" t="s">
        <v>386</v>
      </c>
      <c r="R689">
        <v>4329.42</v>
      </c>
      <c r="S689">
        <v>2</v>
      </c>
      <c r="T689">
        <v>0.05</v>
      </c>
      <c r="U689">
        <v>421.25</v>
      </c>
    </row>
    <row r="690" spans="1:21">
      <c r="A690">
        <v>1390</v>
      </c>
      <c r="B690" t="s">
        <v>1423</v>
      </c>
      <c r="C690" s="1">
        <v>45586</v>
      </c>
      <c r="D690" s="1">
        <v>45588</v>
      </c>
      <c r="E690" t="s">
        <v>48</v>
      </c>
      <c r="F690" t="s">
        <v>271</v>
      </c>
      <c r="G690" t="s">
        <v>37</v>
      </c>
      <c r="H690" t="s">
        <v>153</v>
      </c>
      <c r="I690" t="s">
        <v>26</v>
      </c>
      <c r="J690" t="s">
        <v>131</v>
      </c>
      <c r="K690" t="s">
        <v>132</v>
      </c>
      <c r="L690" t="s">
        <v>334</v>
      </c>
      <c r="M690" t="s">
        <v>81</v>
      </c>
      <c r="N690" t="s">
        <v>1424</v>
      </c>
      <c r="O690" t="s">
        <v>44</v>
      </c>
      <c r="P690" t="s">
        <v>207</v>
      </c>
      <c r="Q690" t="s">
        <v>208</v>
      </c>
      <c r="R690">
        <v>107661.41</v>
      </c>
      <c r="S690">
        <v>2</v>
      </c>
      <c r="T690">
        <v>0</v>
      </c>
      <c r="U690">
        <v>12678.54</v>
      </c>
    </row>
    <row r="691" spans="1:21">
      <c r="A691">
        <v>1002</v>
      </c>
      <c r="B691" t="s">
        <v>1425</v>
      </c>
      <c r="C691" s="1">
        <v>45579</v>
      </c>
      <c r="D691" s="1">
        <v>45581</v>
      </c>
      <c r="E691" t="s">
        <v>101</v>
      </c>
      <c r="F691" t="s">
        <v>583</v>
      </c>
      <c r="G691" t="s">
        <v>165</v>
      </c>
      <c r="H691" t="s">
        <v>38</v>
      </c>
      <c r="I691" t="s">
        <v>26</v>
      </c>
      <c r="J691" t="s">
        <v>346</v>
      </c>
      <c r="K691" t="s">
        <v>132</v>
      </c>
      <c r="L691" t="s">
        <v>63</v>
      </c>
      <c r="M691" t="s">
        <v>127</v>
      </c>
      <c r="N691" t="s">
        <v>1426</v>
      </c>
      <c r="O691" t="s">
        <v>293</v>
      </c>
      <c r="P691" t="s">
        <v>207</v>
      </c>
      <c r="Q691" t="s">
        <v>208</v>
      </c>
      <c r="R691">
        <v>53930.19</v>
      </c>
      <c r="S691">
        <v>1</v>
      </c>
      <c r="T691">
        <v>0</v>
      </c>
      <c r="U691">
        <v>6224.96</v>
      </c>
    </row>
    <row r="692" spans="1:21">
      <c r="A692">
        <v>1708</v>
      </c>
      <c r="B692" t="s">
        <v>1427</v>
      </c>
      <c r="C692" s="1">
        <v>45504</v>
      </c>
      <c r="D692" s="1">
        <v>45508</v>
      </c>
      <c r="E692" t="s">
        <v>48</v>
      </c>
      <c r="F692" t="s">
        <v>395</v>
      </c>
      <c r="G692" t="s">
        <v>107</v>
      </c>
      <c r="H692" t="s">
        <v>51</v>
      </c>
      <c r="I692" t="s">
        <v>26</v>
      </c>
      <c r="J692" t="s">
        <v>166</v>
      </c>
      <c r="K692" t="s">
        <v>132</v>
      </c>
      <c r="L692" t="s">
        <v>169</v>
      </c>
      <c r="M692" t="s">
        <v>74</v>
      </c>
      <c r="N692" t="s">
        <v>1428</v>
      </c>
      <c r="O692" t="s">
        <v>44</v>
      </c>
      <c r="P692" t="s">
        <v>211</v>
      </c>
      <c r="Q692" t="s">
        <v>212</v>
      </c>
      <c r="R692">
        <v>3617.95</v>
      </c>
      <c r="S692">
        <v>3</v>
      </c>
      <c r="T692">
        <v>0</v>
      </c>
      <c r="U692">
        <v>484.85</v>
      </c>
    </row>
    <row r="693" spans="1:21">
      <c r="A693">
        <v>1562</v>
      </c>
      <c r="B693" t="s">
        <v>1429</v>
      </c>
      <c r="C693" s="1">
        <v>45604</v>
      </c>
      <c r="D693" s="1">
        <v>45610</v>
      </c>
      <c r="E693" t="s">
        <v>48</v>
      </c>
      <c r="F693" t="s">
        <v>744</v>
      </c>
      <c r="G693" t="s">
        <v>78</v>
      </c>
      <c r="H693" t="s">
        <v>302</v>
      </c>
      <c r="I693" t="s">
        <v>26</v>
      </c>
      <c r="J693" t="s">
        <v>346</v>
      </c>
      <c r="K693" t="s">
        <v>132</v>
      </c>
      <c r="L693" t="s">
        <v>63</v>
      </c>
      <c r="M693" t="s">
        <v>127</v>
      </c>
      <c r="N693" t="s">
        <v>1430</v>
      </c>
      <c r="O693" t="s">
        <v>293</v>
      </c>
      <c r="P693" t="s">
        <v>45</v>
      </c>
      <c r="Q693" t="s">
        <v>46</v>
      </c>
      <c r="R693">
        <v>85693.17</v>
      </c>
      <c r="S693">
        <v>3</v>
      </c>
      <c r="T693">
        <v>0.25</v>
      </c>
      <c r="U693">
        <v>-5195.13</v>
      </c>
    </row>
    <row r="694" spans="1:21">
      <c r="A694">
        <v>1081</v>
      </c>
      <c r="B694" t="s">
        <v>1431</v>
      </c>
      <c r="C694" s="1">
        <v>45547</v>
      </c>
      <c r="D694" s="1">
        <v>45553</v>
      </c>
      <c r="E694" t="s">
        <v>48</v>
      </c>
      <c r="F694" t="s">
        <v>541</v>
      </c>
      <c r="G694" t="s">
        <v>24</v>
      </c>
      <c r="H694" t="s">
        <v>51</v>
      </c>
      <c r="I694" t="s">
        <v>26</v>
      </c>
      <c r="J694" t="s">
        <v>61</v>
      </c>
      <c r="K694" t="s">
        <v>62</v>
      </c>
      <c r="L694" t="s">
        <v>63</v>
      </c>
      <c r="M694" t="s">
        <v>118</v>
      </c>
      <c r="N694" t="s">
        <v>835</v>
      </c>
      <c r="O694" t="s">
        <v>188</v>
      </c>
      <c r="P694" t="s">
        <v>189</v>
      </c>
      <c r="Q694" t="s">
        <v>190</v>
      </c>
      <c r="R694">
        <v>37754.06</v>
      </c>
      <c r="S694">
        <v>7</v>
      </c>
      <c r="T694">
        <v>0.05</v>
      </c>
      <c r="U694">
        <v>3924.53</v>
      </c>
    </row>
    <row r="695" spans="1:21">
      <c r="A695">
        <v>1206</v>
      </c>
      <c r="B695" t="s">
        <v>1432</v>
      </c>
      <c r="C695" s="1">
        <v>45520</v>
      </c>
      <c r="D695" s="1">
        <v>45525</v>
      </c>
      <c r="E695" t="s">
        <v>22</v>
      </c>
      <c r="F695" t="s">
        <v>1124</v>
      </c>
      <c r="G695" t="s">
        <v>24</v>
      </c>
      <c r="H695" t="s">
        <v>51</v>
      </c>
      <c r="I695" t="s">
        <v>26</v>
      </c>
      <c r="J695" t="s">
        <v>346</v>
      </c>
      <c r="K695" t="s">
        <v>132</v>
      </c>
      <c r="L695" t="s">
        <v>263</v>
      </c>
      <c r="M695" t="s">
        <v>118</v>
      </c>
      <c r="N695" t="s">
        <v>111</v>
      </c>
      <c r="O695" t="s">
        <v>44</v>
      </c>
      <c r="P695" t="s">
        <v>211</v>
      </c>
      <c r="Q695" t="s">
        <v>223</v>
      </c>
      <c r="R695">
        <v>1747.96</v>
      </c>
      <c r="S695">
        <v>1</v>
      </c>
      <c r="T695">
        <v>0</v>
      </c>
      <c r="U695">
        <v>235.54</v>
      </c>
    </row>
    <row r="696" spans="1:21">
      <c r="A696">
        <v>1035</v>
      </c>
      <c r="B696" t="s">
        <v>1433</v>
      </c>
      <c r="C696" s="1">
        <v>45471</v>
      </c>
      <c r="D696" s="1">
        <v>45474</v>
      </c>
      <c r="E696" t="s">
        <v>69</v>
      </c>
      <c r="F696" t="s">
        <v>583</v>
      </c>
      <c r="G696" t="s">
        <v>229</v>
      </c>
      <c r="H696" t="s">
        <v>51</v>
      </c>
      <c r="I696" t="s">
        <v>26</v>
      </c>
      <c r="J696" t="s">
        <v>346</v>
      </c>
      <c r="K696" t="s">
        <v>132</v>
      </c>
      <c r="L696" t="s">
        <v>92</v>
      </c>
      <c r="M696" t="s">
        <v>118</v>
      </c>
      <c r="N696" t="s">
        <v>1434</v>
      </c>
      <c r="O696" t="s">
        <v>188</v>
      </c>
      <c r="P696" t="s">
        <v>189</v>
      </c>
      <c r="Q696" t="s">
        <v>386</v>
      </c>
      <c r="R696">
        <v>1435.17</v>
      </c>
      <c r="S696">
        <v>1</v>
      </c>
      <c r="T696">
        <v>0.3</v>
      </c>
      <c r="U696">
        <v>-116</v>
      </c>
    </row>
    <row r="697" spans="1:21">
      <c r="A697">
        <v>1509</v>
      </c>
      <c r="B697" t="s">
        <v>1435</v>
      </c>
      <c r="C697" s="1">
        <v>45553</v>
      </c>
      <c r="D697" s="1">
        <v>45558</v>
      </c>
      <c r="E697" t="s">
        <v>69</v>
      </c>
      <c r="F697" t="s">
        <v>678</v>
      </c>
      <c r="G697" t="s">
        <v>136</v>
      </c>
      <c r="H697" t="s">
        <v>25</v>
      </c>
      <c r="I697" t="s">
        <v>26</v>
      </c>
      <c r="J697" t="s">
        <v>160</v>
      </c>
      <c r="K697" t="s">
        <v>161</v>
      </c>
      <c r="L697" t="s">
        <v>29</v>
      </c>
      <c r="M697" t="s">
        <v>74</v>
      </c>
      <c r="N697" t="s">
        <v>137</v>
      </c>
      <c r="O697" t="s">
        <v>240</v>
      </c>
      <c r="P697" t="s">
        <v>182</v>
      </c>
      <c r="Q697" t="s">
        <v>183</v>
      </c>
      <c r="R697">
        <v>320.25</v>
      </c>
      <c r="S697">
        <v>1</v>
      </c>
      <c r="T697">
        <v>0.25</v>
      </c>
      <c r="U697">
        <v>12.42</v>
      </c>
    </row>
    <row r="698" spans="1:21">
      <c r="A698">
        <v>1428</v>
      </c>
      <c r="B698" t="s">
        <v>1436</v>
      </c>
      <c r="C698" s="1">
        <v>45647</v>
      </c>
      <c r="D698" s="1">
        <v>45651</v>
      </c>
      <c r="E698" t="s">
        <v>101</v>
      </c>
      <c r="F698" t="s">
        <v>931</v>
      </c>
      <c r="G698" t="s">
        <v>165</v>
      </c>
      <c r="H698" t="s">
        <v>108</v>
      </c>
      <c r="I698" t="s">
        <v>26</v>
      </c>
      <c r="J698" t="s">
        <v>27</v>
      </c>
      <c r="K698" t="s">
        <v>28</v>
      </c>
      <c r="L698" t="s">
        <v>92</v>
      </c>
      <c r="M698" t="s">
        <v>127</v>
      </c>
      <c r="N698" t="s">
        <v>1437</v>
      </c>
      <c r="O698" t="s">
        <v>138</v>
      </c>
      <c r="P698" t="s">
        <v>121</v>
      </c>
      <c r="Q698" t="s">
        <v>122</v>
      </c>
      <c r="R698">
        <v>3158.61</v>
      </c>
      <c r="S698">
        <v>6</v>
      </c>
      <c r="T698">
        <v>0.15</v>
      </c>
      <c r="U698">
        <v>273.69</v>
      </c>
    </row>
    <row r="699" spans="1:21">
      <c r="A699">
        <v>1455</v>
      </c>
      <c r="B699" t="s">
        <v>1438</v>
      </c>
      <c r="C699" s="1">
        <v>45650</v>
      </c>
      <c r="D699" s="1">
        <v>45655</v>
      </c>
      <c r="E699" t="s">
        <v>101</v>
      </c>
      <c r="F699" t="s">
        <v>355</v>
      </c>
      <c r="G699" t="s">
        <v>174</v>
      </c>
      <c r="H699" t="s">
        <v>25</v>
      </c>
      <c r="I699" t="s">
        <v>26</v>
      </c>
      <c r="J699" t="s">
        <v>115</v>
      </c>
      <c r="K699" t="s">
        <v>116</v>
      </c>
      <c r="L699" t="s">
        <v>41</v>
      </c>
      <c r="M699" t="s">
        <v>30</v>
      </c>
      <c r="N699" t="s">
        <v>1439</v>
      </c>
      <c r="O699" t="s">
        <v>94</v>
      </c>
      <c r="P699" t="s">
        <v>45</v>
      </c>
      <c r="Q699" t="s">
        <v>46</v>
      </c>
      <c r="R699">
        <v>88266.41</v>
      </c>
      <c r="S699">
        <v>3</v>
      </c>
      <c r="T699">
        <v>0.15</v>
      </c>
      <c r="U699">
        <v>1036.96</v>
      </c>
    </row>
    <row r="700" spans="1:21">
      <c r="A700">
        <v>1367</v>
      </c>
      <c r="B700" t="s">
        <v>1440</v>
      </c>
      <c r="C700" s="1">
        <v>45338</v>
      </c>
      <c r="D700" s="1">
        <v>45343</v>
      </c>
      <c r="E700" t="s">
        <v>48</v>
      </c>
      <c r="F700" t="s">
        <v>373</v>
      </c>
      <c r="G700" t="s">
        <v>136</v>
      </c>
      <c r="H700" t="s">
        <v>38</v>
      </c>
      <c r="I700" t="s">
        <v>26</v>
      </c>
      <c r="J700" t="s">
        <v>346</v>
      </c>
      <c r="K700" t="s">
        <v>132</v>
      </c>
      <c r="L700" t="s">
        <v>92</v>
      </c>
      <c r="M700" t="s">
        <v>81</v>
      </c>
      <c r="N700" t="s">
        <v>1345</v>
      </c>
      <c r="O700" t="s">
        <v>44</v>
      </c>
      <c r="P700" t="s">
        <v>45</v>
      </c>
      <c r="Q700" t="s">
        <v>46</v>
      </c>
      <c r="R700">
        <v>36951.54</v>
      </c>
      <c r="S700">
        <v>1</v>
      </c>
      <c r="T700">
        <v>0</v>
      </c>
      <c r="U700">
        <v>4111.55</v>
      </c>
    </row>
    <row r="701" spans="1:21">
      <c r="A701">
        <v>1092</v>
      </c>
      <c r="B701" t="s">
        <v>1441</v>
      </c>
      <c r="C701" s="1">
        <v>45592</v>
      </c>
      <c r="D701" s="1">
        <v>45595</v>
      </c>
      <c r="E701" t="s">
        <v>101</v>
      </c>
      <c r="F701" t="s">
        <v>23</v>
      </c>
      <c r="G701" t="s">
        <v>78</v>
      </c>
      <c r="H701" t="s">
        <v>51</v>
      </c>
      <c r="I701" t="s">
        <v>26</v>
      </c>
      <c r="J701" t="s">
        <v>115</v>
      </c>
      <c r="K701" t="s">
        <v>116</v>
      </c>
      <c r="L701" t="s">
        <v>29</v>
      </c>
      <c r="M701" t="s">
        <v>127</v>
      </c>
      <c r="N701" t="s">
        <v>495</v>
      </c>
      <c r="O701" t="s">
        <v>120</v>
      </c>
      <c r="P701" t="s">
        <v>156</v>
      </c>
      <c r="Q701" t="s">
        <v>157</v>
      </c>
      <c r="R701">
        <v>324.66000000000003</v>
      </c>
      <c r="S701">
        <v>1</v>
      </c>
      <c r="T701">
        <v>0.2</v>
      </c>
      <c r="U701">
        <v>27.01</v>
      </c>
    </row>
    <row r="702" spans="1:21">
      <c r="A702">
        <v>1340</v>
      </c>
      <c r="B702" t="s">
        <v>1442</v>
      </c>
      <c r="D702" s="1">
        <v>45473</v>
      </c>
      <c r="E702" t="s">
        <v>69</v>
      </c>
      <c r="F702" t="s">
        <v>1118</v>
      </c>
      <c r="G702" t="s">
        <v>136</v>
      </c>
      <c r="H702" t="s">
        <v>25</v>
      </c>
      <c r="I702" t="s">
        <v>26</v>
      </c>
      <c r="J702" t="s">
        <v>109</v>
      </c>
      <c r="K702" t="s">
        <v>110</v>
      </c>
      <c r="L702" t="s">
        <v>29</v>
      </c>
      <c r="M702" t="s">
        <v>81</v>
      </c>
      <c r="N702" t="s">
        <v>1428</v>
      </c>
      <c r="O702" t="s">
        <v>55</v>
      </c>
      <c r="P702" t="s">
        <v>98</v>
      </c>
      <c r="Q702" t="s">
        <v>99</v>
      </c>
      <c r="R702">
        <v>18577.990000000002</v>
      </c>
      <c r="S702">
        <v>3</v>
      </c>
      <c r="T702">
        <v>0.1</v>
      </c>
      <c r="U702">
        <v>2087.4499999999998</v>
      </c>
    </row>
    <row r="703" spans="1:21">
      <c r="A703">
        <v>1565</v>
      </c>
      <c r="B703" t="s">
        <v>1443</v>
      </c>
      <c r="C703" s="1">
        <v>45321</v>
      </c>
      <c r="D703" s="1">
        <v>45326</v>
      </c>
      <c r="E703" t="s">
        <v>69</v>
      </c>
      <c r="F703" t="s">
        <v>146</v>
      </c>
      <c r="G703" t="s">
        <v>125</v>
      </c>
      <c r="H703" t="s">
        <v>51</v>
      </c>
      <c r="I703" t="s">
        <v>26</v>
      </c>
      <c r="J703" t="s">
        <v>115</v>
      </c>
      <c r="K703" t="s">
        <v>116</v>
      </c>
      <c r="L703" t="s">
        <v>263</v>
      </c>
      <c r="M703" t="s">
        <v>81</v>
      </c>
      <c r="N703" t="s">
        <v>666</v>
      </c>
      <c r="O703" t="s">
        <v>144</v>
      </c>
      <c r="P703" t="s">
        <v>66</v>
      </c>
      <c r="Q703" t="s">
        <v>67</v>
      </c>
      <c r="R703">
        <v>8326.86</v>
      </c>
      <c r="S703">
        <v>1</v>
      </c>
      <c r="T703">
        <v>0</v>
      </c>
      <c r="U703">
        <v>1172.26</v>
      </c>
    </row>
    <row r="704" spans="1:21">
      <c r="A704">
        <v>1346</v>
      </c>
      <c r="B704" t="s">
        <v>1444</v>
      </c>
      <c r="C704" s="1">
        <v>45482</v>
      </c>
      <c r="D704" s="1">
        <v>45543</v>
      </c>
      <c r="E704" t="s">
        <v>69</v>
      </c>
      <c r="F704" t="s">
        <v>113</v>
      </c>
      <c r="G704" t="s">
        <v>37</v>
      </c>
      <c r="H704" t="s">
        <v>25</v>
      </c>
      <c r="I704" t="s">
        <v>26</v>
      </c>
      <c r="J704" t="s">
        <v>72</v>
      </c>
      <c r="K704" t="s">
        <v>73</v>
      </c>
      <c r="L704" t="s">
        <v>29</v>
      </c>
      <c r="M704" t="s">
        <v>118</v>
      </c>
      <c r="N704" t="s">
        <v>1205</v>
      </c>
      <c r="O704" t="s">
        <v>83</v>
      </c>
      <c r="P704" t="s">
        <v>84</v>
      </c>
      <c r="Q704" t="s">
        <v>85</v>
      </c>
      <c r="R704">
        <v>8862.7099999999991</v>
      </c>
      <c r="S704">
        <v>3</v>
      </c>
      <c r="T704">
        <v>0.05</v>
      </c>
      <c r="U704">
        <v>1855.77</v>
      </c>
    </row>
    <row r="705" spans="1:21">
      <c r="A705">
        <v>1242</v>
      </c>
      <c r="B705" t="s">
        <v>1445</v>
      </c>
      <c r="C705" s="1">
        <v>45628</v>
      </c>
      <c r="D705" s="1">
        <v>45634</v>
      </c>
      <c r="E705" t="s">
        <v>48</v>
      </c>
      <c r="F705" t="s">
        <v>633</v>
      </c>
      <c r="G705" t="s">
        <v>125</v>
      </c>
      <c r="H705" t="s">
        <v>389</v>
      </c>
      <c r="I705" t="s">
        <v>26</v>
      </c>
      <c r="J705" t="s">
        <v>52</v>
      </c>
      <c r="K705" t="s">
        <v>52</v>
      </c>
      <c r="L705" t="s">
        <v>53</v>
      </c>
      <c r="M705" t="s">
        <v>170</v>
      </c>
      <c r="N705" t="s">
        <v>75</v>
      </c>
      <c r="O705" t="s">
        <v>120</v>
      </c>
      <c r="P705" t="s">
        <v>139</v>
      </c>
      <c r="Q705" t="s">
        <v>140</v>
      </c>
      <c r="R705">
        <v>848.78</v>
      </c>
      <c r="S705">
        <v>1</v>
      </c>
      <c r="T705">
        <v>0.1</v>
      </c>
      <c r="U705">
        <v>121.89</v>
      </c>
    </row>
    <row r="706" spans="1:21">
      <c r="A706">
        <v>1014</v>
      </c>
      <c r="B706" t="s">
        <v>1446</v>
      </c>
      <c r="C706" s="1">
        <v>45349</v>
      </c>
      <c r="D706" s="1">
        <v>45352</v>
      </c>
      <c r="E706" t="s">
        <v>48</v>
      </c>
      <c r="F706" t="s">
        <v>395</v>
      </c>
      <c r="G706" t="s">
        <v>229</v>
      </c>
      <c r="H706" t="s">
        <v>51</v>
      </c>
      <c r="I706" t="s">
        <v>26</v>
      </c>
      <c r="J706" t="s">
        <v>52</v>
      </c>
      <c r="K706" t="s">
        <v>52</v>
      </c>
      <c r="L706" t="s">
        <v>92</v>
      </c>
      <c r="M706" t="s">
        <v>170</v>
      </c>
      <c r="N706" t="s">
        <v>1447</v>
      </c>
      <c r="O706" t="s">
        <v>188</v>
      </c>
      <c r="P706" t="s">
        <v>189</v>
      </c>
      <c r="Q706" t="s">
        <v>190</v>
      </c>
      <c r="R706">
        <v>11042.59</v>
      </c>
      <c r="S706">
        <v>2</v>
      </c>
      <c r="T706">
        <v>0</v>
      </c>
      <c r="U706">
        <v>1445.75</v>
      </c>
    </row>
    <row r="707" spans="1:21">
      <c r="A707">
        <v>1316</v>
      </c>
      <c r="B707" t="s">
        <v>1448</v>
      </c>
      <c r="C707" s="1">
        <v>45652</v>
      </c>
      <c r="D707" s="1">
        <v>45653</v>
      </c>
      <c r="E707" t="s">
        <v>101</v>
      </c>
      <c r="G707" t="s">
        <v>60</v>
      </c>
      <c r="H707" t="s">
        <v>108</v>
      </c>
      <c r="I707" t="s">
        <v>26</v>
      </c>
      <c r="J707" t="s">
        <v>52</v>
      </c>
      <c r="K707" t="s">
        <v>52</v>
      </c>
      <c r="L707" t="s">
        <v>29</v>
      </c>
      <c r="M707" t="s">
        <v>30</v>
      </c>
      <c r="N707" t="s">
        <v>599</v>
      </c>
      <c r="O707" t="s">
        <v>188</v>
      </c>
      <c r="P707" t="s">
        <v>189</v>
      </c>
      <c r="Q707" t="s">
        <v>190</v>
      </c>
      <c r="R707">
        <v>8397.18</v>
      </c>
      <c r="S707">
        <v>2</v>
      </c>
      <c r="T707">
        <v>0.3</v>
      </c>
      <c r="U707">
        <v>-653.66999999999996</v>
      </c>
    </row>
    <row r="708" spans="1:21">
      <c r="A708">
        <v>1601</v>
      </c>
      <c r="B708" t="s">
        <v>1449</v>
      </c>
      <c r="C708" s="1">
        <v>45407</v>
      </c>
      <c r="D708" s="1">
        <v>45410</v>
      </c>
      <c r="E708" t="s">
        <v>48</v>
      </c>
      <c r="F708" t="s">
        <v>177</v>
      </c>
      <c r="G708" t="s">
        <v>78</v>
      </c>
      <c r="H708" t="s">
        <v>310</v>
      </c>
      <c r="I708" t="s">
        <v>26</v>
      </c>
      <c r="J708" t="s">
        <v>72</v>
      </c>
      <c r="K708" t="s">
        <v>73</v>
      </c>
      <c r="L708" t="s">
        <v>29</v>
      </c>
      <c r="M708" t="s">
        <v>42</v>
      </c>
      <c r="N708" t="s">
        <v>1450</v>
      </c>
      <c r="O708" t="s">
        <v>138</v>
      </c>
      <c r="P708" t="s">
        <v>121</v>
      </c>
      <c r="Q708" t="s">
        <v>122</v>
      </c>
      <c r="R708" t="s">
        <v>1451</v>
      </c>
      <c r="S708">
        <v>3</v>
      </c>
      <c r="T708">
        <v>0.1</v>
      </c>
      <c r="U708">
        <v>188.07</v>
      </c>
    </row>
    <row r="709" spans="1:21">
      <c r="A709">
        <v>1388</v>
      </c>
      <c r="B709" t="s">
        <v>1452</v>
      </c>
      <c r="C709" s="1">
        <v>45612</v>
      </c>
      <c r="D709" s="1">
        <v>45613</v>
      </c>
      <c r="E709" t="s">
        <v>69</v>
      </c>
      <c r="F709" t="s">
        <v>70</v>
      </c>
      <c r="G709" t="s">
        <v>125</v>
      </c>
      <c r="H709" t="s">
        <v>51</v>
      </c>
      <c r="I709" t="s">
        <v>26</v>
      </c>
      <c r="J709" t="s">
        <v>226</v>
      </c>
      <c r="K709" t="s">
        <v>110</v>
      </c>
      <c r="L709" t="s">
        <v>103</v>
      </c>
      <c r="M709" t="s">
        <v>127</v>
      </c>
      <c r="N709" t="s">
        <v>128</v>
      </c>
      <c r="O709" t="s">
        <v>138</v>
      </c>
      <c r="P709" t="s">
        <v>121</v>
      </c>
      <c r="Q709" t="s">
        <v>122</v>
      </c>
      <c r="R709">
        <v>680.92</v>
      </c>
      <c r="S709">
        <v>1</v>
      </c>
      <c r="T709">
        <v>0</v>
      </c>
      <c r="U709">
        <v>112.35</v>
      </c>
    </row>
    <row r="710" spans="1:21">
      <c r="A710">
        <v>1274</v>
      </c>
      <c r="B710" t="s">
        <v>1453</v>
      </c>
      <c r="C710" s="1">
        <v>45545</v>
      </c>
      <c r="D710" s="1">
        <v>45549</v>
      </c>
      <c r="E710" t="s">
        <v>22</v>
      </c>
      <c r="F710" t="s">
        <v>395</v>
      </c>
      <c r="G710" t="s">
        <v>165</v>
      </c>
      <c r="H710" t="s">
        <v>51</v>
      </c>
      <c r="I710" t="s">
        <v>26</v>
      </c>
      <c r="J710" t="s">
        <v>115</v>
      </c>
      <c r="K710" t="s">
        <v>116</v>
      </c>
      <c r="L710" t="s">
        <v>41</v>
      </c>
      <c r="M710" t="s">
        <v>170</v>
      </c>
      <c r="N710" t="s">
        <v>1454</v>
      </c>
      <c r="O710" t="s">
        <v>138</v>
      </c>
      <c r="P710" t="s">
        <v>156</v>
      </c>
      <c r="Q710" t="s">
        <v>157</v>
      </c>
      <c r="R710">
        <v>1925.12</v>
      </c>
      <c r="S710">
        <v>6</v>
      </c>
      <c r="T710">
        <v>0.1</v>
      </c>
      <c r="U710">
        <v>282.19</v>
      </c>
    </row>
    <row r="711" spans="1:21">
      <c r="A711">
        <v>1167</v>
      </c>
      <c r="B711" t="s">
        <v>1455</v>
      </c>
      <c r="C711" s="1">
        <v>45595</v>
      </c>
      <c r="D711" s="1">
        <v>45600</v>
      </c>
      <c r="E711" t="s">
        <v>69</v>
      </c>
      <c r="F711" t="s">
        <v>633</v>
      </c>
      <c r="G711" t="s">
        <v>125</v>
      </c>
      <c r="H711" t="s">
        <v>51</v>
      </c>
      <c r="I711" t="s">
        <v>26</v>
      </c>
      <c r="J711" t="s">
        <v>115</v>
      </c>
      <c r="K711" t="s">
        <v>116</v>
      </c>
      <c r="L711" t="s">
        <v>215</v>
      </c>
      <c r="M711" t="s">
        <v>127</v>
      </c>
      <c r="N711" t="s">
        <v>1284</v>
      </c>
      <c r="O711" t="s">
        <v>138</v>
      </c>
      <c r="P711" t="s">
        <v>139</v>
      </c>
      <c r="Q711" t="s">
        <v>140</v>
      </c>
      <c r="R711">
        <v>2497.14</v>
      </c>
      <c r="S711">
        <v>3</v>
      </c>
      <c r="T711">
        <v>0.05</v>
      </c>
      <c r="U711">
        <v>337.98</v>
      </c>
    </row>
    <row r="712" spans="1:21">
      <c r="A712">
        <v>1054</v>
      </c>
      <c r="B712" t="s">
        <v>1178</v>
      </c>
      <c r="C712" s="1">
        <v>45448</v>
      </c>
      <c r="D712" s="1">
        <v>45420</v>
      </c>
      <c r="E712" t="s">
        <v>22</v>
      </c>
      <c r="F712" t="s">
        <v>604</v>
      </c>
      <c r="G712" t="s">
        <v>60</v>
      </c>
      <c r="H712" t="s">
        <v>389</v>
      </c>
      <c r="I712" t="s">
        <v>26</v>
      </c>
      <c r="J712" t="s">
        <v>90</v>
      </c>
      <c r="K712" t="s">
        <v>91</v>
      </c>
      <c r="L712" t="s">
        <v>92</v>
      </c>
      <c r="M712" t="s">
        <v>30</v>
      </c>
      <c r="N712" t="s">
        <v>1179</v>
      </c>
      <c r="O712" t="s">
        <v>44</v>
      </c>
      <c r="P712" t="s">
        <v>45</v>
      </c>
      <c r="Q712" t="s">
        <v>46</v>
      </c>
      <c r="R712">
        <v>141935.22</v>
      </c>
      <c r="S712">
        <v>4</v>
      </c>
      <c r="T712">
        <v>0</v>
      </c>
      <c r="U712">
        <v>17607.82</v>
      </c>
    </row>
    <row r="713" spans="1:21">
      <c r="A713">
        <v>1647</v>
      </c>
      <c r="B713" t="s">
        <v>1456</v>
      </c>
      <c r="C713" s="1">
        <v>45612</v>
      </c>
      <c r="D713" s="1">
        <v>45615</v>
      </c>
      <c r="E713" t="s">
        <v>101</v>
      </c>
      <c r="F713" t="s">
        <v>452</v>
      </c>
      <c r="G713" t="s">
        <v>37</v>
      </c>
      <c r="H713" t="s">
        <v>153</v>
      </c>
      <c r="I713" t="s">
        <v>26</v>
      </c>
      <c r="J713" t="s">
        <v>79</v>
      </c>
      <c r="K713" t="s">
        <v>80</v>
      </c>
      <c r="L713" t="s">
        <v>63</v>
      </c>
      <c r="M713" t="s">
        <v>42</v>
      </c>
      <c r="N713" t="s">
        <v>814</v>
      </c>
      <c r="O713" t="s">
        <v>44</v>
      </c>
      <c r="P713" t="s">
        <v>207</v>
      </c>
      <c r="Q713" t="s">
        <v>208</v>
      </c>
      <c r="R713">
        <v>105123.88</v>
      </c>
      <c r="S713">
        <v>2</v>
      </c>
      <c r="T713">
        <v>0</v>
      </c>
      <c r="U713">
        <v>12659.08</v>
      </c>
    </row>
    <row r="714" spans="1:21">
      <c r="A714">
        <v>1485</v>
      </c>
      <c r="B714" t="s">
        <v>1457</v>
      </c>
      <c r="C714" s="1">
        <v>45579</v>
      </c>
      <c r="D714" s="1">
        <v>45584</v>
      </c>
      <c r="E714" t="s">
        <v>69</v>
      </c>
      <c r="F714" t="s">
        <v>1124</v>
      </c>
      <c r="G714" t="s">
        <v>50</v>
      </c>
      <c r="H714" t="s">
        <v>310</v>
      </c>
      <c r="I714" t="s">
        <v>26</v>
      </c>
      <c r="J714" t="s">
        <v>39</v>
      </c>
      <c r="K714" t="s">
        <v>40</v>
      </c>
      <c r="L714" t="s">
        <v>63</v>
      </c>
      <c r="M714" t="s">
        <v>127</v>
      </c>
      <c r="N714" t="s">
        <v>1176</v>
      </c>
      <c r="O714" t="s">
        <v>138</v>
      </c>
      <c r="P714" t="s">
        <v>121</v>
      </c>
      <c r="Q714" t="s">
        <v>122</v>
      </c>
      <c r="R714">
        <v>1182.43</v>
      </c>
      <c r="S714">
        <v>2</v>
      </c>
      <c r="T714">
        <v>0.1</v>
      </c>
      <c r="U714">
        <v>157.72</v>
      </c>
    </row>
    <row r="715" spans="1:21">
      <c r="A715">
        <v>1741</v>
      </c>
      <c r="B715" t="s">
        <v>1458</v>
      </c>
      <c r="C715" s="1">
        <v>45364</v>
      </c>
      <c r="D715" s="1">
        <v>45367</v>
      </c>
      <c r="E715" t="s">
        <v>69</v>
      </c>
      <c r="F715" t="s">
        <v>274</v>
      </c>
      <c r="G715" t="s">
        <v>107</v>
      </c>
      <c r="H715" t="s">
        <v>51</v>
      </c>
      <c r="I715" t="s">
        <v>26</v>
      </c>
      <c r="J715" t="s">
        <v>109</v>
      </c>
      <c r="K715" t="s">
        <v>110</v>
      </c>
      <c r="L715" t="s">
        <v>29</v>
      </c>
      <c r="M715" t="s">
        <v>170</v>
      </c>
      <c r="N715" t="s">
        <v>1459</v>
      </c>
      <c r="O715" t="s">
        <v>138</v>
      </c>
      <c r="P715" t="s">
        <v>182</v>
      </c>
      <c r="Q715" t="s">
        <v>183</v>
      </c>
      <c r="R715">
        <v>1276.79</v>
      </c>
      <c r="S715">
        <v>3</v>
      </c>
      <c r="T715">
        <v>0.1</v>
      </c>
      <c r="U715">
        <v>139.63999999999999</v>
      </c>
    </row>
    <row r="716" spans="1:21">
      <c r="A716">
        <v>1505</v>
      </c>
      <c r="B716" t="s">
        <v>1460</v>
      </c>
      <c r="C716" s="1">
        <v>45556</v>
      </c>
      <c r="D716" s="1">
        <v>45562</v>
      </c>
      <c r="E716" t="s">
        <v>22</v>
      </c>
      <c r="F716" t="s">
        <v>355</v>
      </c>
      <c r="G716" t="s">
        <v>78</v>
      </c>
      <c r="H716" t="s">
        <v>108</v>
      </c>
      <c r="I716" t="s">
        <v>26</v>
      </c>
      <c r="J716" t="s">
        <v>52</v>
      </c>
      <c r="K716" t="s">
        <v>52</v>
      </c>
      <c r="L716" t="s">
        <v>29</v>
      </c>
      <c r="M716" t="s">
        <v>118</v>
      </c>
      <c r="N716" t="s">
        <v>1461</v>
      </c>
      <c r="O716" t="s">
        <v>55</v>
      </c>
      <c r="P716" t="s">
        <v>98</v>
      </c>
      <c r="Q716" t="s">
        <v>99</v>
      </c>
      <c r="R716">
        <v>4607.75</v>
      </c>
      <c r="S716">
        <v>1</v>
      </c>
      <c r="T716">
        <v>0.25</v>
      </c>
      <c r="U716">
        <v>-11.46</v>
      </c>
    </row>
    <row r="717" spans="1:21">
      <c r="A717">
        <v>1244</v>
      </c>
      <c r="B717" t="s">
        <v>1462</v>
      </c>
      <c r="C717" s="1">
        <v>45468</v>
      </c>
      <c r="D717" s="1">
        <v>45469</v>
      </c>
      <c r="E717" t="s">
        <v>101</v>
      </c>
      <c r="F717" t="s">
        <v>173</v>
      </c>
      <c r="G717" t="s">
        <v>78</v>
      </c>
      <c r="H717" t="s">
        <v>25</v>
      </c>
      <c r="I717" t="s">
        <v>26</v>
      </c>
      <c r="J717" t="s">
        <v>109</v>
      </c>
      <c r="K717" t="s">
        <v>110</v>
      </c>
      <c r="L717" t="s">
        <v>334</v>
      </c>
      <c r="M717" t="s">
        <v>74</v>
      </c>
      <c r="N717" t="s">
        <v>343</v>
      </c>
      <c r="O717" t="s">
        <v>138</v>
      </c>
      <c r="P717" t="s">
        <v>182</v>
      </c>
      <c r="Q717" t="s">
        <v>183</v>
      </c>
      <c r="R717">
        <v>1189.23</v>
      </c>
      <c r="S717">
        <v>3</v>
      </c>
      <c r="T717">
        <v>0.05</v>
      </c>
      <c r="U717">
        <v>177.38</v>
      </c>
    </row>
    <row r="718" spans="1:21">
      <c r="A718">
        <v>1567</v>
      </c>
      <c r="B718" t="s">
        <v>1463</v>
      </c>
      <c r="C718" s="1">
        <v>45646</v>
      </c>
      <c r="D718" s="1">
        <v>45652</v>
      </c>
      <c r="E718" t="s">
        <v>48</v>
      </c>
      <c r="F718" t="s">
        <v>330</v>
      </c>
      <c r="G718" t="s">
        <v>60</v>
      </c>
      <c r="H718" t="s">
        <v>108</v>
      </c>
      <c r="I718" t="s">
        <v>26</v>
      </c>
      <c r="J718" t="s">
        <v>90</v>
      </c>
      <c r="K718" t="s">
        <v>91</v>
      </c>
      <c r="L718" t="s">
        <v>41</v>
      </c>
      <c r="M718" t="s">
        <v>42</v>
      </c>
      <c r="N718" t="s">
        <v>1464</v>
      </c>
      <c r="O718" t="s">
        <v>138</v>
      </c>
      <c r="P718" t="s">
        <v>182</v>
      </c>
      <c r="Q718" t="s">
        <v>183</v>
      </c>
      <c r="R718">
        <v>629.75</v>
      </c>
      <c r="S718">
        <v>2</v>
      </c>
      <c r="T718">
        <v>0.25</v>
      </c>
      <c r="U718">
        <v>20.309999999999999</v>
      </c>
    </row>
    <row r="719" spans="1:21">
      <c r="A719">
        <v>1563</v>
      </c>
      <c r="B719" t="s">
        <v>1465</v>
      </c>
      <c r="C719" s="1">
        <v>45636</v>
      </c>
      <c r="D719" s="1">
        <v>45641</v>
      </c>
      <c r="E719" t="s">
        <v>69</v>
      </c>
      <c r="F719" t="s">
        <v>277</v>
      </c>
      <c r="G719" t="s">
        <v>174</v>
      </c>
      <c r="H719" t="s">
        <v>25</v>
      </c>
      <c r="I719" t="s">
        <v>26</v>
      </c>
      <c r="J719" t="s">
        <v>115</v>
      </c>
      <c r="K719" t="s">
        <v>116</v>
      </c>
      <c r="L719" t="s">
        <v>92</v>
      </c>
      <c r="M719" t="s">
        <v>42</v>
      </c>
      <c r="N719" t="s">
        <v>1466</v>
      </c>
      <c r="O719" t="s">
        <v>138</v>
      </c>
      <c r="P719" t="s">
        <v>156</v>
      </c>
      <c r="Q719" t="s">
        <v>157</v>
      </c>
      <c r="R719">
        <v>700.99</v>
      </c>
      <c r="S719">
        <v>2</v>
      </c>
      <c r="T719">
        <v>0.1</v>
      </c>
      <c r="U719">
        <v>97.04</v>
      </c>
    </row>
    <row r="720" spans="1:21">
      <c r="A720">
        <v>1687</v>
      </c>
      <c r="B720" t="s">
        <v>1467</v>
      </c>
      <c r="C720" s="1">
        <v>45524</v>
      </c>
      <c r="D720" s="1">
        <v>45530</v>
      </c>
      <c r="E720" t="s">
        <v>48</v>
      </c>
      <c r="F720" t="s">
        <v>146</v>
      </c>
      <c r="G720" t="s">
        <v>125</v>
      </c>
      <c r="H720" t="s">
        <v>38</v>
      </c>
      <c r="I720" t="s">
        <v>26</v>
      </c>
      <c r="J720" t="s">
        <v>166</v>
      </c>
      <c r="K720" t="s">
        <v>132</v>
      </c>
      <c r="L720" t="s">
        <v>169</v>
      </c>
      <c r="M720" t="s">
        <v>42</v>
      </c>
      <c r="N720" t="s">
        <v>1468</v>
      </c>
      <c r="O720" t="s">
        <v>44</v>
      </c>
      <c r="P720" t="s">
        <v>207</v>
      </c>
      <c r="Q720" t="s">
        <v>208</v>
      </c>
      <c r="R720">
        <v>192319.69</v>
      </c>
      <c r="S720">
        <v>5</v>
      </c>
      <c r="T720">
        <v>0.3</v>
      </c>
      <c r="U720">
        <v>-16284.06</v>
      </c>
    </row>
    <row r="721" spans="1:21">
      <c r="A721">
        <v>1190</v>
      </c>
      <c r="B721" t="s">
        <v>1469</v>
      </c>
      <c r="C721" s="1">
        <v>45381</v>
      </c>
      <c r="D721" s="1">
        <v>45385</v>
      </c>
      <c r="E721" t="s">
        <v>69</v>
      </c>
      <c r="F721" t="s">
        <v>242</v>
      </c>
      <c r="G721" t="s">
        <v>71</v>
      </c>
      <c r="H721" t="s">
        <v>389</v>
      </c>
      <c r="I721" t="s">
        <v>26</v>
      </c>
      <c r="J721" t="s">
        <v>72</v>
      </c>
      <c r="K721" t="s">
        <v>73</v>
      </c>
      <c r="L721" t="s">
        <v>263</v>
      </c>
      <c r="M721" t="s">
        <v>127</v>
      </c>
      <c r="N721" t="s">
        <v>1470</v>
      </c>
      <c r="O721" t="s">
        <v>120</v>
      </c>
      <c r="P721" t="s">
        <v>121</v>
      </c>
      <c r="Q721" t="s">
        <v>122</v>
      </c>
      <c r="R721">
        <v>3413.52</v>
      </c>
      <c r="S721">
        <v>5</v>
      </c>
      <c r="T721">
        <v>0.85</v>
      </c>
      <c r="U721">
        <v>608.24</v>
      </c>
    </row>
    <row r="722" spans="1:21">
      <c r="A722">
        <v>1700</v>
      </c>
      <c r="B722" t="s">
        <v>1471</v>
      </c>
      <c r="C722" s="1">
        <v>45305</v>
      </c>
      <c r="D722" s="1">
        <v>45307</v>
      </c>
      <c r="E722" t="s">
        <v>101</v>
      </c>
      <c r="F722" t="s">
        <v>411</v>
      </c>
      <c r="G722" t="s">
        <v>60</v>
      </c>
      <c r="H722" t="s">
        <v>51</v>
      </c>
      <c r="I722" t="s">
        <v>26</v>
      </c>
      <c r="J722" t="s">
        <v>346</v>
      </c>
      <c r="K722" t="s">
        <v>132</v>
      </c>
      <c r="L722" t="s">
        <v>154</v>
      </c>
      <c r="M722" t="s">
        <v>118</v>
      </c>
      <c r="N722" t="s">
        <v>1472</v>
      </c>
      <c r="O722" t="s">
        <v>94</v>
      </c>
      <c r="P722" t="s">
        <v>211</v>
      </c>
      <c r="Q722" t="s">
        <v>223</v>
      </c>
      <c r="R722">
        <v>1650.36</v>
      </c>
      <c r="S722">
        <v>1</v>
      </c>
      <c r="T722">
        <v>0.1</v>
      </c>
      <c r="U722">
        <v>81.94</v>
      </c>
    </row>
    <row r="723" spans="1:21">
      <c r="A723">
        <v>1476</v>
      </c>
      <c r="B723" t="s">
        <v>1473</v>
      </c>
      <c r="C723" s="1">
        <v>45573</v>
      </c>
      <c r="D723" s="1">
        <v>45579</v>
      </c>
      <c r="E723" t="s">
        <v>48</v>
      </c>
      <c r="F723" t="s">
        <v>203</v>
      </c>
      <c r="G723" t="s">
        <v>165</v>
      </c>
      <c r="H723" t="s">
        <v>51</v>
      </c>
      <c r="I723" t="s">
        <v>26</v>
      </c>
      <c r="J723" t="s">
        <v>226</v>
      </c>
      <c r="K723" t="s">
        <v>110</v>
      </c>
      <c r="L723" t="s">
        <v>29</v>
      </c>
      <c r="M723" t="s">
        <v>118</v>
      </c>
      <c r="N723" t="s">
        <v>1474</v>
      </c>
      <c r="O723" t="s">
        <v>138</v>
      </c>
      <c r="P723" t="s">
        <v>139</v>
      </c>
      <c r="Q723" t="s">
        <v>140</v>
      </c>
      <c r="R723">
        <v>2171.88</v>
      </c>
      <c r="S723">
        <v>3</v>
      </c>
      <c r="T723">
        <v>0.25</v>
      </c>
      <c r="U723">
        <v>88.17</v>
      </c>
    </row>
    <row r="724" spans="1:21">
      <c r="A724">
        <v>1682</v>
      </c>
      <c r="B724" t="s">
        <v>1475</v>
      </c>
      <c r="C724" s="1">
        <v>45453</v>
      </c>
      <c r="D724" s="1">
        <v>45459</v>
      </c>
      <c r="E724" t="s">
        <v>101</v>
      </c>
      <c r="F724" t="s">
        <v>417</v>
      </c>
      <c r="G724" t="s">
        <v>60</v>
      </c>
      <c r="H724" t="s">
        <v>310</v>
      </c>
      <c r="I724" t="s">
        <v>26</v>
      </c>
      <c r="J724" t="s">
        <v>27</v>
      </c>
      <c r="K724" t="s">
        <v>28</v>
      </c>
      <c r="L724" t="s">
        <v>29</v>
      </c>
      <c r="M724" t="s">
        <v>74</v>
      </c>
      <c r="N724" t="s">
        <v>1476</v>
      </c>
      <c r="O724" t="s">
        <v>188</v>
      </c>
      <c r="P724" t="s">
        <v>189</v>
      </c>
      <c r="Q724" t="s">
        <v>190</v>
      </c>
      <c r="R724">
        <v>11236.81</v>
      </c>
      <c r="S724">
        <v>2</v>
      </c>
      <c r="T724">
        <v>0.05</v>
      </c>
      <c r="U724">
        <v>1167.6600000000001</v>
      </c>
    </row>
    <row r="725" spans="1:21">
      <c r="A725">
        <v>1511</v>
      </c>
      <c r="B725" t="s">
        <v>1477</v>
      </c>
      <c r="C725" s="1">
        <v>45352</v>
      </c>
      <c r="D725" s="1">
        <v>45354</v>
      </c>
      <c r="E725" t="s">
        <v>69</v>
      </c>
      <c r="F725" t="s">
        <v>180</v>
      </c>
      <c r="G725" t="s">
        <v>114</v>
      </c>
      <c r="H725" t="s">
        <v>25</v>
      </c>
      <c r="I725" t="s">
        <v>26</v>
      </c>
      <c r="J725" t="s">
        <v>115</v>
      </c>
      <c r="K725" t="s">
        <v>116</v>
      </c>
      <c r="L725" t="s">
        <v>63</v>
      </c>
      <c r="M725" t="s">
        <v>74</v>
      </c>
      <c r="N725" t="s">
        <v>1478</v>
      </c>
      <c r="O725" t="s">
        <v>83</v>
      </c>
      <c r="P725" t="s">
        <v>33</v>
      </c>
      <c r="Q725" t="s">
        <v>34</v>
      </c>
      <c r="R725">
        <v>2744.02</v>
      </c>
      <c r="S725">
        <v>2</v>
      </c>
      <c r="T725">
        <v>0.05</v>
      </c>
      <c r="U725">
        <v>536.35</v>
      </c>
    </row>
    <row r="726" spans="1:21">
      <c r="A726">
        <v>1059</v>
      </c>
      <c r="B726" t="s">
        <v>1479</v>
      </c>
      <c r="C726" s="1">
        <v>45607</v>
      </c>
      <c r="D726" s="1">
        <v>45612</v>
      </c>
      <c r="E726" t="s">
        <v>101</v>
      </c>
      <c r="F726" t="s">
        <v>598</v>
      </c>
      <c r="G726" t="s">
        <v>37</v>
      </c>
      <c r="H726" t="s">
        <v>25</v>
      </c>
      <c r="I726" t="s">
        <v>26</v>
      </c>
      <c r="J726" t="s">
        <v>109</v>
      </c>
      <c r="K726" t="s">
        <v>110</v>
      </c>
      <c r="L726" t="s">
        <v>63</v>
      </c>
      <c r="M726" t="s">
        <v>42</v>
      </c>
      <c r="N726" t="s">
        <v>1480</v>
      </c>
      <c r="O726" t="s">
        <v>44</v>
      </c>
      <c r="P726" t="s">
        <v>211</v>
      </c>
      <c r="Q726" t="s">
        <v>212</v>
      </c>
      <c r="R726">
        <v>7486.91</v>
      </c>
      <c r="S726">
        <v>7</v>
      </c>
      <c r="T726">
        <v>0.15</v>
      </c>
      <c r="U726">
        <v>78.92</v>
      </c>
    </row>
    <row r="727" spans="1:21">
      <c r="A727">
        <v>1475</v>
      </c>
      <c r="B727" t="s">
        <v>1481</v>
      </c>
      <c r="C727" s="1">
        <v>45573</v>
      </c>
      <c r="D727" s="1">
        <v>45576</v>
      </c>
      <c r="E727" t="s">
        <v>48</v>
      </c>
      <c r="F727" t="s">
        <v>271</v>
      </c>
      <c r="G727" t="s">
        <v>147</v>
      </c>
      <c r="H727" t="s">
        <v>51</v>
      </c>
      <c r="I727" t="s">
        <v>26</v>
      </c>
      <c r="J727" t="s">
        <v>52</v>
      </c>
      <c r="K727" t="s">
        <v>52</v>
      </c>
      <c r="L727" t="s">
        <v>29</v>
      </c>
      <c r="M727" t="s">
        <v>127</v>
      </c>
      <c r="N727" t="s">
        <v>1482</v>
      </c>
      <c r="O727" t="s">
        <v>138</v>
      </c>
      <c r="P727" t="s">
        <v>139</v>
      </c>
      <c r="Q727" t="s">
        <v>140</v>
      </c>
      <c r="R727">
        <v>1610.93</v>
      </c>
      <c r="S727">
        <v>2</v>
      </c>
      <c r="T727">
        <v>0.2</v>
      </c>
      <c r="U727">
        <v>118.26</v>
      </c>
    </row>
    <row r="728" spans="1:21">
      <c r="A728">
        <v>1561</v>
      </c>
      <c r="B728" t="s">
        <v>1483</v>
      </c>
      <c r="C728" s="1">
        <v>45298</v>
      </c>
      <c r="D728" s="1">
        <v>45301</v>
      </c>
      <c r="E728" t="s">
        <v>101</v>
      </c>
      <c r="F728" t="s">
        <v>678</v>
      </c>
      <c r="G728" t="s">
        <v>125</v>
      </c>
      <c r="H728" t="s">
        <v>153</v>
      </c>
      <c r="I728" t="s">
        <v>26</v>
      </c>
      <c r="J728" t="s">
        <v>160</v>
      </c>
      <c r="K728" t="s">
        <v>161</v>
      </c>
      <c r="L728" t="s">
        <v>63</v>
      </c>
      <c r="M728" t="s">
        <v>170</v>
      </c>
      <c r="N728" t="s">
        <v>480</v>
      </c>
      <c r="O728" t="s">
        <v>55</v>
      </c>
      <c r="P728" t="s">
        <v>98</v>
      </c>
      <c r="Q728" t="s">
        <v>99</v>
      </c>
      <c r="R728">
        <v>5098.5600000000004</v>
      </c>
      <c r="S728">
        <v>1</v>
      </c>
      <c r="T728">
        <v>0.25</v>
      </c>
      <c r="U728">
        <v>-15.65</v>
      </c>
    </row>
    <row r="729" spans="1:21">
      <c r="A729">
        <v>1253</v>
      </c>
      <c r="B729" t="s">
        <v>1484</v>
      </c>
      <c r="C729" s="1">
        <v>45576</v>
      </c>
      <c r="D729" s="1">
        <v>45578</v>
      </c>
      <c r="E729" t="s">
        <v>101</v>
      </c>
      <c r="F729" t="s">
        <v>1014</v>
      </c>
      <c r="G729" t="s">
        <v>60</v>
      </c>
      <c r="H729" t="s">
        <v>25</v>
      </c>
      <c r="I729" t="s">
        <v>26</v>
      </c>
      <c r="J729" t="s">
        <v>90</v>
      </c>
      <c r="K729" t="s">
        <v>91</v>
      </c>
      <c r="L729" t="s">
        <v>92</v>
      </c>
      <c r="M729" t="s">
        <v>42</v>
      </c>
      <c r="N729" t="s">
        <v>1472</v>
      </c>
      <c r="O729" t="s">
        <v>120</v>
      </c>
      <c r="P729" t="s">
        <v>121</v>
      </c>
      <c r="Q729" t="s">
        <v>122</v>
      </c>
      <c r="R729">
        <v>1907.25</v>
      </c>
      <c r="S729">
        <v>3</v>
      </c>
      <c r="T729">
        <v>0.05</v>
      </c>
      <c r="U729">
        <v>265.57</v>
      </c>
    </row>
    <row r="730" spans="1:21">
      <c r="A730">
        <v>1022</v>
      </c>
      <c r="B730" t="s">
        <v>1485</v>
      </c>
      <c r="C730" s="1">
        <v>45497</v>
      </c>
      <c r="D730" s="1">
        <v>45498</v>
      </c>
      <c r="E730" t="s">
        <v>69</v>
      </c>
      <c r="F730" t="s">
        <v>678</v>
      </c>
      <c r="G730" t="s">
        <v>229</v>
      </c>
      <c r="H730" t="s">
        <v>51</v>
      </c>
      <c r="I730" t="s">
        <v>26</v>
      </c>
      <c r="J730" t="s">
        <v>61</v>
      </c>
      <c r="K730" t="s">
        <v>62</v>
      </c>
      <c r="L730" t="s">
        <v>29</v>
      </c>
      <c r="M730" t="s">
        <v>42</v>
      </c>
      <c r="N730" t="s">
        <v>934</v>
      </c>
      <c r="O730" t="s">
        <v>44</v>
      </c>
      <c r="P730" t="s">
        <v>211</v>
      </c>
      <c r="Q730" t="s">
        <v>223</v>
      </c>
      <c r="R730">
        <v>4497.9399999999996</v>
      </c>
      <c r="S730">
        <v>3</v>
      </c>
      <c r="T730">
        <v>0.1</v>
      </c>
      <c r="U730">
        <v>243.83</v>
      </c>
    </row>
    <row r="731" spans="1:21">
      <c r="A731">
        <v>1314</v>
      </c>
      <c r="B731" t="s">
        <v>1486</v>
      </c>
      <c r="C731" s="1">
        <v>45587</v>
      </c>
      <c r="D731" s="1">
        <v>45593</v>
      </c>
      <c r="E731" t="s">
        <v>69</v>
      </c>
      <c r="F731" t="s">
        <v>195</v>
      </c>
      <c r="G731" t="s">
        <v>165</v>
      </c>
      <c r="H731" t="s">
        <v>51</v>
      </c>
      <c r="I731" t="s">
        <v>26</v>
      </c>
      <c r="J731" t="s">
        <v>109</v>
      </c>
      <c r="K731" t="s">
        <v>110</v>
      </c>
      <c r="L731" t="s">
        <v>41</v>
      </c>
      <c r="M731" t="s">
        <v>127</v>
      </c>
      <c r="N731" t="s">
        <v>1487</v>
      </c>
      <c r="O731" t="s">
        <v>55</v>
      </c>
      <c r="P731" t="s">
        <v>56</v>
      </c>
      <c r="Q731" t="s">
        <v>57</v>
      </c>
      <c r="R731">
        <v>5009.79</v>
      </c>
      <c r="S731">
        <v>1</v>
      </c>
      <c r="T731">
        <v>0.3</v>
      </c>
      <c r="U731">
        <v>-197.04</v>
      </c>
    </row>
    <row r="732" spans="1:21">
      <c r="A732">
        <v>1460</v>
      </c>
      <c r="B732" t="s">
        <v>1488</v>
      </c>
      <c r="C732" s="1">
        <v>45421</v>
      </c>
      <c r="D732" s="1">
        <v>45425</v>
      </c>
      <c r="E732" t="s">
        <v>48</v>
      </c>
      <c r="F732" t="s">
        <v>59</v>
      </c>
      <c r="G732" t="s">
        <v>174</v>
      </c>
      <c r="H732" t="s">
        <v>51</v>
      </c>
      <c r="I732" t="s">
        <v>26</v>
      </c>
      <c r="J732" t="s">
        <v>90</v>
      </c>
      <c r="K732" t="s">
        <v>91</v>
      </c>
      <c r="L732" t="s">
        <v>41</v>
      </c>
      <c r="M732" t="s">
        <v>127</v>
      </c>
      <c r="N732" t="s">
        <v>1489</v>
      </c>
      <c r="O732" t="s">
        <v>83</v>
      </c>
      <c r="P732" t="s">
        <v>33</v>
      </c>
      <c r="Q732" t="s">
        <v>34</v>
      </c>
      <c r="R732">
        <v>10213.33</v>
      </c>
      <c r="S732">
        <v>7</v>
      </c>
      <c r="T732">
        <v>0</v>
      </c>
    </row>
    <row r="733" spans="1:21">
      <c r="A733">
        <v>1161</v>
      </c>
      <c r="B733" t="s">
        <v>1490</v>
      </c>
      <c r="C733" s="1">
        <v>45519</v>
      </c>
      <c r="D733" s="1">
        <v>45520</v>
      </c>
      <c r="E733" t="s">
        <v>48</v>
      </c>
      <c r="F733" t="s">
        <v>70</v>
      </c>
      <c r="G733" t="s">
        <v>174</v>
      </c>
      <c r="H733" t="s">
        <v>38</v>
      </c>
      <c r="I733" t="s">
        <v>26</v>
      </c>
      <c r="J733" t="s">
        <v>72</v>
      </c>
      <c r="K733" t="s">
        <v>73</v>
      </c>
      <c r="L733" t="s">
        <v>41</v>
      </c>
      <c r="M733" t="s">
        <v>170</v>
      </c>
      <c r="N733" t="s">
        <v>1083</v>
      </c>
      <c r="O733" t="s">
        <v>44</v>
      </c>
      <c r="P733" t="s">
        <v>45</v>
      </c>
      <c r="Q733" t="s">
        <v>46</v>
      </c>
      <c r="R733">
        <v>34469.370000000003</v>
      </c>
      <c r="S733">
        <v>1</v>
      </c>
      <c r="T733">
        <v>0.05</v>
      </c>
      <c r="U733">
        <v>2958.01</v>
      </c>
    </row>
    <row r="734" spans="1:21">
      <c r="A734">
        <v>1277</v>
      </c>
      <c r="B734" t="s">
        <v>1491</v>
      </c>
      <c r="C734" s="1">
        <v>45434</v>
      </c>
      <c r="D734" s="1">
        <v>45435</v>
      </c>
      <c r="E734" t="s">
        <v>48</v>
      </c>
      <c r="F734" t="s">
        <v>285</v>
      </c>
      <c r="G734" t="s">
        <v>136</v>
      </c>
      <c r="H734" t="s">
        <v>89</v>
      </c>
      <c r="I734" t="s">
        <v>26</v>
      </c>
      <c r="J734" t="s">
        <v>109</v>
      </c>
      <c r="K734" t="s">
        <v>110</v>
      </c>
      <c r="L734" t="s">
        <v>92</v>
      </c>
      <c r="M734" t="s">
        <v>127</v>
      </c>
      <c r="N734" t="s">
        <v>1492</v>
      </c>
      <c r="O734" t="s">
        <v>44</v>
      </c>
      <c r="P734" t="s">
        <v>45</v>
      </c>
      <c r="Q734" t="s">
        <v>46</v>
      </c>
      <c r="R734">
        <v>103452.1</v>
      </c>
      <c r="S734">
        <v>3</v>
      </c>
      <c r="T734">
        <v>0.05</v>
      </c>
      <c r="U734">
        <v>8261.82</v>
      </c>
    </row>
    <row r="735" spans="1:21">
      <c r="A735">
        <v>1192</v>
      </c>
      <c r="B735" t="s">
        <v>1493</v>
      </c>
      <c r="C735" s="1">
        <v>45550</v>
      </c>
      <c r="D735" s="1">
        <v>45554</v>
      </c>
      <c r="E735" t="s">
        <v>48</v>
      </c>
      <c r="F735" t="s">
        <v>355</v>
      </c>
      <c r="G735" t="s">
        <v>147</v>
      </c>
      <c r="H735" t="s">
        <v>51</v>
      </c>
      <c r="I735" t="s">
        <v>26</v>
      </c>
      <c r="J735" t="s">
        <v>39</v>
      </c>
      <c r="K735" t="s">
        <v>40</v>
      </c>
      <c r="L735" t="s">
        <v>41</v>
      </c>
      <c r="M735" t="s">
        <v>42</v>
      </c>
      <c r="N735" t="s">
        <v>1357</v>
      </c>
      <c r="O735" t="s">
        <v>138</v>
      </c>
      <c r="P735" t="s">
        <v>156</v>
      </c>
      <c r="Q735" t="s">
        <v>157</v>
      </c>
      <c r="R735">
        <v>1105.3399999999999</v>
      </c>
      <c r="S735">
        <v>3</v>
      </c>
      <c r="T735">
        <v>0.05</v>
      </c>
      <c r="U735">
        <v>220.09</v>
      </c>
    </row>
    <row r="736" spans="1:21">
      <c r="A736">
        <v>1386</v>
      </c>
      <c r="B736" t="s">
        <v>1494</v>
      </c>
      <c r="C736" s="1">
        <v>45312</v>
      </c>
      <c r="D736" s="1">
        <v>45318</v>
      </c>
      <c r="E736" t="s">
        <v>48</v>
      </c>
      <c r="F736" t="s">
        <v>678</v>
      </c>
      <c r="G736" t="s">
        <v>71</v>
      </c>
      <c r="H736" t="s">
        <v>51</v>
      </c>
      <c r="I736" t="s">
        <v>26</v>
      </c>
      <c r="J736" t="s">
        <v>226</v>
      </c>
      <c r="K736" t="s">
        <v>110</v>
      </c>
      <c r="L736" t="s">
        <v>41</v>
      </c>
      <c r="M736" t="s">
        <v>118</v>
      </c>
      <c r="N736" t="s">
        <v>1495</v>
      </c>
      <c r="O736" t="s">
        <v>138</v>
      </c>
      <c r="P736" t="s">
        <v>182</v>
      </c>
      <c r="Q736" t="s">
        <v>183</v>
      </c>
      <c r="R736">
        <v>1139.31</v>
      </c>
      <c r="S736">
        <v>3</v>
      </c>
      <c r="T736">
        <v>0.1</v>
      </c>
      <c r="U736">
        <v>180.45</v>
      </c>
    </row>
    <row r="737" spans="1:21">
      <c r="A737">
        <v>1414</v>
      </c>
      <c r="B737" t="s">
        <v>1496</v>
      </c>
      <c r="C737" s="1">
        <v>45300</v>
      </c>
      <c r="D737" s="1">
        <v>45302</v>
      </c>
      <c r="E737" t="s">
        <v>101</v>
      </c>
      <c r="F737" t="s">
        <v>247</v>
      </c>
      <c r="G737" t="s">
        <v>60</v>
      </c>
      <c r="H737" t="s">
        <v>310</v>
      </c>
      <c r="I737" t="s">
        <v>26</v>
      </c>
      <c r="J737" t="s">
        <v>79</v>
      </c>
      <c r="K737" t="s">
        <v>80</v>
      </c>
      <c r="L737" t="s">
        <v>41</v>
      </c>
      <c r="M737" t="s">
        <v>30</v>
      </c>
      <c r="N737" t="s">
        <v>1497</v>
      </c>
      <c r="O737" t="s">
        <v>44</v>
      </c>
      <c r="P737" t="s">
        <v>45</v>
      </c>
      <c r="Q737" t="s">
        <v>46</v>
      </c>
      <c r="R737">
        <v>70229.91</v>
      </c>
      <c r="S737">
        <v>2</v>
      </c>
      <c r="T737">
        <v>0</v>
      </c>
      <c r="U737">
        <v>7134.12</v>
      </c>
    </row>
    <row r="738" spans="1:21">
      <c r="A738">
        <v>1492</v>
      </c>
      <c r="B738" t="s">
        <v>1498</v>
      </c>
      <c r="C738" s="1">
        <v>45486</v>
      </c>
      <c r="D738" s="1">
        <v>45491</v>
      </c>
      <c r="E738" t="s">
        <v>22</v>
      </c>
      <c r="F738" t="s">
        <v>315</v>
      </c>
      <c r="G738" t="s">
        <v>174</v>
      </c>
      <c r="H738" t="s">
        <v>302</v>
      </c>
      <c r="I738" t="s">
        <v>26</v>
      </c>
      <c r="J738" t="s">
        <v>346</v>
      </c>
      <c r="K738" t="s">
        <v>132</v>
      </c>
      <c r="L738" t="s">
        <v>29</v>
      </c>
      <c r="M738" t="s">
        <v>127</v>
      </c>
      <c r="N738" t="s">
        <v>243</v>
      </c>
      <c r="O738" t="s">
        <v>55</v>
      </c>
      <c r="P738" t="s">
        <v>66</v>
      </c>
      <c r="Q738" t="s">
        <v>67</v>
      </c>
      <c r="R738">
        <v>21505.43</v>
      </c>
      <c r="S738">
        <v>3</v>
      </c>
      <c r="T738" t="s">
        <v>1084</v>
      </c>
      <c r="U738">
        <v>1609.02</v>
      </c>
    </row>
    <row r="739" spans="1:21">
      <c r="A739">
        <v>1344</v>
      </c>
      <c r="B739" t="s">
        <v>1499</v>
      </c>
      <c r="C739" s="1">
        <v>45369</v>
      </c>
      <c r="D739" s="1">
        <v>45371</v>
      </c>
      <c r="E739" t="s">
        <v>69</v>
      </c>
      <c r="F739" t="s">
        <v>361</v>
      </c>
      <c r="G739" t="s">
        <v>37</v>
      </c>
      <c r="H739" t="s">
        <v>51</v>
      </c>
      <c r="I739" t="s">
        <v>26</v>
      </c>
      <c r="J739" t="s">
        <v>61</v>
      </c>
      <c r="K739" t="s">
        <v>62</v>
      </c>
      <c r="L739" t="s">
        <v>29</v>
      </c>
      <c r="M739" t="s">
        <v>30</v>
      </c>
      <c r="N739" t="s">
        <v>747</v>
      </c>
      <c r="O739" t="s">
        <v>138</v>
      </c>
      <c r="P739" t="s">
        <v>156</v>
      </c>
      <c r="Q739" t="s">
        <v>157</v>
      </c>
      <c r="R739">
        <v>768.71</v>
      </c>
      <c r="S739">
        <v>2</v>
      </c>
      <c r="T739">
        <v>0</v>
      </c>
      <c r="U739">
        <v>136.83000000000001</v>
      </c>
    </row>
    <row r="740" spans="1:21">
      <c r="A740">
        <v>1309</v>
      </c>
      <c r="B740" t="s">
        <v>1500</v>
      </c>
      <c r="C740" s="1">
        <v>45619</v>
      </c>
      <c r="D740" s="1">
        <v>45623</v>
      </c>
      <c r="E740" t="s">
        <v>48</v>
      </c>
      <c r="F740" t="s">
        <v>370</v>
      </c>
      <c r="G740" t="s">
        <v>24</v>
      </c>
      <c r="H740" t="s">
        <v>38</v>
      </c>
      <c r="I740" t="s">
        <v>26</v>
      </c>
      <c r="J740" t="s">
        <v>226</v>
      </c>
      <c r="K740" t="s">
        <v>110</v>
      </c>
      <c r="L740" t="s">
        <v>63</v>
      </c>
      <c r="M740" t="s">
        <v>30</v>
      </c>
      <c r="N740" t="s">
        <v>1501</v>
      </c>
      <c r="O740" t="s">
        <v>144</v>
      </c>
      <c r="P740" t="s">
        <v>66</v>
      </c>
      <c r="Q740" t="s">
        <v>67</v>
      </c>
      <c r="R740">
        <v>47418.400000000001</v>
      </c>
      <c r="S740">
        <v>8</v>
      </c>
      <c r="T740">
        <v>0.25</v>
      </c>
      <c r="U740">
        <v>-105.32</v>
      </c>
    </row>
    <row r="741" spans="1:21">
      <c r="A741">
        <v>1662</v>
      </c>
      <c r="B741" t="s">
        <v>1502</v>
      </c>
      <c r="C741" s="1">
        <v>45508</v>
      </c>
      <c r="D741" s="1">
        <v>45510</v>
      </c>
      <c r="E741" t="s">
        <v>69</v>
      </c>
      <c r="F741" t="s">
        <v>173</v>
      </c>
      <c r="G741" t="s">
        <v>60</v>
      </c>
      <c r="H741" t="s">
        <v>51</v>
      </c>
      <c r="I741" t="s">
        <v>26</v>
      </c>
      <c r="J741" t="s">
        <v>79</v>
      </c>
      <c r="K741" t="s">
        <v>80</v>
      </c>
      <c r="L741" t="s">
        <v>92</v>
      </c>
      <c r="M741" t="s">
        <v>42</v>
      </c>
      <c r="N741" t="s">
        <v>1142</v>
      </c>
      <c r="O741" t="s">
        <v>32</v>
      </c>
      <c r="P741" t="s">
        <v>33</v>
      </c>
      <c r="Q741" t="s">
        <v>34</v>
      </c>
      <c r="R741">
        <v>5339.81</v>
      </c>
      <c r="S741">
        <v>4</v>
      </c>
      <c r="T741">
        <v>0.1</v>
      </c>
      <c r="U741">
        <v>849.18</v>
      </c>
    </row>
    <row r="742" spans="1:21">
      <c r="A742">
        <v>1131</v>
      </c>
      <c r="B742" t="s">
        <v>1503</v>
      </c>
      <c r="C742" s="1">
        <v>45323</v>
      </c>
      <c r="D742" s="1">
        <v>45327</v>
      </c>
      <c r="E742" t="s">
        <v>22</v>
      </c>
      <c r="F742" t="s">
        <v>414</v>
      </c>
      <c r="G742" t="s">
        <v>71</v>
      </c>
      <c r="H742" t="s">
        <v>51</v>
      </c>
      <c r="I742" t="s">
        <v>26</v>
      </c>
      <c r="J742" t="s">
        <v>79</v>
      </c>
      <c r="K742" t="s">
        <v>80</v>
      </c>
      <c r="L742" t="s">
        <v>63</v>
      </c>
      <c r="M742" t="s">
        <v>81</v>
      </c>
      <c r="N742" t="s">
        <v>1504</v>
      </c>
      <c r="O742" t="s">
        <v>138</v>
      </c>
      <c r="P742" t="s">
        <v>156</v>
      </c>
      <c r="Q742" t="s">
        <v>157</v>
      </c>
      <c r="R742">
        <v>1102.93</v>
      </c>
      <c r="S742">
        <v>3</v>
      </c>
      <c r="T742">
        <v>0.05</v>
      </c>
      <c r="U742">
        <v>230.01</v>
      </c>
    </row>
    <row r="743" spans="1:21">
      <c r="A743">
        <v>1664</v>
      </c>
      <c r="B743" t="s">
        <v>1505</v>
      </c>
      <c r="C743" s="1">
        <v>45480</v>
      </c>
      <c r="D743" s="1">
        <v>45483</v>
      </c>
      <c r="E743" t="s">
        <v>22</v>
      </c>
      <c r="F743" t="s">
        <v>499</v>
      </c>
      <c r="G743" t="s">
        <v>71</v>
      </c>
      <c r="H743" t="s">
        <v>25</v>
      </c>
      <c r="I743" t="s">
        <v>26</v>
      </c>
      <c r="J743" t="s">
        <v>115</v>
      </c>
      <c r="K743" t="s">
        <v>116</v>
      </c>
      <c r="L743" t="s">
        <v>41</v>
      </c>
      <c r="M743" t="s">
        <v>127</v>
      </c>
      <c r="N743" t="s">
        <v>846</v>
      </c>
      <c r="O743" t="s">
        <v>188</v>
      </c>
      <c r="P743" t="s">
        <v>189</v>
      </c>
      <c r="Q743" t="s">
        <v>190</v>
      </c>
      <c r="R743">
        <v>3853.5</v>
      </c>
      <c r="S743">
        <v>1</v>
      </c>
      <c r="T743">
        <v>0.3</v>
      </c>
      <c r="U743">
        <v>-286.76</v>
      </c>
    </row>
    <row r="744" spans="1:21">
      <c r="A744">
        <v>1100</v>
      </c>
      <c r="B744" t="s">
        <v>1506</v>
      </c>
      <c r="C744" s="1">
        <v>45623</v>
      </c>
      <c r="D744" s="1">
        <v>45624</v>
      </c>
      <c r="E744" t="s">
        <v>101</v>
      </c>
      <c r="F744" t="s">
        <v>333</v>
      </c>
      <c r="G744" t="s">
        <v>24</v>
      </c>
      <c r="H744" t="s">
        <v>108</v>
      </c>
      <c r="I744" t="s">
        <v>26</v>
      </c>
      <c r="J744" t="s">
        <v>79</v>
      </c>
      <c r="K744" t="s">
        <v>80</v>
      </c>
      <c r="L744" t="s">
        <v>117</v>
      </c>
      <c r="M744" t="s">
        <v>81</v>
      </c>
      <c r="N744" t="s">
        <v>524</v>
      </c>
      <c r="O744" t="s">
        <v>188</v>
      </c>
      <c r="P744" t="s">
        <v>189</v>
      </c>
      <c r="Q744" t="s">
        <v>190</v>
      </c>
      <c r="R744">
        <v>11086.59</v>
      </c>
      <c r="S744">
        <v>2</v>
      </c>
      <c r="T744">
        <v>0.1</v>
      </c>
      <c r="U744">
        <v>821.47</v>
      </c>
    </row>
    <row r="745" spans="1:21">
      <c r="A745">
        <v>1373</v>
      </c>
      <c r="B745" t="s">
        <v>1507</v>
      </c>
      <c r="C745" s="1">
        <v>45550</v>
      </c>
      <c r="D745" s="1">
        <v>45554</v>
      </c>
      <c r="E745" t="s">
        <v>101</v>
      </c>
      <c r="F745" t="s">
        <v>96</v>
      </c>
      <c r="G745" t="s">
        <v>71</v>
      </c>
      <c r="H745" t="s">
        <v>25</v>
      </c>
      <c r="I745" t="s">
        <v>26</v>
      </c>
      <c r="J745" t="s">
        <v>166</v>
      </c>
      <c r="K745" t="s">
        <v>132</v>
      </c>
      <c r="L745" t="s">
        <v>103</v>
      </c>
      <c r="M745" t="s">
        <v>42</v>
      </c>
      <c r="N745" t="s">
        <v>1508</v>
      </c>
      <c r="O745" t="s">
        <v>543</v>
      </c>
      <c r="P745" t="s">
        <v>33</v>
      </c>
      <c r="Q745" t="s">
        <v>34</v>
      </c>
      <c r="R745">
        <v>1072.01</v>
      </c>
      <c r="S745">
        <v>1</v>
      </c>
      <c r="T745">
        <v>0.2</v>
      </c>
      <c r="U745">
        <v>154.34</v>
      </c>
    </row>
    <row r="746" spans="1:21">
      <c r="A746">
        <v>1088</v>
      </c>
      <c r="B746" t="s">
        <v>1509</v>
      </c>
      <c r="C746" s="1">
        <v>45569</v>
      </c>
      <c r="D746" s="1">
        <v>45570</v>
      </c>
      <c r="E746" t="s">
        <v>22</v>
      </c>
      <c r="F746" t="s">
        <v>395</v>
      </c>
      <c r="G746" t="s">
        <v>125</v>
      </c>
      <c r="H746" t="s">
        <v>51</v>
      </c>
      <c r="I746" t="s">
        <v>26</v>
      </c>
      <c r="J746" t="s">
        <v>61</v>
      </c>
      <c r="K746" t="s">
        <v>62</v>
      </c>
      <c r="L746" t="s">
        <v>63</v>
      </c>
      <c r="M746" t="s">
        <v>30</v>
      </c>
      <c r="N746" t="s">
        <v>178</v>
      </c>
      <c r="O746" t="s">
        <v>138</v>
      </c>
      <c r="P746" t="s">
        <v>121</v>
      </c>
      <c r="Q746" t="s">
        <v>122</v>
      </c>
      <c r="R746">
        <v>931.14</v>
      </c>
      <c r="S746">
        <v>2</v>
      </c>
      <c r="T746">
        <v>0.3</v>
      </c>
      <c r="U746">
        <v>3.9</v>
      </c>
    </row>
    <row r="747" spans="1:21">
      <c r="A747">
        <v>1459</v>
      </c>
      <c r="B747" t="s">
        <v>1510</v>
      </c>
      <c r="C747" s="1">
        <v>45340</v>
      </c>
      <c r="D747" s="1">
        <v>45345</v>
      </c>
      <c r="E747" t="s">
        <v>69</v>
      </c>
      <c r="F747" t="s">
        <v>479</v>
      </c>
      <c r="G747" t="s">
        <v>37</v>
      </c>
      <c r="H747" t="s">
        <v>25</v>
      </c>
      <c r="I747" t="s">
        <v>26</v>
      </c>
      <c r="J747" t="s">
        <v>39</v>
      </c>
      <c r="K747" t="s">
        <v>40</v>
      </c>
      <c r="L747" t="s">
        <v>63</v>
      </c>
      <c r="M747" t="s">
        <v>42</v>
      </c>
      <c r="N747" t="s">
        <v>1511</v>
      </c>
      <c r="O747" t="s">
        <v>44</v>
      </c>
      <c r="P747" t="s">
        <v>211</v>
      </c>
      <c r="Q747" t="s">
        <v>223</v>
      </c>
      <c r="R747">
        <v>1218.56</v>
      </c>
      <c r="S747">
        <v>1</v>
      </c>
      <c r="T747">
        <v>0.3</v>
      </c>
      <c r="U747">
        <v>-126.8</v>
      </c>
    </row>
    <row r="748" spans="1:21">
      <c r="A748">
        <v>1331</v>
      </c>
      <c r="B748" t="s">
        <v>1512</v>
      </c>
      <c r="C748" s="1">
        <v>45361</v>
      </c>
      <c r="D748" s="1">
        <v>45366</v>
      </c>
      <c r="E748" t="s">
        <v>22</v>
      </c>
      <c r="F748" t="s">
        <v>370</v>
      </c>
      <c r="G748" t="s">
        <v>107</v>
      </c>
      <c r="H748" t="s">
        <v>51</v>
      </c>
      <c r="I748" t="s">
        <v>26</v>
      </c>
      <c r="J748" t="s">
        <v>52</v>
      </c>
      <c r="K748" t="s">
        <v>52</v>
      </c>
      <c r="L748" t="s">
        <v>92</v>
      </c>
      <c r="M748" t="s">
        <v>127</v>
      </c>
      <c r="N748" t="s">
        <v>1513</v>
      </c>
      <c r="O748" t="s">
        <v>83</v>
      </c>
      <c r="P748" t="s">
        <v>84</v>
      </c>
      <c r="Q748" t="s">
        <v>85</v>
      </c>
      <c r="R748">
        <v>4689.4799999999996</v>
      </c>
      <c r="S748">
        <v>2</v>
      </c>
      <c r="T748">
        <v>0.25</v>
      </c>
      <c r="U748">
        <v>510.15</v>
      </c>
    </row>
    <row r="749" spans="1:21">
      <c r="A749">
        <v>1215</v>
      </c>
      <c r="B749" t="s">
        <v>1514</v>
      </c>
      <c r="C749" s="1">
        <v>45449</v>
      </c>
      <c r="D749" s="1">
        <v>45452</v>
      </c>
      <c r="E749" t="s">
        <v>48</v>
      </c>
      <c r="F749" t="s">
        <v>541</v>
      </c>
      <c r="G749" t="s">
        <v>71</v>
      </c>
      <c r="H749" t="s">
        <v>153</v>
      </c>
      <c r="I749" t="s">
        <v>26</v>
      </c>
      <c r="J749" t="s">
        <v>27</v>
      </c>
      <c r="K749" t="s">
        <v>28</v>
      </c>
      <c r="L749" t="s">
        <v>29</v>
      </c>
      <c r="M749" t="s">
        <v>118</v>
      </c>
      <c r="N749" t="s">
        <v>1430</v>
      </c>
      <c r="O749" t="s">
        <v>65</v>
      </c>
      <c r="P749" t="s">
        <v>66</v>
      </c>
      <c r="Q749" t="s">
        <v>67</v>
      </c>
      <c r="R749">
        <v>19913.39</v>
      </c>
      <c r="S749">
        <v>3</v>
      </c>
      <c r="T749">
        <v>0.2</v>
      </c>
      <c r="U749">
        <v>483.02</v>
      </c>
    </row>
    <row r="750" spans="1:21">
      <c r="A750">
        <v>1467</v>
      </c>
      <c r="B750" t="s">
        <v>1515</v>
      </c>
      <c r="C750" s="1">
        <v>45301</v>
      </c>
      <c r="D750" s="1">
        <v>45306</v>
      </c>
      <c r="E750" t="s">
        <v>48</v>
      </c>
      <c r="F750" t="s">
        <v>87</v>
      </c>
      <c r="G750" t="s">
        <v>114</v>
      </c>
      <c r="H750" t="s">
        <v>25</v>
      </c>
      <c r="I750" t="s">
        <v>26</v>
      </c>
      <c r="J750" t="s">
        <v>39</v>
      </c>
      <c r="K750" t="s">
        <v>40</v>
      </c>
      <c r="L750" t="s">
        <v>92</v>
      </c>
      <c r="M750" t="s">
        <v>42</v>
      </c>
      <c r="N750" t="s">
        <v>289</v>
      </c>
      <c r="O750" t="s">
        <v>94</v>
      </c>
      <c r="P750" t="s">
        <v>207</v>
      </c>
      <c r="Q750" t="s">
        <v>208</v>
      </c>
      <c r="R750">
        <v>159686.14000000001</v>
      </c>
      <c r="S750">
        <v>3</v>
      </c>
      <c r="T750">
        <v>0.05</v>
      </c>
      <c r="U750">
        <v>12534.64</v>
      </c>
    </row>
    <row r="751" spans="1:21">
      <c r="A751">
        <v>1122</v>
      </c>
      <c r="B751" t="s">
        <v>1516</v>
      </c>
      <c r="C751" s="1">
        <v>45353</v>
      </c>
      <c r="D751" s="1">
        <v>45354</v>
      </c>
      <c r="E751" t="s">
        <v>101</v>
      </c>
      <c r="F751" t="s">
        <v>645</v>
      </c>
      <c r="G751" t="s">
        <v>37</v>
      </c>
      <c r="H751" t="s">
        <v>51</v>
      </c>
      <c r="I751" t="s">
        <v>26</v>
      </c>
      <c r="J751" t="s">
        <v>72</v>
      </c>
      <c r="K751" t="s">
        <v>73</v>
      </c>
      <c r="L751" t="s">
        <v>154</v>
      </c>
      <c r="M751" t="s">
        <v>30</v>
      </c>
      <c r="N751" t="s">
        <v>418</v>
      </c>
      <c r="O751" t="s">
        <v>83</v>
      </c>
      <c r="P751" t="s">
        <v>84</v>
      </c>
      <c r="Q751" t="s">
        <v>85</v>
      </c>
      <c r="R751">
        <v>5459.86</v>
      </c>
      <c r="S751">
        <v>2</v>
      </c>
      <c r="T751">
        <v>0.2</v>
      </c>
      <c r="U751">
        <v>612.65</v>
      </c>
    </row>
    <row r="752" spans="1:21">
      <c r="A752">
        <v>1615</v>
      </c>
      <c r="B752" t="s">
        <v>1517</v>
      </c>
      <c r="C752" s="1">
        <v>45579</v>
      </c>
      <c r="D752" s="1">
        <v>45580</v>
      </c>
      <c r="E752" t="s">
        <v>69</v>
      </c>
      <c r="F752" t="s">
        <v>214</v>
      </c>
      <c r="G752" t="s">
        <v>71</v>
      </c>
      <c r="H752" t="s">
        <v>51</v>
      </c>
      <c r="I752" t="s">
        <v>26</v>
      </c>
      <c r="J752" t="s">
        <v>226</v>
      </c>
      <c r="K752" t="s">
        <v>110</v>
      </c>
      <c r="L752" t="s">
        <v>186</v>
      </c>
      <c r="M752" t="s">
        <v>81</v>
      </c>
      <c r="N752" t="s">
        <v>1167</v>
      </c>
      <c r="O752" t="s">
        <v>44</v>
      </c>
      <c r="P752" t="s">
        <v>207</v>
      </c>
      <c r="Q752" t="s">
        <v>208</v>
      </c>
      <c r="R752">
        <v>78437.37</v>
      </c>
      <c r="S752">
        <v>2</v>
      </c>
      <c r="T752">
        <v>0.3</v>
      </c>
      <c r="U752">
        <v>-6364.93</v>
      </c>
    </row>
    <row r="753" spans="1:21">
      <c r="A753">
        <v>1021</v>
      </c>
      <c r="B753" t="s">
        <v>1518</v>
      </c>
      <c r="C753" s="1">
        <v>45573</v>
      </c>
      <c r="D753" s="1">
        <v>45574</v>
      </c>
      <c r="E753" t="s">
        <v>22</v>
      </c>
      <c r="F753" t="s">
        <v>411</v>
      </c>
      <c r="G753" t="s">
        <v>136</v>
      </c>
      <c r="H753" t="s">
        <v>51</v>
      </c>
      <c r="I753" t="s">
        <v>26</v>
      </c>
      <c r="J753" t="s">
        <v>115</v>
      </c>
      <c r="K753" t="s">
        <v>116</v>
      </c>
      <c r="L753" t="s">
        <v>41</v>
      </c>
      <c r="M753" t="s">
        <v>74</v>
      </c>
      <c r="N753" t="s">
        <v>1185</v>
      </c>
      <c r="O753" t="s">
        <v>120</v>
      </c>
      <c r="P753" t="s">
        <v>182</v>
      </c>
      <c r="Q753" t="s">
        <v>183</v>
      </c>
      <c r="R753">
        <v>1775.7</v>
      </c>
      <c r="S753">
        <v>6</v>
      </c>
      <c r="T753">
        <v>1</v>
      </c>
      <c r="U753">
        <v>8.86</v>
      </c>
    </row>
    <row r="754" spans="1:21">
      <c r="A754">
        <v>1701</v>
      </c>
      <c r="B754" t="s">
        <v>1519</v>
      </c>
      <c r="C754" s="1">
        <v>45529</v>
      </c>
      <c r="D754" s="1">
        <v>45531</v>
      </c>
      <c r="E754" t="s">
        <v>101</v>
      </c>
      <c r="F754" t="s">
        <v>791</v>
      </c>
      <c r="G754" t="s">
        <v>229</v>
      </c>
      <c r="H754" t="s">
        <v>25</v>
      </c>
      <c r="I754" t="s">
        <v>26</v>
      </c>
      <c r="J754" t="s">
        <v>90</v>
      </c>
      <c r="K754" t="s">
        <v>91</v>
      </c>
      <c r="L754" t="s">
        <v>41</v>
      </c>
      <c r="M754" t="s">
        <v>30</v>
      </c>
      <c r="N754" t="s">
        <v>1001</v>
      </c>
      <c r="O754" t="s">
        <v>188</v>
      </c>
      <c r="P754" t="s">
        <v>189</v>
      </c>
      <c r="Q754" t="s">
        <v>386</v>
      </c>
      <c r="R754">
        <v>1770.38</v>
      </c>
      <c r="S754">
        <v>1</v>
      </c>
      <c r="T754">
        <v>0.15</v>
      </c>
      <c r="U754">
        <v>47.98</v>
      </c>
    </row>
    <row r="755" spans="1:21">
      <c r="A755">
        <v>1072</v>
      </c>
      <c r="B755" t="s">
        <v>1520</v>
      </c>
      <c r="C755" s="1">
        <v>45509</v>
      </c>
      <c r="D755" s="1">
        <v>45510</v>
      </c>
      <c r="E755" t="s">
        <v>69</v>
      </c>
      <c r="F755" t="s">
        <v>499</v>
      </c>
      <c r="G755" t="s">
        <v>60</v>
      </c>
      <c r="H755" t="s">
        <v>51</v>
      </c>
      <c r="I755" t="s">
        <v>26</v>
      </c>
      <c r="J755" t="s">
        <v>72</v>
      </c>
      <c r="K755" t="s">
        <v>73</v>
      </c>
      <c r="L755" t="s">
        <v>215</v>
      </c>
      <c r="M755" t="s">
        <v>127</v>
      </c>
      <c r="N755" t="s">
        <v>1521</v>
      </c>
      <c r="O755" t="s">
        <v>188</v>
      </c>
      <c r="P755" t="s">
        <v>189</v>
      </c>
      <c r="Q755" t="s">
        <v>190</v>
      </c>
      <c r="R755">
        <v>26088.51</v>
      </c>
      <c r="S755">
        <v>5</v>
      </c>
      <c r="T755">
        <v>0.1</v>
      </c>
      <c r="U755">
        <v>1526.92</v>
      </c>
    </row>
    <row r="756" spans="1:21">
      <c r="A756">
        <v>1107</v>
      </c>
      <c r="B756" t="s">
        <v>1522</v>
      </c>
      <c r="C756" s="1">
        <v>45359</v>
      </c>
      <c r="D756" s="1">
        <v>45360</v>
      </c>
      <c r="E756" t="s">
        <v>48</v>
      </c>
      <c r="F756" t="s">
        <v>36</v>
      </c>
      <c r="G756" t="s">
        <v>147</v>
      </c>
      <c r="H756" t="s">
        <v>51</v>
      </c>
      <c r="I756" t="s">
        <v>26</v>
      </c>
      <c r="J756" t="s">
        <v>115</v>
      </c>
      <c r="K756" t="s">
        <v>116</v>
      </c>
      <c r="L756" t="s">
        <v>92</v>
      </c>
      <c r="M756" t="s">
        <v>170</v>
      </c>
      <c r="N756" t="s">
        <v>239</v>
      </c>
      <c r="O756" t="s">
        <v>543</v>
      </c>
      <c r="P756" t="s">
        <v>84</v>
      </c>
      <c r="Q756" t="s">
        <v>85</v>
      </c>
      <c r="R756">
        <v>13111.22</v>
      </c>
      <c r="S756">
        <v>4</v>
      </c>
      <c r="T756">
        <v>0</v>
      </c>
      <c r="U756">
        <v>2825.91</v>
      </c>
    </row>
    <row r="757" spans="1:21">
      <c r="A757">
        <v>1271</v>
      </c>
      <c r="B757" t="s">
        <v>1523</v>
      </c>
      <c r="C757" s="1">
        <v>45607</v>
      </c>
      <c r="D757" s="1">
        <v>45613</v>
      </c>
      <c r="E757" t="s">
        <v>101</v>
      </c>
      <c r="F757" t="s">
        <v>295</v>
      </c>
      <c r="G757" t="s">
        <v>107</v>
      </c>
      <c r="H757" t="s">
        <v>89</v>
      </c>
      <c r="I757" t="s">
        <v>26</v>
      </c>
      <c r="J757" t="s">
        <v>160</v>
      </c>
      <c r="K757" t="s">
        <v>161</v>
      </c>
      <c r="L757" t="s">
        <v>263</v>
      </c>
      <c r="M757" t="s">
        <v>74</v>
      </c>
      <c r="N757" t="s">
        <v>1339</v>
      </c>
      <c r="O757" t="s">
        <v>293</v>
      </c>
      <c r="P757" t="s">
        <v>211</v>
      </c>
      <c r="Q757" t="s">
        <v>223</v>
      </c>
      <c r="R757">
        <v>1448.08</v>
      </c>
      <c r="S757">
        <v>1</v>
      </c>
      <c r="T757">
        <v>0.25</v>
      </c>
      <c r="U757">
        <v>-80.06</v>
      </c>
    </row>
    <row r="758" spans="1:21">
      <c r="A758">
        <v>1436</v>
      </c>
      <c r="B758" t="s">
        <v>1524</v>
      </c>
      <c r="C758" s="1">
        <v>45458</v>
      </c>
      <c r="D758" s="1">
        <v>45461</v>
      </c>
      <c r="E758" t="s">
        <v>48</v>
      </c>
      <c r="F758" t="s">
        <v>437</v>
      </c>
      <c r="G758" t="s">
        <v>136</v>
      </c>
      <c r="H758" t="s">
        <v>25</v>
      </c>
      <c r="I758" t="s">
        <v>26</v>
      </c>
      <c r="J758" t="s">
        <v>346</v>
      </c>
      <c r="K758" t="s">
        <v>132</v>
      </c>
      <c r="L758" t="s">
        <v>117</v>
      </c>
      <c r="M758" t="s">
        <v>30</v>
      </c>
      <c r="N758" t="s">
        <v>1525</v>
      </c>
      <c r="O758" t="s">
        <v>44</v>
      </c>
      <c r="P758" t="s">
        <v>207</v>
      </c>
      <c r="Q758" t="s">
        <v>208</v>
      </c>
      <c r="R758">
        <v>101891.87</v>
      </c>
      <c r="S758">
        <v>2</v>
      </c>
      <c r="T758">
        <v>0</v>
      </c>
      <c r="U758">
        <v>9923.35</v>
      </c>
    </row>
    <row r="759" spans="1:21">
      <c r="A759">
        <v>1103</v>
      </c>
      <c r="B759" t="s">
        <v>1526</v>
      </c>
      <c r="C759" s="1">
        <v>45403</v>
      </c>
      <c r="D759" s="1">
        <v>45407</v>
      </c>
      <c r="E759" t="s">
        <v>101</v>
      </c>
      <c r="F759" t="s">
        <v>395</v>
      </c>
      <c r="G759" t="s">
        <v>88</v>
      </c>
      <c r="H759" t="s">
        <v>108</v>
      </c>
      <c r="I759" t="s">
        <v>26</v>
      </c>
      <c r="J759" t="s">
        <v>79</v>
      </c>
      <c r="K759" t="s">
        <v>80</v>
      </c>
      <c r="L759" t="s">
        <v>63</v>
      </c>
      <c r="M759" t="s">
        <v>74</v>
      </c>
      <c r="N759" t="s">
        <v>631</v>
      </c>
      <c r="O759" t="s">
        <v>55</v>
      </c>
      <c r="P759" t="s">
        <v>98</v>
      </c>
      <c r="Q759" t="s">
        <v>99</v>
      </c>
      <c r="R759">
        <v>10414.370000000001</v>
      </c>
      <c r="S759">
        <v>2</v>
      </c>
      <c r="T759">
        <v>0.2</v>
      </c>
      <c r="U759">
        <v>235.76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E134A-2544-4A2B-AEA2-CDAD89EE6ABF}">
  <dimension ref="A1:W751"/>
  <sheetViews>
    <sheetView topLeftCell="F1" workbookViewId="0">
      <selection activeCell="G11" sqref="G11"/>
    </sheetView>
  </sheetViews>
  <sheetFormatPr defaultRowHeight="14.4"/>
  <cols>
    <col min="1" max="1" width="9.109375" bestFit="1" customWidth="1"/>
    <col min="2" max="2" width="15.109375" bestFit="1" customWidth="1"/>
    <col min="3" max="4" width="15.44140625" bestFit="1" customWidth="1"/>
    <col min="5" max="5" width="12.77734375" bestFit="1" customWidth="1"/>
    <col min="6" max="6" width="13.5546875" bestFit="1" customWidth="1"/>
    <col min="7" max="7" width="19.21875" bestFit="1" customWidth="1"/>
    <col min="8" max="8" width="11.33203125" bestFit="1" customWidth="1"/>
    <col min="9" max="9" width="10" bestFit="1" customWidth="1"/>
    <col min="10" max="10" width="18.109375" bestFit="1" customWidth="1"/>
    <col min="11" max="11" width="12.21875" bestFit="1" customWidth="1"/>
    <col min="12" max="12" width="9" bestFit="1" customWidth="1"/>
    <col min="13" max="13" width="13.109375" bestFit="1" customWidth="1"/>
    <col min="14" max="14" width="12.109375" bestFit="1" customWidth="1"/>
    <col min="15" max="15" width="15.109375" bestFit="1" customWidth="1"/>
    <col min="16" max="16" width="14.6640625" bestFit="1" customWidth="1"/>
    <col min="17" max="17" width="21.5546875" bestFit="1" customWidth="1"/>
    <col min="18" max="18" width="11.33203125" style="8" bestFit="1" customWidth="1"/>
    <col min="19" max="20" width="10.5546875" bestFit="1" customWidth="1"/>
    <col min="21" max="21" width="10.5546875" style="8" bestFit="1" customWidth="1"/>
    <col min="22" max="22" width="13" bestFit="1" customWidth="1"/>
    <col min="23" max="23" width="16.21875" bestFit="1"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s="8" t="s">
        <v>17</v>
      </c>
      <c r="S1" t="s">
        <v>18</v>
      </c>
      <c r="T1" t="s">
        <v>19</v>
      </c>
      <c r="U1" s="8" t="s">
        <v>20</v>
      </c>
      <c r="V1" t="s">
        <v>1558</v>
      </c>
      <c r="W1" t="s">
        <v>1559</v>
      </c>
    </row>
    <row r="2" spans="1:23">
      <c r="A2">
        <v>1001</v>
      </c>
      <c r="B2" t="s">
        <v>864</v>
      </c>
      <c r="C2" s="7">
        <v>45363</v>
      </c>
      <c r="D2" s="7">
        <v>45369</v>
      </c>
      <c r="E2" t="s">
        <v>22</v>
      </c>
      <c r="F2" t="s">
        <v>375</v>
      </c>
      <c r="G2" t="s">
        <v>1560</v>
      </c>
      <c r="H2" t="s">
        <v>51</v>
      </c>
      <c r="I2" t="s">
        <v>26</v>
      </c>
      <c r="J2" t="s">
        <v>90</v>
      </c>
      <c r="K2" t="s">
        <v>91</v>
      </c>
      <c r="L2" t="s">
        <v>41</v>
      </c>
      <c r="M2">
        <v>600001</v>
      </c>
      <c r="N2" t="s">
        <v>376</v>
      </c>
      <c r="O2" t="s">
        <v>44</v>
      </c>
      <c r="P2" t="s">
        <v>45</v>
      </c>
      <c r="Q2" t="s">
        <v>46</v>
      </c>
      <c r="R2" s="8">
        <v>63499.23</v>
      </c>
      <c r="S2">
        <v>2</v>
      </c>
      <c r="T2">
        <v>0.1</v>
      </c>
      <c r="U2" s="8">
        <v>3501.42</v>
      </c>
      <c r="V2" t="s">
        <v>1561</v>
      </c>
      <c r="W2" t="s">
        <v>1561</v>
      </c>
    </row>
    <row r="3" spans="1:23">
      <c r="A3">
        <v>1002</v>
      </c>
      <c r="B3" t="s">
        <v>1425</v>
      </c>
      <c r="C3" s="7">
        <v>45579</v>
      </c>
      <c r="D3" s="7">
        <v>45581</v>
      </c>
      <c r="E3" t="s">
        <v>101</v>
      </c>
      <c r="F3" t="s">
        <v>583</v>
      </c>
      <c r="G3" t="s">
        <v>1562</v>
      </c>
      <c r="H3" t="s">
        <v>51</v>
      </c>
      <c r="I3" t="s">
        <v>26</v>
      </c>
      <c r="J3" t="s">
        <v>346</v>
      </c>
      <c r="K3" t="s">
        <v>132</v>
      </c>
      <c r="L3" t="s">
        <v>63</v>
      </c>
      <c r="M3">
        <v>110001</v>
      </c>
      <c r="N3" t="s">
        <v>1426</v>
      </c>
      <c r="O3" t="s">
        <v>44</v>
      </c>
      <c r="P3" t="s">
        <v>207</v>
      </c>
      <c r="Q3" t="s">
        <v>208</v>
      </c>
      <c r="R3" s="8">
        <v>53930.19</v>
      </c>
      <c r="S3">
        <v>1</v>
      </c>
      <c r="T3">
        <v>0</v>
      </c>
      <c r="U3" s="8">
        <v>6224.96</v>
      </c>
      <c r="V3" t="s">
        <v>1561</v>
      </c>
      <c r="W3" t="s">
        <v>1561</v>
      </c>
    </row>
    <row r="4" spans="1:23">
      <c r="A4">
        <v>1003</v>
      </c>
      <c r="B4" t="s">
        <v>416</v>
      </c>
      <c r="C4" s="7">
        <v>45434</v>
      </c>
      <c r="D4" s="7">
        <v>45436</v>
      </c>
      <c r="E4" t="s">
        <v>69</v>
      </c>
      <c r="F4" t="s">
        <v>417</v>
      </c>
      <c r="G4" t="s">
        <v>1563</v>
      </c>
      <c r="H4" t="s">
        <v>25</v>
      </c>
      <c r="I4" t="s">
        <v>26</v>
      </c>
      <c r="J4" t="s">
        <v>346</v>
      </c>
      <c r="K4" t="s">
        <v>132</v>
      </c>
      <c r="L4" t="s">
        <v>41</v>
      </c>
      <c r="M4">
        <v>673001</v>
      </c>
      <c r="N4" t="s">
        <v>418</v>
      </c>
      <c r="O4" t="s">
        <v>83</v>
      </c>
      <c r="P4" t="s">
        <v>84</v>
      </c>
      <c r="Q4" t="s">
        <v>85</v>
      </c>
      <c r="R4" s="8">
        <v>9676.42</v>
      </c>
      <c r="S4">
        <v>4</v>
      </c>
      <c r="T4">
        <v>0.2</v>
      </c>
      <c r="U4" s="8">
        <v>961.45</v>
      </c>
      <c r="V4" t="s">
        <v>1561</v>
      </c>
      <c r="W4" t="s">
        <v>1561</v>
      </c>
    </row>
    <row r="5" spans="1:23">
      <c r="A5">
        <v>1004</v>
      </c>
      <c r="B5" t="s">
        <v>1065</v>
      </c>
      <c r="C5" s="7">
        <v>45527</v>
      </c>
      <c r="D5" s="7">
        <v>45532</v>
      </c>
      <c r="E5" t="s">
        <v>22</v>
      </c>
      <c r="F5" t="s">
        <v>77</v>
      </c>
      <c r="G5" t="s">
        <v>1564</v>
      </c>
      <c r="H5" t="s">
        <v>25</v>
      </c>
      <c r="I5" t="s">
        <v>26</v>
      </c>
      <c r="J5" t="s">
        <v>131</v>
      </c>
      <c r="K5" t="s">
        <v>132</v>
      </c>
      <c r="L5" t="s">
        <v>41</v>
      </c>
      <c r="M5">
        <v>600001</v>
      </c>
      <c r="N5" t="s">
        <v>978</v>
      </c>
      <c r="O5" t="s">
        <v>55</v>
      </c>
      <c r="P5" t="s">
        <v>56</v>
      </c>
      <c r="Q5" t="s">
        <v>57</v>
      </c>
      <c r="R5" s="8">
        <v>20072.740000000002</v>
      </c>
      <c r="S5">
        <v>3</v>
      </c>
      <c r="T5">
        <v>0</v>
      </c>
      <c r="U5" s="8">
        <v>3799.65</v>
      </c>
      <c r="V5" t="s">
        <v>1561</v>
      </c>
      <c r="W5" t="s">
        <v>1561</v>
      </c>
    </row>
    <row r="6" spans="1:23">
      <c r="A6">
        <v>1005</v>
      </c>
      <c r="B6" t="s">
        <v>1340</v>
      </c>
      <c r="C6" s="7">
        <v>45652</v>
      </c>
      <c r="D6" s="7">
        <v>45653</v>
      </c>
      <c r="E6" t="s">
        <v>22</v>
      </c>
      <c r="F6" t="s">
        <v>221</v>
      </c>
      <c r="G6" t="s">
        <v>1565</v>
      </c>
      <c r="H6" t="s">
        <v>25</v>
      </c>
      <c r="I6" t="s">
        <v>26</v>
      </c>
      <c r="J6" t="s">
        <v>61</v>
      </c>
      <c r="K6" t="s">
        <v>62</v>
      </c>
      <c r="L6" t="s">
        <v>63</v>
      </c>
      <c r="M6">
        <v>673001</v>
      </c>
      <c r="N6" t="s">
        <v>1341</v>
      </c>
      <c r="O6" t="s">
        <v>138</v>
      </c>
      <c r="P6" t="s">
        <v>156</v>
      </c>
      <c r="Q6" t="s">
        <v>157</v>
      </c>
      <c r="R6" s="8">
        <v>1737.67</v>
      </c>
      <c r="S6">
        <v>5</v>
      </c>
      <c r="T6">
        <v>0.1</v>
      </c>
      <c r="U6" s="8">
        <v>258.99</v>
      </c>
      <c r="V6" t="s">
        <v>1561</v>
      </c>
      <c r="W6" t="s">
        <v>1561</v>
      </c>
    </row>
    <row r="7" spans="1:23">
      <c r="A7">
        <v>1006</v>
      </c>
      <c r="B7" t="s">
        <v>1053</v>
      </c>
      <c r="C7" s="7">
        <v>45375</v>
      </c>
      <c r="D7" s="7">
        <v>45378</v>
      </c>
      <c r="E7" t="s">
        <v>48</v>
      </c>
      <c r="F7" t="s">
        <v>781</v>
      </c>
      <c r="G7" t="s">
        <v>1566</v>
      </c>
      <c r="H7" t="s">
        <v>51</v>
      </c>
      <c r="I7" t="s">
        <v>26</v>
      </c>
      <c r="J7" t="s">
        <v>72</v>
      </c>
      <c r="K7" t="s">
        <v>73</v>
      </c>
      <c r="L7" t="s">
        <v>63</v>
      </c>
      <c r="M7">
        <v>400001</v>
      </c>
      <c r="N7" t="s">
        <v>480</v>
      </c>
      <c r="O7" t="s">
        <v>188</v>
      </c>
      <c r="P7" t="s">
        <v>189</v>
      </c>
      <c r="Q7" t="s">
        <v>386</v>
      </c>
      <c r="R7" s="8">
        <v>3249.99</v>
      </c>
      <c r="S7">
        <v>2</v>
      </c>
      <c r="T7">
        <v>0.2</v>
      </c>
      <c r="U7" s="8">
        <v>-130</v>
      </c>
      <c r="V7" t="s">
        <v>1561</v>
      </c>
      <c r="W7" t="s">
        <v>1561</v>
      </c>
    </row>
    <row r="8" spans="1:23">
      <c r="A8">
        <v>1007</v>
      </c>
      <c r="B8" t="s">
        <v>561</v>
      </c>
      <c r="C8" s="7">
        <v>45375</v>
      </c>
      <c r="D8" s="7">
        <v>45379</v>
      </c>
      <c r="E8" t="s">
        <v>101</v>
      </c>
      <c r="F8" t="s">
        <v>266</v>
      </c>
      <c r="G8" t="s">
        <v>1567</v>
      </c>
      <c r="H8" t="s">
        <v>25</v>
      </c>
      <c r="I8" t="s">
        <v>26</v>
      </c>
      <c r="J8" t="s">
        <v>90</v>
      </c>
      <c r="K8" t="s">
        <v>91</v>
      </c>
      <c r="L8" t="s">
        <v>92</v>
      </c>
      <c r="M8">
        <v>400001</v>
      </c>
      <c r="N8" t="s">
        <v>562</v>
      </c>
      <c r="O8" t="s">
        <v>44</v>
      </c>
      <c r="P8" t="s">
        <v>45</v>
      </c>
      <c r="Q8" t="s">
        <v>46</v>
      </c>
      <c r="R8" s="8">
        <v>34123.379999999997</v>
      </c>
      <c r="S8">
        <v>1</v>
      </c>
      <c r="T8">
        <v>0.1</v>
      </c>
      <c r="U8" s="8">
        <v>1314.69</v>
      </c>
      <c r="V8" t="s">
        <v>1561</v>
      </c>
      <c r="W8" t="s">
        <v>1561</v>
      </c>
    </row>
    <row r="9" spans="1:23">
      <c r="A9">
        <v>1008</v>
      </c>
      <c r="B9" t="s">
        <v>382</v>
      </c>
      <c r="C9" s="7">
        <v>45453</v>
      </c>
      <c r="D9" s="7">
        <v>45457</v>
      </c>
      <c r="E9" t="s">
        <v>48</v>
      </c>
      <c r="F9" t="s">
        <v>164</v>
      </c>
      <c r="G9" t="s">
        <v>1565</v>
      </c>
      <c r="H9" t="s">
        <v>25</v>
      </c>
      <c r="I9" t="s">
        <v>26</v>
      </c>
      <c r="J9" t="s">
        <v>61</v>
      </c>
      <c r="K9" t="s">
        <v>62</v>
      </c>
      <c r="L9" t="s">
        <v>63</v>
      </c>
      <c r="M9">
        <v>682001</v>
      </c>
      <c r="N9" t="s">
        <v>383</v>
      </c>
      <c r="O9" t="s">
        <v>83</v>
      </c>
      <c r="P9" t="s">
        <v>84</v>
      </c>
      <c r="Q9" t="s">
        <v>85</v>
      </c>
      <c r="R9" s="8">
        <v>3037.09</v>
      </c>
      <c r="S9">
        <v>1</v>
      </c>
      <c r="T9">
        <v>0</v>
      </c>
      <c r="U9" s="8">
        <v>639.08000000000004</v>
      </c>
      <c r="V9" t="s">
        <v>1561</v>
      </c>
      <c r="W9" t="s">
        <v>1561</v>
      </c>
    </row>
    <row r="10" spans="1:23">
      <c r="A10">
        <v>1009</v>
      </c>
      <c r="B10" t="s">
        <v>1190</v>
      </c>
      <c r="C10" s="7">
        <v>45427</v>
      </c>
      <c r="D10" s="7">
        <v>45429</v>
      </c>
      <c r="E10" t="s">
        <v>69</v>
      </c>
      <c r="F10" t="s">
        <v>645</v>
      </c>
      <c r="G10" t="s">
        <v>1568</v>
      </c>
      <c r="H10" t="s">
        <v>108</v>
      </c>
      <c r="I10" t="s">
        <v>26</v>
      </c>
      <c r="J10" t="s">
        <v>39</v>
      </c>
      <c r="K10" t="s">
        <v>40</v>
      </c>
      <c r="L10" t="s">
        <v>63</v>
      </c>
      <c r="M10">
        <v>400001</v>
      </c>
      <c r="N10" t="s">
        <v>1191</v>
      </c>
      <c r="O10" t="s">
        <v>55</v>
      </c>
      <c r="P10" t="s">
        <v>98</v>
      </c>
      <c r="Q10" t="s">
        <v>99</v>
      </c>
      <c r="R10" s="8">
        <v>17668.7</v>
      </c>
      <c r="S10">
        <v>3</v>
      </c>
      <c r="T10">
        <v>0.05</v>
      </c>
      <c r="U10" s="8">
        <v>2280.64</v>
      </c>
      <c r="V10" t="s">
        <v>1561</v>
      </c>
      <c r="W10" t="s">
        <v>1561</v>
      </c>
    </row>
    <row r="11" spans="1:23">
      <c r="A11">
        <v>1010</v>
      </c>
      <c r="B11" t="s">
        <v>806</v>
      </c>
      <c r="C11" s="7">
        <v>45552</v>
      </c>
      <c r="D11" s="7">
        <v>45556</v>
      </c>
      <c r="E11" t="s">
        <v>22</v>
      </c>
      <c r="F11" t="s">
        <v>106</v>
      </c>
      <c r="G11" t="s">
        <v>1569</v>
      </c>
      <c r="H11" t="s">
        <v>25</v>
      </c>
      <c r="I11" t="s">
        <v>26</v>
      </c>
      <c r="J11" t="s">
        <v>109</v>
      </c>
      <c r="K11" t="s">
        <v>110</v>
      </c>
      <c r="L11" t="s">
        <v>41</v>
      </c>
      <c r="M11">
        <v>682001</v>
      </c>
      <c r="N11" t="s">
        <v>761</v>
      </c>
      <c r="O11" t="s">
        <v>188</v>
      </c>
      <c r="P11" t="s">
        <v>189</v>
      </c>
      <c r="Q11" t="s">
        <v>190</v>
      </c>
      <c r="R11" s="8">
        <v>10900.01</v>
      </c>
      <c r="S11">
        <v>2</v>
      </c>
      <c r="T11">
        <v>0.05</v>
      </c>
      <c r="U11" s="8">
        <v>951.82</v>
      </c>
      <c r="V11" t="s">
        <v>1561</v>
      </c>
      <c r="W11" t="s">
        <v>1561</v>
      </c>
    </row>
    <row r="12" spans="1:23">
      <c r="A12">
        <v>1011</v>
      </c>
      <c r="B12" t="s">
        <v>287</v>
      </c>
      <c r="C12" s="7">
        <v>45487</v>
      </c>
      <c r="D12" s="7">
        <v>45492</v>
      </c>
      <c r="E12" t="s">
        <v>101</v>
      </c>
      <c r="F12" t="s">
        <v>288</v>
      </c>
      <c r="G12" t="s">
        <v>1570</v>
      </c>
      <c r="H12" t="s">
        <v>25</v>
      </c>
      <c r="I12" t="s">
        <v>26</v>
      </c>
      <c r="J12" t="s">
        <v>166</v>
      </c>
      <c r="K12" t="s">
        <v>132</v>
      </c>
      <c r="L12" t="s">
        <v>41</v>
      </c>
      <c r="M12">
        <v>400001</v>
      </c>
      <c r="N12" t="s">
        <v>289</v>
      </c>
      <c r="O12" t="s">
        <v>83</v>
      </c>
      <c r="P12" t="s">
        <v>84</v>
      </c>
      <c r="Q12" t="s">
        <v>85</v>
      </c>
      <c r="R12" s="8">
        <v>7328.85</v>
      </c>
      <c r="S12">
        <v>3</v>
      </c>
      <c r="T12">
        <v>0.25</v>
      </c>
      <c r="U12" s="8">
        <v>525.67999999999995</v>
      </c>
      <c r="V12" t="s">
        <v>1561</v>
      </c>
      <c r="W12" t="s">
        <v>1561</v>
      </c>
    </row>
    <row r="13" spans="1:23">
      <c r="A13">
        <v>1012</v>
      </c>
      <c r="B13" t="s">
        <v>753</v>
      </c>
      <c r="C13" s="7">
        <v>45349</v>
      </c>
      <c r="D13" s="7">
        <v>45352</v>
      </c>
      <c r="E13" t="s">
        <v>101</v>
      </c>
      <c r="F13" t="s">
        <v>195</v>
      </c>
      <c r="G13" t="s">
        <v>1562</v>
      </c>
      <c r="H13" t="s">
        <v>108</v>
      </c>
      <c r="I13" t="s">
        <v>26</v>
      </c>
      <c r="J13" t="s">
        <v>131</v>
      </c>
      <c r="K13" t="s">
        <v>132</v>
      </c>
      <c r="L13" t="s">
        <v>41</v>
      </c>
      <c r="M13">
        <v>400001</v>
      </c>
      <c r="N13" t="s">
        <v>754</v>
      </c>
      <c r="O13" t="s">
        <v>138</v>
      </c>
      <c r="P13" t="s">
        <v>156</v>
      </c>
      <c r="Q13" t="s">
        <v>157</v>
      </c>
      <c r="R13" s="8">
        <v>1175.56</v>
      </c>
      <c r="S13">
        <v>4</v>
      </c>
      <c r="T13">
        <v>0.2</v>
      </c>
      <c r="U13" s="8">
        <v>76.790000000000006</v>
      </c>
      <c r="V13" t="s">
        <v>1561</v>
      </c>
      <c r="W13" t="s">
        <v>1561</v>
      </c>
    </row>
    <row r="14" spans="1:23">
      <c r="A14">
        <v>1013</v>
      </c>
      <c r="B14" t="s">
        <v>979</v>
      </c>
      <c r="C14" s="7">
        <v>45612</v>
      </c>
      <c r="D14" s="7">
        <v>45615</v>
      </c>
      <c r="E14" t="s">
        <v>69</v>
      </c>
      <c r="F14" t="s">
        <v>309</v>
      </c>
      <c r="G14" t="s">
        <v>1563</v>
      </c>
      <c r="H14" t="s">
        <v>108</v>
      </c>
      <c r="I14" t="s">
        <v>26</v>
      </c>
      <c r="J14" t="s">
        <v>160</v>
      </c>
      <c r="K14" t="s">
        <v>161</v>
      </c>
      <c r="L14" t="s">
        <v>92</v>
      </c>
      <c r="M14">
        <v>600001</v>
      </c>
      <c r="N14" t="s">
        <v>175</v>
      </c>
      <c r="O14" t="s">
        <v>55</v>
      </c>
      <c r="P14" t="s">
        <v>66</v>
      </c>
      <c r="Q14" t="s">
        <v>67</v>
      </c>
      <c r="R14" s="8">
        <v>33761.019999999997</v>
      </c>
      <c r="S14">
        <v>4</v>
      </c>
      <c r="T14">
        <v>0</v>
      </c>
      <c r="U14" s="8">
        <v>6171.99</v>
      </c>
      <c r="V14" t="s">
        <v>1561</v>
      </c>
      <c r="W14" t="s">
        <v>1561</v>
      </c>
    </row>
    <row r="15" spans="1:23">
      <c r="A15">
        <v>1014</v>
      </c>
      <c r="B15" t="s">
        <v>1446</v>
      </c>
      <c r="C15" s="7">
        <v>45349</v>
      </c>
      <c r="D15" s="7">
        <v>45352</v>
      </c>
      <c r="E15" t="s">
        <v>48</v>
      </c>
      <c r="F15" t="s">
        <v>395</v>
      </c>
      <c r="G15" t="s">
        <v>1569</v>
      </c>
      <c r="H15" t="s">
        <v>51</v>
      </c>
      <c r="I15" t="s">
        <v>26</v>
      </c>
      <c r="J15" t="s">
        <v>52</v>
      </c>
      <c r="K15" t="s">
        <v>52</v>
      </c>
      <c r="L15" t="s">
        <v>92</v>
      </c>
      <c r="M15">
        <v>600001</v>
      </c>
      <c r="N15" t="s">
        <v>1447</v>
      </c>
      <c r="O15" t="s">
        <v>188</v>
      </c>
      <c r="P15" t="s">
        <v>189</v>
      </c>
      <c r="Q15" t="s">
        <v>190</v>
      </c>
      <c r="R15" s="8">
        <v>11042.59</v>
      </c>
      <c r="S15">
        <v>2</v>
      </c>
      <c r="T15">
        <v>0</v>
      </c>
      <c r="U15" s="8">
        <v>1445.75</v>
      </c>
      <c r="V15" t="s">
        <v>1561</v>
      </c>
      <c r="W15" t="s">
        <v>1561</v>
      </c>
    </row>
    <row r="16" spans="1:23">
      <c r="A16">
        <v>1015</v>
      </c>
      <c r="B16" t="s">
        <v>1391</v>
      </c>
      <c r="C16" s="7">
        <v>45357</v>
      </c>
      <c r="D16" s="7">
        <v>45363</v>
      </c>
      <c r="E16" t="s">
        <v>101</v>
      </c>
      <c r="F16" t="s">
        <v>198</v>
      </c>
      <c r="G16" t="s">
        <v>1571</v>
      </c>
      <c r="H16" t="s">
        <v>51</v>
      </c>
      <c r="I16" t="s">
        <v>26</v>
      </c>
      <c r="J16" t="s">
        <v>131</v>
      </c>
      <c r="K16" t="s">
        <v>132</v>
      </c>
      <c r="L16" t="s">
        <v>63</v>
      </c>
      <c r="M16">
        <v>600001</v>
      </c>
      <c r="N16" t="s">
        <v>267</v>
      </c>
      <c r="O16" t="s">
        <v>83</v>
      </c>
      <c r="P16" t="s">
        <v>33</v>
      </c>
      <c r="Q16" t="s">
        <v>34</v>
      </c>
      <c r="R16" s="8">
        <v>1349.67</v>
      </c>
      <c r="S16">
        <v>1</v>
      </c>
      <c r="T16">
        <v>0.05</v>
      </c>
      <c r="U16" s="8">
        <v>226.98</v>
      </c>
      <c r="V16" t="s">
        <v>1561</v>
      </c>
      <c r="W16" t="s">
        <v>1561</v>
      </c>
    </row>
    <row r="17" spans="1:23">
      <c r="A17">
        <v>1016</v>
      </c>
      <c r="B17" t="s">
        <v>787</v>
      </c>
      <c r="C17" s="7">
        <v>45451</v>
      </c>
      <c r="D17" s="7">
        <v>45455</v>
      </c>
      <c r="E17" t="s">
        <v>48</v>
      </c>
      <c r="F17" t="s">
        <v>560</v>
      </c>
      <c r="G17" t="s">
        <v>1567</v>
      </c>
      <c r="H17" t="s">
        <v>108</v>
      </c>
      <c r="I17" t="s">
        <v>26</v>
      </c>
      <c r="J17" t="s">
        <v>79</v>
      </c>
      <c r="K17" t="s">
        <v>80</v>
      </c>
      <c r="L17" t="s">
        <v>29</v>
      </c>
      <c r="M17">
        <v>673001</v>
      </c>
      <c r="N17" t="s">
        <v>788</v>
      </c>
      <c r="O17" t="s">
        <v>55</v>
      </c>
      <c r="P17" t="s">
        <v>98</v>
      </c>
      <c r="Q17" t="s">
        <v>99</v>
      </c>
      <c r="R17" s="8">
        <v>35154.68</v>
      </c>
      <c r="S17">
        <v>6</v>
      </c>
      <c r="T17">
        <v>0.1</v>
      </c>
      <c r="U17" s="8">
        <v>2789.52</v>
      </c>
      <c r="V17" t="s">
        <v>1561</v>
      </c>
      <c r="W17" t="s">
        <v>1561</v>
      </c>
    </row>
    <row r="18" spans="1:23">
      <c r="A18">
        <v>1017</v>
      </c>
      <c r="B18" t="s">
        <v>1061</v>
      </c>
      <c r="C18" s="7">
        <v>45593</v>
      </c>
      <c r="D18" s="7">
        <v>45595</v>
      </c>
      <c r="E18" t="s">
        <v>22</v>
      </c>
      <c r="F18" t="s">
        <v>482</v>
      </c>
      <c r="G18" t="s">
        <v>1560</v>
      </c>
      <c r="H18" t="s">
        <v>51</v>
      </c>
      <c r="I18" t="s">
        <v>26</v>
      </c>
      <c r="J18" t="s">
        <v>72</v>
      </c>
      <c r="K18" t="s">
        <v>73</v>
      </c>
      <c r="L18" t="s">
        <v>41</v>
      </c>
      <c r="M18">
        <v>682001</v>
      </c>
      <c r="N18" t="s">
        <v>390</v>
      </c>
      <c r="O18" t="s">
        <v>44</v>
      </c>
      <c r="P18" t="s">
        <v>45</v>
      </c>
      <c r="Q18" t="s">
        <v>46</v>
      </c>
      <c r="R18" s="8">
        <v>90435.68</v>
      </c>
      <c r="S18">
        <v>3</v>
      </c>
      <c r="T18">
        <v>0.1</v>
      </c>
      <c r="U18" s="8">
        <v>4983</v>
      </c>
      <c r="V18" t="s">
        <v>1561</v>
      </c>
      <c r="W18" t="s">
        <v>1561</v>
      </c>
    </row>
    <row r="19" spans="1:23">
      <c r="A19">
        <v>1018</v>
      </c>
      <c r="B19" t="s">
        <v>1023</v>
      </c>
      <c r="C19" s="7">
        <v>45634</v>
      </c>
      <c r="D19" s="7">
        <v>45638</v>
      </c>
      <c r="E19" t="s">
        <v>69</v>
      </c>
      <c r="F19" t="s">
        <v>130</v>
      </c>
      <c r="G19" t="s">
        <v>1571</v>
      </c>
      <c r="H19" t="s">
        <v>51</v>
      </c>
      <c r="I19" t="s">
        <v>26</v>
      </c>
      <c r="J19" t="s">
        <v>346</v>
      </c>
      <c r="K19" t="s">
        <v>132</v>
      </c>
      <c r="L19" t="s">
        <v>29</v>
      </c>
      <c r="M19">
        <v>682001</v>
      </c>
      <c r="N19" t="s">
        <v>1024</v>
      </c>
      <c r="O19" t="s">
        <v>188</v>
      </c>
      <c r="P19" t="s">
        <v>189</v>
      </c>
      <c r="Q19" t="s">
        <v>386</v>
      </c>
      <c r="R19" s="8">
        <v>6027.95</v>
      </c>
      <c r="S19">
        <v>3</v>
      </c>
      <c r="T19">
        <v>0.15</v>
      </c>
      <c r="U19" s="8">
        <v>226.12</v>
      </c>
      <c r="V19" t="s">
        <v>1561</v>
      </c>
      <c r="W19" t="s">
        <v>1561</v>
      </c>
    </row>
    <row r="20" spans="1:23">
      <c r="A20">
        <v>1019</v>
      </c>
      <c r="B20" t="s">
        <v>639</v>
      </c>
      <c r="C20" s="7">
        <v>45473</v>
      </c>
      <c r="D20" s="7">
        <v>45477</v>
      </c>
      <c r="E20" t="s">
        <v>101</v>
      </c>
      <c r="F20" t="s">
        <v>598</v>
      </c>
      <c r="G20" t="s">
        <v>1572</v>
      </c>
      <c r="H20" t="s">
        <v>51</v>
      </c>
      <c r="I20" t="s">
        <v>26</v>
      </c>
      <c r="J20" t="s">
        <v>39</v>
      </c>
      <c r="K20" t="s">
        <v>40</v>
      </c>
      <c r="L20" t="s">
        <v>41</v>
      </c>
      <c r="M20">
        <v>400001</v>
      </c>
      <c r="N20" t="s">
        <v>640</v>
      </c>
      <c r="O20" t="s">
        <v>83</v>
      </c>
      <c r="P20" t="s">
        <v>84</v>
      </c>
      <c r="Q20" t="s">
        <v>85</v>
      </c>
      <c r="R20" s="8">
        <v>2324.9699999999998</v>
      </c>
      <c r="S20">
        <v>1</v>
      </c>
      <c r="T20">
        <v>0.25</v>
      </c>
      <c r="U20" s="8">
        <v>162.51</v>
      </c>
      <c r="V20" t="s">
        <v>1561</v>
      </c>
      <c r="W20" t="s">
        <v>1561</v>
      </c>
    </row>
    <row r="21" spans="1:23">
      <c r="A21">
        <v>1020</v>
      </c>
      <c r="B21" t="s">
        <v>970</v>
      </c>
      <c r="C21" s="7">
        <v>45419</v>
      </c>
      <c r="D21" s="7">
        <v>45421</v>
      </c>
      <c r="E21" t="s">
        <v>69</v>
      </c>
      <c r="F21" t="s">
        <v>420</v>
      </c>
      <c r="G21" t="s">
        <v>1562</v>
      </c>
      <c r="H21" t="s">
        <v>51</v>
      </c>
      <c r="I21" t="s">
        <v>26</v>
      </c>
      <c r="J21" t="s">
        <v>90</v>
      </c>
      <c r="K21" t="s">
        <v>91</v>
      </c>
      <c r="L21" t="s">
        <v>92</v>
      </c>
      <c r="M21">
        <v>560001</v>
      </c>
      <c r="N21" t="s">
        <v>971</v>
      </c>
      <c r="O21" t="s">
        <v>44</v>
      </c>
      <c r="P21" t="s">
        <v>45</v>
      </c>
      <c r="Q21" t="s">
        <v>46</v>
      </c>
      <c r="R21" s="8">
        <v>148244.73000000001</v>
      </c>
      <c r="S21">
        <v>4</v>
      </c>
      <c r="T21">
        <v>0</v>
      </c>
      <c r="U21" s="8">
        <v>15818.96</v>
      </c>
      <c r="V21" t="s">
        <v>1561</v>
      </c>
      <c r="W21" t="s">
        <v>1561</v>
      </c>
    </row>
    <row r="22" spans="1:23">
      <c r="A22">
        <v>1021</v>
      </c>
      <c r="B22" t="s">
        <v>1518</v>
      </c>
      <c r="C22" s="7">
        <v>45573</v>
      </c>
      <c r="D22" s="7">
        <v>45574</v>
      </c>
      <c r="E22" t="s">
        <v>22</v>
      </c>
      <c r="F22" t="s">
        <v>411</v>
      </c>
      <c r="G22" t="s">
        <v>1568</v>
      </c>
      <c r="H22" t="s">
        <v>51</v>
      </c>
      <c r="I22" t="s">
        <v>26</v>
      </c>
      <c r="J22" t="s">
        <v>115</v>
      </c>
      <c r="K22" t="s">
        <v>116</v>
      </c>
      <c r="L22" t="s">
        <v>41</v>
      </c>
      <c r="M22">
        <v>673001</v>
      </c>
      <c r="N22" t="s">
        <v>1185</v>
      </c>
      <c r="O22" t="s">
        <v>138</v>
      </c>
      <c r="P22" t="s">
        <v>182</v>
      </c>
      <c r="Q22" t="s">
        <v>183</v>
      </c>
      <c r="R22" s="8">
        <v>1775.7</v>
      </c>
      <c r="S22">
        <v>6</v>
      </c>
      <c r="T22">
        <v>0.1</v>
      </c>
      <c r="U22" s="8">
        <v>8.86</v>
      </c>
      <c r="V22" t="s">
        <v>1561</v>
      </c>
      <c r="W22" t="s">
        <v>1561</v>
      </c>
    </row>
    <row r="23" spans="1:23">
      <c r="A23">
        <v>1022</v>
      </c>
      <c r="B23" t="s">
        <v>1485</v>
      </c>
      <c r="C23" s="7">
        <v>45497</v>
      </c>
      <c r="D23" s="7">
        <v>45498</v>
      </c>
      <c r="E23" t="s">
        <v>69</v>
      </c>
      <c r="F23" t="s">
        <v>678</v>
      </c>
      <c r="G23" t="s">
        <v>1569</v>
      </c>
      <c r="H23" t="s">
        <v>51</v>
      </c>
      <c r="I23" t="s">
        <v>26</v>
      </c>
      <c r="J23" t="s">
        <v>61</v>
      </c>
      <c r="K23" t="s">
        <v>62</v>
      </c>
      <c r="L23" t="s">
        <v>29</v>
      </c>
      <c r="M23">
        <v>695001</v>
      </c>
      <c r="N23" t="s">
        <v>934</v>
      </c>
      <c r="O23" t="s">
        <v>44</v>
      </c>
      <c r="P23" t="s">
        <v>211</v>
      </c>
      <c r="Q23" t="s">
        <v>223</v>
      </c>
      <c r="R23" s="8">
        <v>4497.9399999999996</v>
      </c>
      <c r="S23">
        <v>3</v>
      </c>
      <c r="T23">
        <v>0.1</v>
      </c>
      <c r="U23" s="8">
        <v>243.83</v>
      </c>
      <c r="V23" t="s">
        <v>1561</v>
      </c>
      <c r="W23" t="s">
        <v>1561</v>
      </c>
    </row>
    <row r="24" spans="1:23">
      <c r="A24">
        <v>1023</v>
      </c>
      <c r="B24" t="s">
        <v>809</v>
      </c>
      <c r="C24" s="7">
        <v>45371</v>
      </c>
      <c r="D24" s="7">
        <v>45373</v>
      </c>
      <c r="E24" t="s">
        <v>48</v>
      </c>
      <c r="F24" t="s">
        <v>810</v>
      </c>
      <c r="G24" t="s">
        <v>1569</v>
      </c>
      <c r="H24" t="s">
        <v>51</v>
      </c>
      <c r="I24" t="s">
        <v>26</v>
      </c>
      <c r="J24" t="s">
        <v>27</v>
      </c>
      <c r="K24" t="s">
        <v>28</v>
      </c>
      <c r="L24" t="s">
        <v>41</v>
      </c>
      <c r="M24">
        <v>400001</v>
      </c>
      <c r="N24" t="s">
        <v>518</v>
      </c>
      <c r="O24" t="s">
        <v>138</v>
      </c>
      <c r="P24" t="s">
        <v>182</v>
      </c>
      <c r="Q24" t="s">
        <v>183</v>
      </c>
      <c r="R24" s="8">
        <v>1211.3699999999999</v>
      </c>
      <c r="S24">
        <v>4</v>
      </c>
      <c r="T24">
        <v>0.3</v>
      </c>
      <c r="U24" s="8">
        <v>6.55</v>
      </c>
      <c r="V24" t="s">
        <v>1561</v>
      </c>
      <c r="W24" t="s">
        <v>1561</v>
      </c>
    </row>
    <row r="25" spans="1:23">
      <c r="A25">
        <v>1024</v>
      </c>
      <c r="B25" t="s">
        <v>387</v>
      </c>
      <c r="C25" s="7">
        <v>45321</v>
      </c>
      <c r="D25" s="7">
        <v>45326</v>
      </c>
      <c r="E25" t="s">
        <v>22</v>
      </c>
      <c r="F25" t="s">
        <v>388</v>
      </c>
      <c r="G25" t="s">
        <v>1571</v>
      </c>
      <c r="H25" t="s">
        <v>25</v>
      </c>
      <c r="I25" t="s">
        <v>26</v>
      </c>
      <c r="J25" t="s">
        <v>346</v>
      </c>
      <c r="K25" t="s">
        <v>132</v>
      </c>
      <c r="L25" t="s">
        <v>41</v>
      </c>
      <c r="M25">
        <v>600001</v>
      </c>
      <c r="N25" t="s">
        <v>390</v>
      </c>
      <c r="O25" t="s">
        <v>44</v>
      </c>
      <c r="P25" t="s">
        <v>207</v>
      </c>
      <c r="Q25" t="s">
        <v>208</v>
      </c>
      <c r="R25" s="8">
        <v>143735.29</v>
      </c>
      <c r="S25">
        <v>3</v>
      </c>
      <c r="T25">
        <v>0.05</v>
      </c>
      <c r="U25" s="8">
        <v>11251.26</v>
      </c>
      <c r="V25" t="s">
        <v>1561</v>
      </c>
      <c r="W25" t="s">
        <v>1561</v>
      </c>
    </row>
    <row r="26" spans="1:23">
      <c r="A26">
        <v>1025</v>
      </c>
      <c r="B26" t="s">
        <v>603</v>
      </c>
      <c r="C26" s="7">
        <v>45588</v>
      </c>
      <c r="D26" s="7">
        <v>45593</v>
      </c>
      <c r="E26" t="s">
        <v>22</v>
      </c>
      <c r="F26" t="s">
        <v>604</v>
      </c>
      <c r="G26" t="s">
        <v>1573</v>
      </c>
      <c r="H26" t="s">
        <v>51</v>
      </c>
      <c r="I26" t="s">
        <v>26</v>
      </c>
      <c r="J26" t="s">
        <v>90</v>
      </c>
      <c r="K26" t="s">
        <v>91</v>
      </c>
      <c r="L26" t="s">
        <v>29</v>
      </c>
      <c r="M26">
        <v>400001</v>
      </c>
      <c r="N26" t="s">
        <v>605</v>
      </c>
      <c r="O26" t="s">
        <v>188</v>
      </c>
      <c r="P26" t="s">
        <v>189</v>
      </c>
      <c r="Q26" t="s">
        <v>386</v>
      </c>
      <c r="R26" s="8">
        <v>1994.8</v>
      </c>
      <c r="S26">
        <v>1</v>
      </c>
      <c r="T26">
        <v>0.1</v>
      </c>
      <c r="U26" s="8">
        <v>109.23</v>
      </c>
      <c r="V26" t="s">
        <v>1561</v>
      </c>
      <c r="W26" t="s">
        <v>1561</v>
      </c>
    </row>
    <row r="27" spans="1:23">
      <c r="A27">
        <v>1026</v>
      </c>
      <c r="B27" t="s">
        <v>982</v>
      </c>
      <c r="C27" s="7">
        <v>45414</v>
      </c>
      <c r="D27" s="7">
        <v>45417</v>
      </c>
      <c r="E27" t="s">
        <v>101</v>
      </c>
      <c r="F27" t="s">
        <v>736</v>
      </c>
      <c r="G27" t="s">
        <v>1566</v>
      </c>
      <c r="H27" t="s">
        <v>51</v>
      </c>
      <c r="I27" t="s">
        <v>26</v>
      </c>
      <c r="J27" t="s">
        <v>79</v>
      </c>
      <c r="K27" t="s">
        <v>80</v>
      </c>
      <c r="L27" t="s">
        <v>63</v>
      </c>
      <c r="M27">
        <v>560001</v>
      </c>
      <c r="N27" t="s">
        <v>747</v>
      </c>
      <c r="O27" t="s">
        <v>138</v>
      </c>
      <c r="P27" t="s">
        <v>121</v>
      </c>
      <c r="Q27" t="s">
        <v>122</v>
      </c>
      <c r="R27" s="8">
        <v>1118.1400000000001</v>
      </c>
      <c r="S27">
        <v>2</v>
      </c>
      <c r="T27">
        <v>0.2</v>
      </c>
      <c r="U27" s="8">
        <v>89.04</v>
      </c>
      <c r="V27" t="s">
        <v>1561</v>
      </c>
      <c r="W27" t="s">
        <v>1561</v>
      </c>
    </row>
    <row r="28" spans="1:23">
      <c r="A28">
        <v>1027</v>
      </c>
      <c r="B28" t="s">
        <v>1087</v>
      </c>
      <c r="C28" s="7">
        <v>45329</v>
      </c>
      <c r="D28" s="7">
        <v>45334</v>
      </c>
      <c r="E28" t="s">
        <v>69</v>
      </c>
      <c r="F28" t="s">
        <v>490</v>
      </c>
      <c r="G28" t="s">
        <v>1570</v>
      </c>
      <c r="H28" t="s">
        <v>51</v>
      </c>
      <c r="I28" t="s">
        <v>26</v>
      </c>
      <c r="J28" t="s">
        <v>27</v>
      </c>
      <c r="K28" t="s">
        <v>28</v>
      </c>
      <c r="L28" t="s">
        <v>92</v>
      </c>
      <c r="M28">
        <v>695001</v>
      </c>
      <c r="N28" t="s">
        <v>1088</v>
      </c>
      <c r="O28" t="s">
        <v>188</v>
      </c>
      <c r="P28" t="s">
        <v>189</v>
      </c>
      <c r="Q28" t="s">
        <v>190</v>
      </c>
      <c r="R28" s="8">
        <v>12415.71</v>
      </c>
      <c r="S28">
        <v>2</v>
      </c>
      <c r="T28">
        <v>0</v>
      </c>
      <c r="U28" s="8">
        <v>1932.68</v>
      </c>
      <c r="V28" t="s">
        <v>1561</v>
      </c>
      <c r="W28" t="s">
        <v>1561</v>
      </c>
    </row>
    <row r="29" spans="1:23">
      <c r="A29">
        <v>1028</v>
      </c>
      <c r="B29" t="s">
        <v>1362</v>
      </c>
      <c r="C29" s="7">
        <v>45605</v>
      </c>
      <c r="D29" s="7">
        <v>45611</v>
      </c>
      <c r="E29" t="s">
        <v>22</v>
      </c>
      <c r="F29" t="s">
        <v>70</v>
      </c>
      <c r="G29" t="s">
        <v>1572</v>
      </c>
      <c r="H29" t="s">
        <v>51</v>
      </c>
      <c r="I29" t="s">
        <v>26</v>
      </c>
      <c r="J29" t="s">
        <v>72</v>
      </c>
      <c r="K29" t="s">
        <v>73</v>
      </c>
      <c r="L29" t="s">
        <v>63</v>
      </c>
      <c r="M29">
        <v>400001</v>
      </c>
      <c r="N29" t="s">
        <v>1363</v>
      </c>
      <c r="O29" t="s">
        <v>55</v>
      </c>
      <c r="P29" t="s">
        <v>56</v>
      </c>
      <c r="Q29" t="s">
        <v>57</v>
      </c>
      <c r="R29" s="8">
        <v>12431.73</v>
      </c>
      <c r="S29">
        <v>2</v>
      </c>
      <c r="T29">
        <v>0.15</v>
      </c>
      <c r="U29" s="8">
        <v>940.88</v>
      </c>
      <c r="V29" t="s">
        <v>1561</v>
      </c>
      <c r="W29" t="s">
        <v>1561</v>
      </c>
    </row>
    <row r="30" spans="1:23">
      <c r="A30">
        <v>1029</v>
      </c>
      <c r="B30" t="s">
        <v>546</v>
      </c>
      <c r="C30" s="7">
        <v>45431</v>
      </c>
      <c r="D30" s="7">
        <v>45434</v>
      </c>
      <c r="E30" t="s">
        <v>69</v>
      </c>
      <c r="F30" t="s">
        <v>225</v>
      </c>
      <c r="G30" t="s">
        <v>1563</v>
      </c>
      <c r="H30" t="s">
        <v>51</v>
      </c>
      <c r="I30" t="s">
        <v>26</v>
      </c>
      <c r="J30" t="s">
        <v>166</v>
      </c>
      <c r="K30" t="s">
        <v>132</v>
      </c>
      <c r="L30" t="s">
        <v>92</v>
      </c>
      <c r="M30">
        <v>400001</v>
      </c>
      <c r="N30" t="s">
        <v>547</v>
      </c>
      <c r="O30" t="s">
        <v>55</v>
      </c>
      <c r="P30" t="s">
        <v>66</v>
      </c>
      <c r="Q30" t="s">
        <v>67</v>
      </c>
      <c r="R30" s="8">
        <v>7543.33</v>
      </c>
      <c r="S30">
        <v>1</v>
      </c>
      <c r="T30">
        <v>0.05</v>
      </c>
      <c r="U30" s="8">
        <v>815.58</v>
      </c>
      <c r="V30" t="s">
        <v>1561</v>
      </c>
      <c r="W30" t="s">
        <v>1561</v>
      </c>
    </row>
    <row r="31" spans="1:23">
      <c r="A31">
        <v>1030</v>
      </c>
      <c r="B31" t="s">
        <v>658</v>
      </c>
      <c r="C31" s="7">
        <v>45339</v>
      </c>
      <c r="D31" s="7">
        <v>45345</v>
      </c>
      <c r="E31" t="s">
        <v>101</v>
      </c>
      <c r="F31" t="s">
        <v>340</v>
      </c>
      <c r="G31" t="s">
        <v>1570</v>
      </c>
      <c r="H31" t="s">
        <v>51</v>
      </c>
      <c r="I31" t="s">
        <v>26</v>
      </c>
      <c r="J31" t="s">
        <v>61</v>
      </c>
      <c r="K31" t="s">
        <v>62</v>
      </c>
      <c r="L31" t="s">
        <v>41</v>
      </c>
      <c r="M31">
        <v>673001</v>
      </c>
      <c r="N31" t="s">
        <v>201</v>
      </c>
      <c r="O31" t="s">
        <v>55</v>
      </c>
      <c r="P31" t="s">
        <v>66</v>
      </c>
      <c r="Q31" t="s">
        <v>67</v>
      </c>
      <c r="R31" s="8">
        <v>15763.02</v>
      </c>
      <c r="S31">
        <v>2</v>
      </c>
      <c r="T31">
        <v>0</v>
      </c>
      <c r="U31" s="8">
        <v>2301.8200000000002</v>
      </c>
      <c r="V31" t="s">
        <v>1561</v>
      </c>
      <c r="W31" t="s">
        <v>1561</v>
      </c>
    </row>
    <row r="32" spans="1:23">
      <c r="A32">
        <v>1031</v>
      </c>
      <c r="B32" t="s">
        <v>423</v>
      </c>
      <c r="C32" s="7">
        <v>45574</v>
      </c>
      <c r="D32" s="7">
        <v>45580</v>
      </c>
      <c r="E32" t="s">
        <v>101</v>
      </c>
      <c r="F32" t="s">
        <v>142</v>
      </c>
      <c r="G32" t="s">
        <v>1569</v>
      </c>
      <c r="H32" t="s">
        <v>25</v>
      </c>
      <c r="I32" t="s">
        <v>26</v>
      </c>
      <c r="J32" t="s">
        <v>27</v>
      </c>
      <c r="K32" t="s">
        <v>28</v>
      </c>
      <c r="L32" t="s">
        <v>41</v>
      </c>
      <c r="M32">
        <v>673001</v>
      </c>
      <c r="N32" t="s">
        <v>424</v>
      </c>
      <c r="O32" t="s">
        <v>44</v>
      </c>
      <c r="P32" t="s">
        <v>211</v>
      </c>
      <c r="Q32" t="s">
        <v>212</v>
      </c>
      <c r="R32" s="8">
        <v>1650.08</v>
      </c>
      <c r="S32">
        <v>2</v>
      </c>
      <c r="T32">
        <v>0.3</v>
      </c>
      <c r="U32" s="8">
        <v>-124.22</v>
      </c>
      <c r="V32" t="s">
        <v>1561</v>
      </c>
      <c r="W32" t="s">
        <v>1561</v>
      </c>
    </row>
    <row r="33" spans="1:23">
      <c r="A33">
        <v>1032</v>
      </c>
      <c r="B33" t="s">
        <v>296</v>
      </c>
      <c r="C33" s="7">
        <v>45512</v>
      </c>
      <c r="D33" s="7">
        <v>45514</v>
      </c>
      <c r="E33" t="s">
        <v>22</v>
      </c>
      <c r="F33" t="s">
        <v>124</v>
      </c>
      <c r="G33" t="s">
        <v>1563</v>
      </c>
      <c r="H33" t="s">
        <v>51</v>
      </c>
      <c r="I33" t="s">
        <v>26</v>
      </c>
      <c r="J33" t="s">
        <v>166</v>
      </c>
      <c r="K33" t="s">
        <v>132</v>
      </c>
      <c r="L33" t="s">
        <v>41</v>
      </c>
      <c r="M33">
        <v>695001</v>
      </c>
      <c r="N33" t="s">
        <v>297</v>
      </c>
      <c r="O33" t="s">
        <v>138</v>
      </c>
      <c r="P33" t="s">
        <v>121</v>
      </c>
      <c r="Q33" t="s">
        <v>122</v>
      </c>
      <c r="R33" s="8">
        <v>1299.96</v>
      </c>
      <c r="S33">
        <v>2</v>
      </c>
      <c r="T33">
        <v>0.05</v>
      </c>
      <c r="U33" s="8">
        <v>202.15</v>
      </c>
      <c r="V33" t="s">
        <v>1561</v>
      </c>
      <c r="W33" t="s">
        <v>1561</v>
      </c>
    </row>
    <row r="34" spans="1:23">
      <c r="A34">
        <v>1033</v>
      </c>
      <c r="B34" t="s">
        <v>1356</v>
      </c>
      <c r="C34" s="7">
        <v>45609</v>
      </c>
      <c r="D34" s="7">
        <v>45615</v>
      </c>
      <c r="E34" t="s">
        <v>69</v>
      </c>
      <c r="F34" t="s">
        <v>77</v>
      </c>
      <c r="G34" t="s">
        <v>1567</v>
      </c>
      <c r="H34" t="s">
        <v>25</v>
      </c>
      <c r="I34" t="s">
        <v>26</v>
      </c>
      <c r="J34" t="s">
        <v>90</v>
      </c>
      <c r="K34" t="s">
        <v>91</v>
      </c>
      <c r="L34" t="s">
        <v>92</v>
      </c>
      <c r="M34">
        <v>110001</v>
      </c>
      <c r="N34" t="s">
        <v>1357</v>
      </c>
      <c r="O34" t="s">
        <v>44</v>
      </c>
      <c r="P34" t="s">
        <v>211</v>
      </c>
      <c r="Q34" t="s">
        <v>223</v>
      </c>
      <c r="R34" s="8">
        <v>2605.36</v>
      </c>
      <c r="S34">
        <v>2</v>
      </c>
      <c r="T34">
        <v>0.25</v>
      </c>
      <c r="U34" s="8">
        <v>-139.69999999999999</v>
      </c>
      <c r="V34" t="s">
        <v>1561</v>
      </c>
      <c r="W34" t="s">
        <v>1561</v>
      </c>
    </row>
    <row r="35" spans="1:23">
      <c r="A35">
        <v>1034</v>
      </c>
      <c r="B35" t="s">
        <v>265</v>
      </c>
      <c r="C35" s="7">
        <v>45462</v>
      </c>
      <c r="D35" s="7">
        <v>45466</v>
      </c>
      <c r="E35" t="s">
        <v>69</v>
      </c>
      <c r="F35" t="s">
        <v>266</v>
      </c>
      <c r="G35" t="s">
        <v>1571</v>
      </c>
      <c r="H35" t="s">
        <v>51</v>
      </c>
      <c r="I35" t="s">
        <v>26</v>
      </c>
      <c r="J35" t="s">
        <v>27</v>
      </c>
      <c r="K35" t="s">
        <v>28</v>
      </c>
      <c r="L35" t="s">
        <v>41</v>
      </c>
      <c r="M35">
        <v>560001</v>
      </c>
      <c r="N35" t="s">
        <v>267</v>
      </c>
      <c r="O35" t="s">
        <v>83</v>
      </c>
      <c r="P35" t="s">
        <v>84</v>
      </c>
      <c r="Q35" t="s">
        <v>85</v>
      </c>
      <c r="R35" s="8">
        <v>5730.69</v>
      </c>
      <c r="S35">
        <v>2</v>
      </c>
      <c r="T35">
        <v>0.05</v>
      </c>
      <c r="U35" s="8">
        <v>1434.76</v>
      </c>
      <c r="V35" t="s">
        <v>1561</v>
      </c>
      <c r="W35" t="s">
        <v>1561</v>
      </c>
    </row>
    <row r="36" spans="1:23">
      <c r="A36">
        <v>1035</v>
      </c>
      <c r="B36" t="s">
        <v>1433</v>
      </c>
      <c r="C36" s="7">
        <v>45471</v>
      </c>
      <c r="D36" s="7">
        <v>45474</v>
      </c>
      <c r="E36" t="s">
        <v>69</v>
      </c>
      <c r="F36" t="s">
        <v>583</v>
      </c>
      <c r="G36" t="s">
        <v>1569</v>
      </c>
      <c r="H36" t="s">
        <v>51</v>
      </c>
      <c r="I36" t="s">
        <v>26</v>
      </c>
      <c r="J36" t="s">
        <v>346</v>
      </c>
      <c r="K36" t="s">
        <v>132</v>
      </c>
      <c r="L36" t="s">
        <v>92</v>
      </c>
      <c r="M36">
        <v>560001</v>
      </c>
      <c r="N36" t="s">
        <v>1434</v>
      </c>
      <c r="O36" t="s">
        <v>188</v>
      </c>
      <c r="P36" t="s">
        <v>189</v>
      </c>
      <c r="Q36" t="s">
        <v>386</v>
      </c>
      <c r="R36" s="8">
        <v>1435.17</v>
      </c>
      <c r="S36">
        <v>1</v>
      </c>
      <c r="T36">
        <v>0.3</v>
      </c>
      <c r="U36" s="8">
        <v>-116</v>
      </c>
      <c r="V36" t="s">
        <v>1561</v>
      </c>
      <c r="W36" t="s">
        <v>1561</v>
      </c>
    </row>
    <row r="37" spans="1:23">
      <c r="A37">
        <v>1036</v>
      </c>
      <c r="B37" t="s">
        <v>1315</v>
      </c>
      <c r="C37" s="7">
        <v>45620</v>
      </c>
      <c r="D37" s="7">
        <v>45625</v>
      </c>
      <c r="E37" t="s">
        <v>101</v>
      </c>
      <c r="F37" t="s">
        <v>375</v>
      </c>
      <c r="G37" t="s">
        <v>1572</v>
      </c>
      <c r="H37" t="s">
        <v>51</v>
      </c>
      <c r="I37" t="s">
        <v>26</v>
      </c>
      <c r="J37" t="s">
        <v>115</v>
      </c>
      <c r="K37" t="s">
        <v>116</v>
      </c>
      <c r="L37" t="s">
        <v>63</v>
      </c>
      <c r="M37">
        <v>673001</v>
      </c>
      <c r="N37" t="s">
        <v>343</v>
      </c>
      <c r="O37" t="s">
        <v>188</v>
      </c>
      <c r="P37" t="s">
        <v>189</v>
      </c>
      <c r="Q37" t="s">
        <v>386</v>
      </c>
      <c r="R37" s="8">
        <v>7346.66</v>
      </c>
      <c r="S37">
        <v>4</v>
      </c>
      <c r="T37">
        <v>0.2</v>
      </c>
      <c r="U37" s="8">
        <v>-293.87</v>
      </c>
      <c r="V37" t="s">
        <v>1561</v>
      </c>
      <c r="W37" t="s">
        <v>1561</v>
      </c>
    </row>
    <row r="38" spans="1:23">
      <c r="A38">
        <v>1037</v>
      </c>
      <c r="B38" t="s">
        <v>1194</v>
      </c>
      <c r="C38" s="7">
        <v>45347</v>
      </c>
      <c r="D38" s="7">
        <v>45352</v>
      </c>
      <c r="E38" t="s">
        <v>101</v>
      </c>
      <c r="F38" t="s">
        <v>378</v>
      </c>
      <c r="G38" t="s">
        <v>1560</v>
      </c>
      <c r="H38" t="s">
        <v>25</v>
      </c>
      <c r="I38" t="s">
        <v>26</v>
      </c>
      <c r="J38" t="s">
        <v>115</v>
      </c>
      <c r="K38" t="s">
        <v>116</v>
      </c>
      <c r="L38" t="s">
        <v>63</v>
      </c>
      <c r="M38">
        <v>560001</v>
      </c>
      <c r="N38" t="s">
        <v>222</v>
      </c>
      <c r="O38" t="s">
        <v>44</v>
      </c>
      <c r="P38" t="s">
        <v>211</v>
      </c>
      <c r="Q38" t="s">
        <v>212</v>
      </c>
      <c r="R38" s="8">
        <v>8840.48</v>
      </c>
      <c r="S38">
        <v>8</v>
      </c>
      <c r="T38">
        <v>0</v>
      </c>
      <c r="U38" s="8">
        <v>1125.8399999999999</v>
      </c>
      <c r="V38" t="s">
        <v>1561</v>
      </c>
      <c r="W38" t="s">
        <v>1561</v>
      </c>
    </row>
    <row r="39" spans="1:23">
      <c r="A39">
        <v>1038</v>
      </c>
      <c r="B39" t="s">
        <v>1100</v>
      </c>
      <c r="C39" s="7">
        <v>45314</v>
      </c>
      <c r="D39" s="7">
        <v>45320</v>
      </c>
      <c r="E39" t="s">
        <v>101</v>
      </c>
      <c r="F39" t="s">
        <v>180</v>
      </c>
      <c r="G39" t="s">
        <v>1568</v>
      </c>
      <c r="H39" t="s">
        <v>51</v>
      </c>
      <c r="I39" t="s">
        <v>26</v>
      </c>
      <c r="J39" t="s">
        <v>52</v>
      </c>
      <c r="K39" t="s">
        <v>52</v>
      </c>
      <c r="L39" t="s">
        <v>92</v>
      </c>
      <c r="M39">
        <v>695001</v>
      </c>
      <c r="N39" t="s">
        <v>1101</v>
      </c>
      <c r="O39" t="s">
        <v>44</v>
      </c>
      <c r="P39" t="s">
        <v>45</v>
      </c>
      <c r="Q39" t="s">
        <v>46</v>
      </c>
      <c r="R39" s="8">
        <v>94838.32</v>
      </c>
      <c r="S39">
        <v>3</v>
      </c>
      <c r="T39">
        <v>0.15</v>
      </c>
      <c r="U39" s="8">
        <v>1321.22</v>
      </c>
      <c r="V39" t="s">
        <v>1561</v>
      </c>
      <c r="W39" t="s">
        <v>1561</v>
      </c>
    </row>
    <row r="40" spans="1:23">
      <c r="A40">
        <v>1039</v>
      </c>
      <c r="B40" t="s">
        <v>986</v>
      </c>
      <c r="C40" s="7">
        <v>45445</v>
      </c>
      <c r="D40" s="7">
        <v>45450</v>
      </c>
      <c r="E40" t="s">
        <v>48</v>
      </c>
      <c r="F40" t="s">
        <v>70</v>
      </c>
      <c r="G40" t="s">
        <v>1564</v>
      </c>
      <c r="H40" t="s">
        <v>108</v>
      </c>
      <c r="I40" t="s">
        <v>26</v>
      </c>
      <c r="J40" t="s">
        <v>131</v>
      </c>
      <c r="K40" t="s">
        <v>132</v>
      </c>
      <c r="L40" t="s">
        <v>63</v>
      </c>
      <c r="M40">
        <v>560001</v>
      </c>
      <c r="N40" t="s">
        <v>483</v>
      </c>
      <c r="O40" t="s">
        <v>138</v>
      </c>
      <c r="P40" t="s">
        <v>156</v>
      </c>
      <c r="Q40" t="s">
        <v>157</v>
      </c>
      <c r="R40" s="8">
        <v>1189.48</v>
      </c>
      <c r="S40">
        <v>3</v>
      </c>
      <c r="T40">
        <v>0</v>
      </c>
      <c r="U40" s="8">
        <v>187.23</v>
      </c>
      <c r="V40" t="s">
        <v>1561</v>
      </c>
      <c r="W40" t="s">
        <v>1561</v>
      </c>
    </row>
    <row r="41" spans="1:23">
      <c r="A41">
        <v>1040</v>
      </c>
      <c r="B41" t="s">
        <v>112</v>
      </c>
      <c r="C41" s="7">
        <v>45638</v>
      </c>
      <c r="D41" s="7">
        <v>45644</v>
      </c>
      <c r="E41" t="s">
        <v>69</v>
      </c>
      <c r="F41" t="s">
        <v>113</v>
      </c>
      <c r="G41" t="s">
        <v>1574</v>
      </c>
      <c r="H41" t="s">
        <v>51</v>
      </c>
      <c r="I41" t="s">
        <v>26</v>
      </c>
      <c r="J41" t="s">
        <v>115</v>
      </c>
      <c r="K41" t="s">
        <v>116</v>
      </c>
      <c r="L41" t="s">
        <v>63</v>
      </c>
      <c r="M41">
        <v>560001</v>
      </c>
      <c r="N41" t="s">
        <v>119</v>
      </c>
      <c r="O41" t="s">
        <v>138</v>
      </c>
      <c r="P41" t="s">
        <v>121</v>
      </c>
      <c r="Q41" t="s">
        <v>122</v>
      </c>
      <c r="R41" s="8">
        <v>952.92</v>
      </c>
      <c r="S41">
        <v>2</v>
      </c>
      <c r="T41">
        <v>0.25</v>
      </c>
      <c r="U41" s="8">
        <v>28.87</v>
      </c>
      <c r="V41" t="s">
        <v>1561</v>
      </c>
      <c r="W41" t="s">
        <v>1561</v>
      </c>
    </row>
    <row r="42" spans="1:23">
      <c r="A42">
        <v>1041</v>
      </c>
      <c r="B42" t="s">
        <v>1394</v>
      </c>
      <c r="C42" s="7">
        <v>45530</v>
      </c>
      <c r="D42" s="7">
        <v>45534</v>
      </c>
      <c r="E42" t="s">
        <v>101</v>
      </c>
      <c r="F42" t="s">
        <v>375</v>
      </c>
      <c r="G42" t="s">
        <v>1565</v>
      </c>
      <c r="H42" t="s">
        <v>51</v>
      </c>
      <c r="I42" t="s">
        <v>26</v>
      </c>
      <c r="J42" t="s">
        <v>61</v>
      </c>
      <c r="K42" t="s">
        <v>62</v>
      </c>
      <c r="L42" t="s">
        <v>29</v>
      </c>
      <c r="M42">
        <v>110001</v>
      </c>
      <c r="N42" t="s">
        <v>855</v>
      </c>
      <c r="O42" t="s">
        <v>44</v>
      </c>
      <c r="P42" t="s">
        <v>207</v>
      </c>
      <c r="Q42" t="s">
        <v>208</v>
      </c>
      <c r="R42" s="8">
        <v>44016.82</v>
      </c>
      <c r="S42">
        <v>1</v>
      </c>
      <c r="T42">
        <v>0.2</v>
      </c>
      <c r="U42" s="8">
        <v>-934.61</v>
      </c>
      <c r="V42" t="s">
        <v>1561</v>
      </c>
      <c r="W42" t="s">
        <v>1561</v>
      </c>
    </row>
    <row r="43" spans="1:23">
      <c r="A43">
        <v>1042</v>
      </c>
      <c r="B43" t="s">
        <v>582</v>
      </c>
      <c r="C43" s="7">
        <v>45339</v>
      </c>
      <c r="D43" s="7">
        <v>45341</v>
      </c>
      <c r="E43" t="s">
        <v>48</v>
      </c>
      <c r="F43" t="s">
        <v>583</v>
      </c>
      <c r="G43" t="s">
        <v>1575</v>
      </c>
      <c r="H43" t="s">
        <v>25</v>
      </c>
      <c r="I43" t="s">
        <v>26</v>
      </c>
      <c r="J43" t="s">
        <v>160</v>
      </c>
      <c r="K43" t="s">
        <v>161</v>
      </c>
      <c r="L43" t="s">
        <v>92</v>
      </c>
      <c r="M43">
        <v>682001</v>
      </c>
      <c r="N43" t="s">
        <v>584</v>
      </c>
      <c r="O43" t="s">
        <v>44</v>
      </c>
      <c r="P43" t="s">
        <v>211</v>
      </c>
      <c r="Q43" t="s">
        <v>212</v>
      </c>
      <c r="R43" s="8">
        <v>1868.05</v>
      </c>
      <c r="S43">
        <v>2</v>
      </c>
      <c r="T43">
        <v>0.2</v>
      </c>
      <c r="U43" s="8">
        <v>-29.21</v>
      </c>
      <c r="V43" t="s">
        <v>1561</v>
      </c>
      <c r="W43" t="s">
        <v>1561</v>
      </c>
    </row>
    <row r="44" spans="1:23">
      <c r="A44">
        <v>1043</v>
      </c>
      <c r="B44" t="s">
        <v>758</v>
      </c>
      <c r="C44" s="7">
        <v>45525</v>
      </c>
      <c r="D44" s="7">
        <v>45529</v>
      </c>
      <c r="E44" t="s">
        <v>69</v>
      </c>
      <c r="F44" t="s">
        <v>225</v>
      </c>
      <c r="G44" t="s">
        <v>1560</v>
      </c>
      <c r="H44" t="s">
        <v>108</v>
      </c>
      <c r="I44" t="s">
        <v>26</v>
      </c>
      <c r="J44" t="s">
        <v>346</v>
      </c>
      <c r="K44" t="s">
        <v>132</v>
      </c>
      <c r="L44" t="s">
        <v>29</v>
      </c>
      <c r="M44">
        <v>560001</v>
      </c>
      <c r="N44" t="s">
        <v>759</v>
      </c>
      <c r="O44" t="s">
        <v>44</v>
      </c>
      <c r="P44" t="s">
        <v>211</v>
      </c>
      <c r="Q44" t="s">
        <v>223</v>
      </c>
      <c r="R44" s="8">
        <v>5236.6899999999996</v>
      </c>
      <c r="S44">
        <v>3</v>
      </c>
      <c r="T44">
        <v>0</v>
      </c>
      <c r="U44" s="8">
        <v>525.69000000000005</v>
      </c>
      <c r="V44" t="s">
        <v>1561</v>
      </c>
      <c r="W44" t="s">
        <v>1561</v>
      </c>
    </row>
    <row r="45" spans="1:23">
      <c r="A45">
        <v>1044</v>
      </c>
      <c r="B45" t="s">
        <v>756</v>
      </c>
      <c r="C45" s="7">
        <v>45509</v>
      </c>
      <c r="D45" s="7">
        <v>45511</v>
      </c>
      <c r="E45" t="s">
        <v>69</v>
      </c>
      <c r="F45" t="s">
        <v>398</v>
      </c>
      <c r="G45" t="s">
        <v>1560</v>
      </c>
      <c r="H45" t="s">
        <v>25</v>
      </c>
      <c r="I45" t="s">
        <v>26</v>
      </c>
      <c r="J45" t="s">
        <v>72</v>
      </c>
      <c r="K45" t="s">
        <v>73</v>
      </c>
      <c r="L45" t="s">
        <v>29</v>
      </c>
      <c r="M45">
        <v>673001</v>
      </c>
      <c r="N45" t="s">
        <v>757</v>
      </c>
      <c r="O45" t="s">
        <v>44</v>
      </c>
      <c r="P45" t="s">
        <v>211</v>
      </c>
      <c r="Q45" t="s">
        <v>212</v>
      </c>
      <c r="R45" s="8">
        <v>1244.08</v>
      </c>
      <c r="S45">
        <v>1</v>
      </c>
      <c r="T45">
        <v>0</v>
      </c>
      <c r="U45" s="8">
        <v>146.26</v>
      </c>
      <c r="V45" t="s">
        <v>1561</v>
      </c>
      <c r="W45" t="s">
        <v>1561</v>
      </c>
    </row>
    <row r="46" spans="1:23">
      <c r="A46">
        <v>1045</v>
      </c>
      <c r="B46" t="s">
        <v>529</v>
      </c>
      <c r="C46" s="7">
        <v>45633</v>
      </c>
      <c r="D46" s="7">
        <v>45638</v>
      </c>
      <c r="E46" t="s">
        <v>48</v>
      </c>
      <c r="F46" t="s">
        <v>106</v>
      </c>
      <c r="G46" t="s">
        <v>1567</v>
      </c>
      <c r="H46" t="s">
        <v>25</v>
      </c>
      <c r="I46" t="s">
        <v>26</v>
      </c>
      <c r="J46" t="s">
        <v>72</v>
      </c>
      <c r="K46" t="s">
        <v>73</v>
      </c>
      <c r="L46" t="s">
        <v>29</v>
      </c>
      <c r="M46">
        <v>600001</v>
      </c>
      <c r="N46" t="s">
        <v>530</v>
      </c>
      <c r="O46" t="s">
        <v>188</v>
      </c>
      <c r="P46" t="s">
        <v>189</v>
      </c>
      <c r="Q46" t="s">
        <v>190</v>
      </c>
      <c r="R46" s="8">
        <v>8623.07</v>
      </c>
      <c r="S46">
        <v>2</v>
      </c>
      <c r="T46">
        <v>0.3</v>
      </c>
      <c r="U46" s="8">
        <v>-552.71</v>
      </c>
      <c r="V46" t="s">
        <v>1561</v>
      </c>
      <c r="W46" t="s">
        <v>1561</v>
      </c>
    </row>
    <row r="47" spans="1:23">
      <c r="A47">
        <v>1046</v>
      </c>
      <c r="B47" t="s">
        <v>1056</v>
      </c>
      <c r="C47" s="7">
        <v>45373</v>
      </c>
      <c r="D47" s="7">
        <v>45379</v>
      </c>
      <c r="E47" t="s">
        <v>101</v>
      </c>
      <c r="F47" t="s">
        <v>260</v>
      </c>
      <c r="G47" t="s">
        <v>1570</v>
      </c>
      <c r="H47" t="s">
        <v>51</v>
      </c>
      <c r="I47" t="s">
        <v>26</v>
      </c>
      <c r="J47" t="s">
        <v>160</v>
      </c>
      <c r="K47" t="s">
        <v>161</v>
      </c>
      <c r="L47" t="s">
        <v>92</v>
      </c>
      <c r="M47">
        <v>110001</v>
      </c>
      <c r="N47" t="s">
        <v>679</v>
      </c>
      <c r="O47" t="s">
        <v>188</v>
      </c>
      <c r="P47" t="s">
        <v>189</v>
      </c>
      <c r="Q47" t="s">
        <v>190</v>
      </c>
      <c r="R47" s="8">
        <v>19064.439999999999</v>
      </c>
      <c r="S47">
        <v>5</v>
      </c>
      <c r="T47">
        <v>0.3</v>
      </c>
      <c r="U47" s="8">
        <v>-1371.31</v>
      </c>
      <c r="V47" t="s">
        <v>1561</v>
      </c>
      <c r="W47" t="s">
        <v>1561</v>
      </c>
    </row>
    <row r="48" spans="1:23">
      <c r="A48">
        <v>1047</v>
      </c>
      <c r="B48" t="s">
        <v>906</v>
      </c>
      <c r="C48" s="7">
        <v>45432</v>
      </c>
      <c r="D48" s="7">
        <v>45436</v>
      </c>
      <c r="E48" t="s">
        <v>22</v>
      </c>
      <c r="F48" t="s">
        <v>225</v>
      </c>
      <c r="G48" t="s">
        <v>1570</v>
      </c>
      <c r="H48" t="s">
        <v>25</v>
      </c>
      <c r="I48" t="s">
        <v>26</v>
      </c>
      <c r="J48" t="s">
        <v>115</v>
      </c>
      <c r="K48" t="s">
        <v>116</v>
      </c>
      <c r="L48" t="s">
        <v>92</v>
      </c>
      <c r="M48">
        <v>695001</v>
      </c>
      <c r="N48" t="s">
        <v>907</v>
      </c>
      <c r="O48" t="s">
        <v>83</v>
      </c>
      <c r="P48" t="s">
        <v>84</v>
      </c>
      <c r="Q48" t="s">
        <v>85</v>
      </c>
      <c r="R48" s="8">
        <v>9000.51</v>
      </c>
      <c r="S48">
        <v>3</v>
      </c>
      <c r="T48">
        <v>0.1</v>
      </c>
      <c r="U48" s="8">
        <v>1716.11</v>
      </c>
      <c r="V48" t="s">
        <v>1561</v>
      </c>
      <c r="W48" t="s">
        <v>1561</v>
      </c>
    </row>
    <row r="49" spans="1:23">
      <c r="A49">
        <v>1048</v>
      </c>
      <c r="B49" t="s">
        <v>1354</v>
      </c>
      <c r="C49" s="7">
        <v>45488</v>
      </c>
      <c r="D49" s="7">
        <v>45494</v>
      </c>
      <c r="E49" t="s">
        <v>69</v>
      </c>
      <c r="F49" t="s">
        <v>663</v>
      </c>
      <c r="G49" t="s">
        <v>1565</v>
      </c>
      <c r="H49" t="s">
        <v>51</v>
      </c>
      <c r="I49" t="s">
        <v>26</v>
      </c>
      <c r="J49" t="s">
        <v>226</v>
      </c>
      <c r="K49" t="s">
        <v>110</v>
      </c>
      <c r="L49" t="s">
        <v>41</v>
      </c>
      <c r="M49">
        <v>560001</v>
      </c>
      <c r="N49" t="s">
        <v>1355</v>
      </c>
      <c r="O49" t="s">
        <v>188</v>
      </c>
      <c r="P49" t="s">
        <v>189</v>
      </c>
      <c r="Q49" t="s">
        <v>190</v>
      </c>
      <c r="R49" s="8">
        <v>5446.31</v>
      </c>
      <c r="S49">
        <v>1</v>
      </c>
      <c r="T49">
        <v>0.1</v>
      </c>
      <c r="U49" s="8">
        <v>352.91</v>
      </c>
      <c r="V49" t="s">
        <v>1561</v>
      </c>
      <c r="W49" t="s">
        <v>1561</v>
      </c>
    </row>
    <row r="50" spans="1:23">
      <c r="A50">
        <v>1049</v>
      </c>
      <c r="B50" t="s">
        <v>1062</v>
      </c>
      <c r="C50" s="7">
        <v>45491</v>
      </c>
      <c r="D50" s="7">
        <v>45496</v>
      </c>
      <c r="E50" t="s">
        <v>22</v>
      </c>
      <c r="F50" t="s">
        <v>771</v>
      </c>
      <c r="G50" t="s">
        <v>1567</v>
      </c>
      <c r="H50" t="s">
        <v>51</v>
      </c>
      <c r="I50" t="s">
        <v>26</v>
      </c>
      <c r="J50" t="s">
        <v>226</v>
      </c>
      <c r="K50" t="s">
        <v>110</v>
      </c>
      <c r="L50" t="s">
        <v>29</v>
      </c>
      <c r="M50">
        <v>560001</v>
      </c>
      <c r="N50" t="s">
        <v>162</v>
      </c>
      <c r="O50" t="s">
        <v>138</v>
      </c>
      <c r="P50" t="s">
        <v>121</v>
      </c>
      <c r="Q50" t="s">
        <v>122</v>
      </c>
      <c r="R50" s="8">
        <v>489.27</v>
      </c>
      <c r="S50">
        <v>1</v>
      </c>
      <c r="T50">
        <v>0.25</v>
      </c>
      <c r="U50" s="8">
        <v>17.68</v>
      </c>
      <c r="V50" t="s">
        <v>1561</v>
      </c>
      <c r="W50" t="s">
        <v>1561</v>
      </c>
    </row>
    <row r="51" spans="1:23">
      <c r="A51">
        <v>1050</v>
      </c>
      <c r="B51" t="s">
        <v>365</v>
      </c>
      <c r="C51" s="7">
        <v>45567</v>
      </c>
      <c r="D51" s="7">
        <v>45573</v>
      </c>
      <c r="E51" t="s">
        <v>69</v>
      </c>
      <c r="F51" t="s">
        <v>135</v>
      </c>
      <c r="G51" t="s">
        <v>1565</v>
      </c>
      <c r="H51" t="s">
        <v>25</v>
      </c>
      <c r="I51" t="s">
        <v>26</v>
      </c>
      <c r="J51" t="s">
        <v>226</v>
      </c>
      <c r="K51" t="s">
        <v>110</v>
      </c>
      <c r="L51" t="s">
        <v>63</v>
      </c>
      <c r="M51">
        <v>560001</v>
      </c>
      <c r="N51" t="s">
        <v>366</v>
      </c>
      <c r="O51" t="s">
        <v>55</v>
      </c>
      <c r="P51" t="s">
        <v>66</v>
      </c>
      <c r="Q51" t="s">
        <v>67</v>
      </c>
      <c r="R51" s="8">
        <v>29454.639999999999</v>
      </c>
      <c r="S51">
        <v>5</v>
      </c>
      <c r="T51">
        <v>0.25</v>
      </c>
      <c r="U51" s="8">
        <v>-59.2</v>
      </c>
      <c r="V51" t="s">
        <v>1561</v>
      </c>
      <c r="W51" t="s">
        <v>1561</v>
      </c>
    </row>
    <row r="52" spans="1:23">
      <c r="A52">
        <v>1051</v>
      </c>
      <c r="B52" t="s">
        <v>1095</v>
      </c>
      <c r="C52" s="7">
        <v>45376</v>
      </c>
      <c r="D52" s="7">
        <v>45380</v>
      </c>
      <c r="E52" t="s">
        <v>69</v>
      </c>
      <c r="F52" t="s">
        <v>604</v>
      </c>
      <c r="G52" t="s">
        <v>1568</v>
      </c>
      <c r="H52" t="s">
        <v>51</v>
      </c>
      <c r="I52" t="s">
        <v>26</v>
      </c>
      <c r="J52" t="s">
        <v>346</v>
      </c>
      <c r="K52" t="s">
        <v>132</v>
      </c>
      <c r="L52" t="s">
        <v>41</v>
      </c>
      <c r="M52">
        <v>560001</v>
      </c>
      <c r="N52" t="s">
        <v>862</v>
      </c>
      <c r="O52" t="s">
        <v>55</v>
      </c>
      <c r="P52" t="s">
        <v>98</v>
      </c>
      <c r="Q52" t="s">
        <v>99</v>
      </c>
      <c r="R52" s="8">
        <v>17760.55</v>
      </c>
      <c r="S52">
        <v>4</v>
      </c>
      <c r="T52">
        <v>0.25</v>
      </c>
      <c r="U52" s="8">
        <v>-47.43</v>
      </c>
      <c r="V52" t="s">
        <v>1561</v>
      </c>
      <c r="W52" t="s">
        <v>1561</v>
      </c>
    </row>
    <row r="53" spans="1:23">
      <c r="A53">
        <v>1052</v>
      </c>
      <c r="B53" t="s">
        <v>621</v>
      </c>
      <c r="C53" s="7">
        <v>45528</v>
      </c>
      <c r="D53" s="7">
        <v>45530</v>
      </c>
      <c r="E53" t="s">
        <v>22</v>
      </c>
      <c r="F53" t="s">
        <v>601</v>
      </c>
      <c r="G53" t="s">
        <v>1564</v>
      </c>
      <c r="H53" t="s">
        <v>51</v>
      </c>
      <c r="I53" t="s">
        <v>26</v>
      </c>
      <c r="J53" t="s">
        <v>79</v>
      </c>
      <c r="K53" t="s">
        <v>80</v>
      </c>
      <c r="L53" t="s">
        <v>63</v>
      </c>
      <c r="M53">
        <v>682001</v>
      </c>
      <c r="N53" t="s">
        <v>622</v>
      </c>
      <c r="O53" t="s">
        <v>138</v>
      </c>
      <c r="P53" t="s">
        <v>156</v>
      </c>
      <c r="Q53" t="s">
        <v>157</v>
      </c>
      <c r="R53" s="8">
        <v>1050.83</v>
      </c>
      <c r="S53">
        <v>3</v>
      </c>
      <c r="T53">
        <v>0.05</v>
      </c>
      <c r="U53" s="8">
        <v>176.77</v>
      </c>
      <c r="V53" t="s">
        <v>1561</v>
      </c>
      <c r="W53" t="s">
        <v>1561</v>
      </c>
    </row>
    <row r="54" spans="1:23">
      <c r="A54">
        <v>1053</v>
      </c>
      <c r="B54" t="s">
        <v>1401</v>
      </c>
      <c r="C54" s="7">
        <v>45421</v>
      </c>
      <c r="D54" s="7">
        <v>45422</v>
      </c>
      <c r="E54" t="s">
        <v>101</v>
      </c>
      <c r="F54" t="s">
        <v>701</v>
      </c>
      <c r="G54" t="s">
        <v>1560</v>
      </c>
      <c r="H54" t="s">
        <v>25</v>
      </c>
      <c r="I54" t="s">
        <v>26</v>
      </c>
      <c r="J54" t="s">
        <v>226</v>
      </c>
      <c r="K54" t="s">
        <v>110</v>
      </c>
      <c r="L54" t="s">
        <v>41</v>
      </c>
      <c r="M54">
        <v>695001</v>
      </c>
      <c r="N54" t="s">
        <v>1402</v>
      </c>
      <c r="O54" t="s">
        <v>55</v>
      </c>
      <c r="P54" t="s">
        <v>56</v>
      </c>
      <c r="Q54" t="s">
        <v>57</v>
      </c>
      <c r="R54" s="8">
        <v>11504.27</v>
      </c>
      <c r="S54">
        <v>2</v>
      </c>
      <c r="T54">
        <v>0.25</v>
      </c>
      <c r="U54" s="8">
        <v>-25.16</v>
      </c>
      <c r="V54" t="s">
        <v>1561</v>
      </c>
      <c r="W54" t="s">
        <v>1561</v>
      </c>
    </row>
    <row r="55" spans="1:23">
      <c r="A55">
        <v>1054</v>
      </c>
      <c r="B55" t="s">
        <v>1178</v>
      </c>
      <c r="C55" s="7">
        <v>45448</v>
      </c>
      <c r="D55" s="7">
        <v>45420</v>
      </c>
      <c r="E55" t="s">
        <v>22</v>
      </c>
      <c r="F55" t="s">
        <v>604</v>
      </c>
      <c r="G55" t="s">
        <v>1571</v>
      </c>
      <c r="H55" t="s">
        <v>25</v>
      </c>
      <c r="I55" t="s">
        <v>26</v>
      </c>
      <c r="J55" t="s">
        <v>90</v>
      </c>
      <c r="K55" t="s">
        <v>91</v>
      </c>
      <c r="L55" t="s">
        <v>92</v>
      </c>
      <c r="M55">
        <v>682001</v>
      </c>
      <c r="N55" t="s">
        <v>1179</v>
      </c>
      <c r="O55" t="s">
        <v>44</v>
      </c>
      <c r="P55" t="s">
        <v>45</v>
      </c>
      <c r="Q55" t="s">
        <v>46</v>
      </c>
      <c r="R55" s="8">
        <v>141935.22</v>
      </c>
      <c r="S55">
        <v>4</v>
      </c>
      <c r="T55">
        <v>0</v>
      </c>
      <c r="U55" s="8">
        <v>17607.82</v>
      </c>
      <c r="V55" t="s">
        <v>1561</v>
      </c>
      <c r="W55" t="s">
        <v>1561</v>
      </c>
    </row>
    <row r="56" spans="1:23">
      <c r="A56">
        <v>1055</v>
      </c>
      <c r="B56" t="s">
        <v>86</v>
      </c>
      <c r="C56" s="7">
        <v>45480</v>
      </c>
      <c r="D56" s="7">
        <v>45482</v>
      </c>
      <c r="E56" t="s">
        <v>22</v>
      </c>
      <c r="F56" t="s">
        <v>87</v>
      </c>
      <c r="G56" t="s">
        <v>1572</v>
      </c>
      <c r="H56" t="s">
        <v>25</v>
      </c>
      <c r="I56" t="s">
        <v>26</v>
      </c>
      <c r="J56" t="s">
        <v>90</v>
      </c>
      <c r="K56" t="s">
        <v>91</v>
      </c>
      <c r="L56" t="s">
        <v>92</v>
      </c>
      <c r="M56">
        <v>695001</v>
      </c>
      <c r="N56" t="s">
        <v>93</v>
      </c>
      <c r="O56" t="s">
        <v>44</v>
      </c>
      <c r="P56" t="s">
        <v>45</v>
      </c>
      <c r="Q56" t="s">
        <v>46</v>
      </c>
      <c r="R56" s="8">
        <v>29272.2</v>
      </c>
      <c r="S56">
        <v>1</v>
      </c>
      <c r="T56">
        <v>0.15</v>
      </c>
      <c r="U56" s="8">
        <v>288.51</v>
      </c>
      <c r="V56" t="s">
        <v>1561</v>
      </c>
      <c r="W56" t="s">
        <v>1561</v>
      </c>
    </row>
    <row r="57" spans="1:23">
      <c r="A57">
        <v>1056</v>
      </c>
      <c r="B57" t="s">
        <v>481</v>
      </c>
      <c r="C57" s="7">
        <v>45495</v>
      </c>
      <c r="D57" s="7">
        <v>45501</v>
      </c>
      <c r="E57" t="s">
        <v>69</v>
      </c>
      <c r="F57" t="s">
        <v>482</v>
      </c>
      <c r="G57" t="s">
        <v>1574</v>
      </c>
      <c r="H57" t="s">
        <v>108</v>
      </c>
      <c r="I57" t="s">
        <v>26</v>
      </c>
      <c r="J57" t="s">
        <v>79</v>
      </c>
      <c r="K57" t="s">
        <v>80</v>
      </c>
      <c r="L57" t="s">
        <v>92</v>
      </c>
      <c r="M57">
        <v>673001</v>
      </c>
      <c r="N57" t="s">
        <v>483</v>
      </c>
      <c r="O57" t="s">
        <v>44</v>
      </c>
      <c r="P57" t="s">
        <v>207</v>
      </c>
      <c r="Q57" t="s">
        <v>208</v>
      </c>
      <c r="R57" s="8">
        <v>113064.15</v>
      </c>
      <c r="S57">
        <v>3</v>
      </c>
      <c r="T57">
        <v>0.25</v>
      </c>
      <c r="U57" s="8">
        <v>-4930.3999999999996</v>
      </c>
      <c r="V57" t="s">
        <v>1561</v>
      </c>
      <c r="W57" t="s">
        <v>1561</v>
      </c>
    </row>
    <row r="58" spans="1:23">
      <c r="A58">
        <v>1057</v>
      </c>
      <c r="B58" t="s">
        <v>589</v>
      </c>
      <c r="C58" s="7">
        <v>45581</v>
      </c>
      <c r="D58" s="7">
        <v>45582</v>
      </c>
      <c r="E58" t="s">
        <v>48</v>
      </c>
      <c r="F58" t="s">
        <v>420</v>
      </c>
      <c r="G58" t="s">
        <v>1564</v>
      </c>
      <c r="H58" t="s">
        <v>108</v>
      </c>
      <c r="I58" t="s">
        <v>26</v>
      </c>
      <c r="J58" t="s">
        <v>27</v>
      </c>
      <c r="K58" t="s">
        <v>28</v>
      </c>
      <c r="L58" t="s">
        <v>63</v>
      </c>
      <c r="M58">
        <v>673001</v>
      </c>
      <c r="N58" t="s">
        <v>590</v>
      </c>
      <c r="O58" t="s">
        <v>55</v>
      </c>
      <c r="P58" t="s">
        <v>66</v>
      </c>
      <c r="Q58" t="s">
        <v>67</v>
      </c>
      <c r="R58" s="8">
        <v>27253.17</v>
      </c>
      <c r="S58">
        <v>3</v>
      </c>
      <c r="T58">
        <v>0</v>
      </c>
      <c r="U58" s="8">
        <v>5032.29</v>
      </c>
      <c r="V58" t="s">
        <v>1561</v>
      </c>
      <c r="W58" t="s">
        <v>1561</v>
      </c>
    </row>
    <row r="59" spans="1:23">
      <c r="A59">
        <v>1058</v>
      </c>
      <c r="B59" t="s">
        <v>1016</v>
      </c>
      <c r="C59" s="7">
        <v>45346</v>
      </c>
      <c r="D59" s="7">
        <v>45350</v>
      </c>
      <c r="E59" t="s">
        <v>48</v>
      </c>
      <c r="F59" t="s">
        <v>255</v>
      </c>
      <c r="G59" t="s">
        <v>1567</v>
      </c>
      <c r="H59" t="s">
        <v>51</v>
      </c>
      <c r="I59" t="s">
        <v>26</v>
      </c>
      <c r="J59" t="s">
        <v>90</v>
      </c>
      <c r="K59" t="s">
        <v>91</v>
      </c>
      <c r="L59" t="s">
        <v>29</v>
      </c>
      <c r="M59">
        <v>400001</v>
      </c>
      <c r="N59" t="s">
        <v>1001</v>
      </c>
      <c r="O59" t="s">
        <v>55</v>
      </c>
      <c r="P59" t="s">
        <v>56</v>
      </c>
      <c r="Q59" t="s">
        <v>57</v>
      </c>
      <c r="R59" s="8">
        <v>10295.15</v>
      </c>
      <c r="S59">
        <v>2</v>
      </c>
      <c r="T59">
        <v>0.3</v>
      </c>
      <c r="U59" s="8">
        <v>-427.25</v>
      </c>
      <c r="V59" t="s">
        <v>1561</v>
      </c>
      <c r="W59" t="s">
        <v>1561</v>
      </c>
    </row>
    <row r="60" spans="1:23">
      <c r="A60">
        <v>1059</v>
      </c>
      <c r="B60" t="s">
        <v>1479</v>
      </c>
      <c r="C60" s="7">
        <v>45607</v>
      </c>
      <c r="D60" s="7">
        <v>45612</v>
      </c>
      <c r="E60" t="s">
        <v>101</v>
      </c>
      <c r="F60" t="s">
        <v>598</v>
      </c>
      <c r="G60" t="s">
        <v>1564</v>
      </c>
      <c r="H60" t="s">
        <v>25</v>
      </c>
      <c r="I60" t="s">
        <v>26</v>
      </c>
      <c r="J60" t="s">
        <v>109</v>
      </c>
      <c r="K60" t="s">
        <v>110</v>
      </c>
      <c r="L60" t="s">
        <v>63</v>
      </c>
      <c r="M60">
        <v>695001</v>
      </c>
      <c r="N60" t="s">
        <v>1480</v>
      </c>
      <c r="O60" t="s">
        <v>44</v>
      </c>
      <c r="P60" t="s">
        <v>211</v>
      </c>
      <c r="Q60" t="s">
        <v>212</v>
      </c>
      <c r="R60" s="8">
        <v>7486.91</v>
      </c>
      <c r="S60">
        <v>7</v>
      </c>
      <c r="T60">
        <v>0.15</v>
      </c>
      <c r="U60" s="8">
        <v>78.92</v>
      </c>
      <c r="V60" t="s">
        <v>1561</v>
      </c>
      <c r="W60" t="s">
        <v>1561</v>
      </c>
    </row>
    <row r="61" spans="1:23">
      <c r="A61">
        <v>1060</v>
      </c>
      <c r="B61" t="s">
        <v>915</v>
      </c>
      <c r="C61" s="7">
        <v>45416</v>
      </c>
      <c r="D61" s="7">
        <v>45420</v>
      </c>
      <c r="E61" t="s">
        <v>101</v>
      </c>
      <c r="F61" t="s">
        <v>361</v>
      </c>
      <c r="G61" t="s">
        <v>1569</v>
      </c>
      <c r="H61" t="s">
        <v>108</v>
      </c>
      <c r="I61" t="s">
        <v>26</v>
      </c>
      <c r="J61" t="s">
        <v>72</v>
      </c>
      <c r="K61" t="s">
        <v>73</v>
      </c>
      <c r="L61" t="s">
        <v>29</v>
      </c>
      <c r="M61">
        <v>110001</v>
      </c>
      <c r="N61" t="s">
        <v>562</v>
      </c>
      <c r="O61" t="s">
        <v>188</v>
      </c>
      <c r="P61" t="s">
        <v>189</v>
      </c>
      <c r="Q61" t="s">
        <v>386</v>
      </c>
      <c r="R61" s="8">
        <v>3273.45</v>
      </c>
      <c r="S61">
        <v>2</v>
      </c>
      <c r="T61">
        <v>0.3</v>
      </c>
      <c r="U61" s="8">
        <v>-216.96</v>
      </c>
      <c r="V61" t="s">
        <v>1561</v>
      </c>
      <c r="W61" t="s">
        <v>1561</v>
      </c>
    </row>
    <row r="62" spans="1:23">
      <c r="A62">
        <v>1061</v>
      </c>
      <c r="B62" t="s">
        <v>496</v>
      </c>
      <c r="C62" s="7">
        <v>45435</v>
      </c>
      <c r="D62" s="7">
        <v>45440</v>
      </c>
      <c r="E62" t="s">
        <v>48</v>
      </c>
      <c r="F62" t="s">
        <v>142</v>
      </c>
      <c r="G62" t="s">
        <v>1569</v>
      </c>
      <c r="H62" t="s">
        <v>51</v>
      </c>
      <c r="I62" t="s">
        <v>26</v>
      </c>
      <c r="J62" t="s">
        <v>166</v>
      </c>
      <c r="K62" t="s">
        <v>132</v>
      </c>
      <c r="L62" t="s">
        <v>92</v>
      </c>
      <c r="M62">
        <v>673001</v>
      </c>
      <c r="N62" t="s">
        <v>497</v>
      </c>
      <c r="O62" t="s">
        <v>138</v>
      </c>
      <c r="P62" t="s">
        <v>182</v>
      </c>
      <c r="Q62" t="s">
        <v>183</v>
      </c>
      <c r="R62" s="8">
        <v>1888.54</v>
      </c>
      <c r="S62">
        <v>5</v>
      </c>
      <c r="T62">
        <v>0.2</v>
      </c>
      <c r="U62" s="8">
        <v>158.38</v>
      </c>
      <c r="V62" t="s">
        <v>1561</v>
      </c>
      <c r="W62" t="s">
        <v>1561</v>
      </c>
    </row>
    <row r="63" spans="1:23">
      <c r="A63">
        <v>1062</v>
      </c>
      <c r="B63" t="s">
        <v>652</v>
      </c>
      <c r="C63" s="7">
        <v>45622</v>
      </c>
      <c r="D63" s="7">
        <v>45628</v>
      </c>
      <c r="E63" t="s">
        <v>101</v>
      </c>
      <c r="F63" t="s">
        <v>260</v>
      </c>
      <c r="G63" t="s">
        <v>1575</v>
      </c>
      <c r="H63" t="s">
        <v>51</v>
      </c>
      <c r="I63" t="s">
        <v>26</v>
      </c>
      <c r="J63" t="s">
        <v>160</v>
      </c>
      <c r="K63" t="s">
        <v>161</v>
      </c>
      <c r="L63" t="s">
        <v>41</v>
      </c>
      <c r="M63">
        <v>673001</v>
      </c>
      <c r="N63" t="s">
        <v>653</v>
      </c>
      <c r="O63" t="s">
        <v>55</v>
      </c>
      <c r="P63" t="s">
        <v>98</v>
      </c>
      <c r="Q63" t="s">
        <v>99</v>
      </c>
      <c r="R63" s="8">
        <v>17398.18</v>
      </c>
      <c r="S63">
        <v>4</v>
      </c>
      <c r="T63">
        <v>0.3</v>
      </c>
      <c r="U63" s="8">
        <v>-490.21</v>
      </c>
      <c r="V63" t="s">
        <v>1561</v>
      </c>
      <c r="W63" t="s">
        <v>1561</v>
      </c>
    </row>
    <row r="64" spans="1:23">
      <c r="A64">
        <v>1063</v>
      </c>
      <c r="B64" t="s">
        <v>1381</v>
      </c>
      <c r="C64" s="7">
        <v>45534</v>
      </c>
      <c r="D64" s="7">
        <v>45539</v>
      </c>
      <c r="E64" t="s">
        <v>48</v>
      </c>
      <c r="F64" t="s">
        <v>791</v>
      </c>
      <c r="G64" t="s">
        <v>1560</v>
      </c>
      <c r="H64" t="s">
        <v>25</v>
      </c>
      <c r="I64" t="s">
        <v>26</v>
      </c>
      <c r="J64" t="s">
        <v>72</v>
      </c>
      <c r="K64" t="s">
        <v>73</v>
      </c>
      <c r="L64" t="s">
        <v>63</v>
      </c>
      <c r="M64">
        <v>695001</v>
      </c>
      <c r="N64" t="s">
        <v>1382</v>
      </c>
      <c r="O64" t="s">
        <v>55</v>
      </c>
      <c r="P64" t="s">
        <v>98</v>
      </c>
      <c r="Q64" t="s">
        <v>99</v>
      </c>
      <c r="R64" s="8">
        <v>9794.25</v>
      </c>
      <c r="S64">
        <v>2</v>
      </c>
      <c r="T64">
        <v>0.2</v>
      </c>
      <c r="U64" s="8">
        <v>283.12</v>
      </c>
      <c r="V64" t="s">
        <v>1561</v>
      </c>
      <c r="W64" t="s">
        <v>1561</v>
      </c>
    </row>
    <row r="65" spans="1:23">
      <c r="A65">
        <v>1064</v>
      </c>
      <c r="B65" t="s">
        <v>358</v>
      </c>
      <c r="C65" s="7">
        <v>45453</v>
      </c>
      <c r="D65" s="7">
        <v>45454</v>
      </c>
      <c r="E65" t="s">
        <v>69</v>
      </c>
      <c r="F65" t="s">
        <v>355</v>
      </c>
      <c r="G65" t="s">
        <v>1565</v>
      </c>
      <c r="H65" t="s">
        <v>51</v>
      </c>
      <c r="I65" t="s">
        <v>26</v>
      </c>
      <c r="J65" t="s">
        <v>39</v>
      </c>
      <c r="K65" t="s">
        <v>40</v>
      </c>
      <c r="L65" t="s">
        <v>29</v>
      </c>
      <c r="M65">
        <v>695001</v>
      </c>
      <c r="N65" t="s">
        <v>359</v>
      </c>
      <c r="O65" t="s">
        <v>55</v>
      </c>
      <c r="P65" t="s">
        <v>66</v>
      </c>
      <c r="Q65" t="s">
        <v>67</v>
      </c>
      <c r="R65" s="8">
        <v>8039.25</v>
      </c>
      <c r="S65">
        <v>1</v>
      </c>
      <c r="T65">
        <v>0.1</v>
      </c>
      <c r="U65" s="8">
        <v>901.48</v>
      </c>
      <c r="V65" t="s">
        <v>1561</v>
      </c>
      <c r="W65" t="s">
        <v>1561</v>
      </c>
    </row>
    <row r="66" spans="1:23">
      <c r="A66">
        <v>1065</v>
      </c>
      <c r="B66" t="s">
        <v>1389</v>
      </c>
      <c r="C66" s="7">
        <v>45391</v>
      </c>
      <c r="D66" s="7">
        <v>45394</v>
      </c>
      <c r="E66" t="s">
        <v>69</v>
      </c>
      <c r="F66" t="s">
        <v>203</v>
      </c>
      <c r="G66" t="s">
        <v>1571</v>
      </c>
      <c r="H66" t="s">
        <v>51</v>
      </c>
      <c r="I66" t="s">
        <v>26</v>
      </c>
      <c r="J66" t="s">
        <v>79</v>
      </c>
      <c r="K66" t="s">
        <v>80</v>
      </c>
      <c r="L66" t="s">
        <v>63</v>
      </c>
      <c r="M66">
        <v>673001</v>
      </c>
      <c r="N66" t="s">
        <v>1390</v>
      </c>
      <c r="O66" t="s">
        <v>83</v>
      </c>
      <c r="P66" t="s">
        <v>84</v>
      </c>
      <c r="Q66" t="s">
        <v>85</v>
      </c>
      <c r="R66" s="8">
        <v>5895.12</v>
      </c>
      <c r="S66">
        <v>2</v>
      </c>
      <c r="T66">
        <v>0</v>
      </c>
      <c r="U66" s="8">
        <v>1481.7</v>
      </c>
      <c r="V66" t="s">
        <v>1561</v>
      </c>
      <c r="W66" t="s">
        <v>1561</v>
      </c>
    </row>
    <row r="67" spans="1:23">
      <c r="A67">
        <v>1066</v>
      </c>
      <c r="B67" t="s">
        <v>317</v>
      </c>
      <c r="C67" s="7">
        <v>45649</v>
      </c>
      <c r="D67" s="7">
        <v>45651</v>
      </c>
      <c r="E67" t="s">
        <v>101</v>
      </c>
      <c r="F67" t="s">
        <v>173</v>
      </c>
      <c r="G67" t="s">
        <v>1572</v>
      </c>
      <c r="H67" t="s">
        <v>51</v>
      </c>
      <c r="I67" t="s">
        <v>26</v>
      </c>
      <c r="J67" t="s">
        <v>52</v>
      </c>
      <c r="K67" t="s">
        <v>52</v>
      </c>
      <c r="L67" t="s">
        <v>41</v>
      </c>
      <c r="M67">
        <v>600001</v>
      </c>
      <c r="N67" t="s">
        <v>318</v>
      </c>
      <c r="O67" t="s">
        <v>44</v>
      </c>
      <c r="P67" t="s">
        <v>211</v>
      </c>
      <c r="Q67" t="s">
        <v>212</v>
      </c>
      <c r="R67" s="8">
        <v>999999.99</v>
      </c>
      <c r="S67">
        <v>8</v>
      </c>
      <c r="T67">
        <v>0.15</v>
      </c>
      <c r="U67" s="8">
        <v>86.67</v>
      </c>
      <c r="V67" t="s">
        <v>1561</v>
      </c>
      <c r="W67" t="s">
        <v>1561</v>
      </c>
    </row>
    <row r="68" spans="1:23">
      <c r="A68">
        <v>1067</v>
      </c>
      <c r="B68" t="s">
        <v>246</v>
      </c>
      <c r="C68" s="7">
        <v>45421</v>
      </c>
      <c r="D68" s="7">
        <v>45425</v>
      </c>
      <c r="E68" t="s">
        <v>22</v>
      </c>
      <c r="F68" t="s">
        <v>247</v>
      </c>
      <c r="G68" t="s">
        <v>1573</v>
      </c>
      <c r="H68" t="s">
        <v>51</v>
      </c>
      <c r="I68" t="s">
        <v>26</v>
      </c>
      <c r="J68" t="s">
        <v>39</v>
      </c>
      <c r="K68" t="s">
        <v>40</v>
      </c>
      <c r="L68" t="s">
        <v>29</v>
      </c>
      <c r="M68">
        <v>560001</v>
      </c>
      <c r="N68" t="s">
        <v>248</v>
      </c>
      <c r="O68" t="s">
        <v>138</v>
      </c>
      <c r="P68" t="s">
        <v>182</v>
      </c>
      <c r="Q68" t="s">
        <v>183</v>
      </c>
      <c r="R68" s="8">
        <v>422.63</v>
      </c>
      <c r="S68">
        <v>1</v>
      </c>
      <c r="T68">
        <v>0</v>
      </c>
      <c r="U68" s="8">
        <v>77.66</v>
      </c>
      <c r="V68" t="s">
        <v>1561</v>
      </c>
      <c r="W68" t="s">
        <v>1561</v>
      </c>
    </row>
    <row r="69" spans="1:23">
      <c r="A69">
        <v>1068</v>
      </c>
      <c r="B69" t="s">
        <v>1137</v>
      </c>
      <c r="C69" s="7">
        <v>45335</v>
      </c>
      <c r="D69" s="7">
        <v>45337</v>
      </c>
      <c r="E69" t="s">
        <v>22</v>
      </c>
      <c r="F69" t="s">
        <v>142</v>
      </c>
      <c r="G69" t="s">
        <v>1575</v>
      </c>
      <c r="H69" t="s">
        <v>25</v>
      </c>
      <c r="I69" t="s">
        <v>26</v>
      </c>
      <c r="J69" t="s">
        <v>79</v>
      </c>
      <c r="K69" t="s">
        <v>80</v>
      </c>
      <c r="L69" t="s">
        <v>29</v>
      </c>
      <c r="M69">
        <v>600001</v>
      </c>
      <c r="N69" t="s">
        <v>443</v>
      </c>
      <c r="O69" t="s">
        <v>138</v>
      </c>
      <c r="P69" t="s">
        <v>156</v>
      </c>
      <c r="Q69" t="s">
        <v>157</v>
      </c>
      <c r="R69" s="8">
        <v>345.89</v>
      </c>
      <c r="S69">
        <v>1</v>
      </c>
      <c r="T69">
        <v>0.15</v>
      </c>
      <c r="U69" s="8">
        <v>32.32</v>
      </c>
      <c r="V69" t="s">
        <v>1561</v>
      </c>
      <c r="W69" t="s">
        <v>1561</v>
      </c>
    </row>
    <row r="70" spans="1:23">
      <c r="A70">
        <v>1069</v>
      </c>
      <c r="B70" t="s">
        <v>845</v>
      </c>
      <c r="C70" s="7">
        <v>45518</v>
      </c>
      <c r="D70" s="7">
        <v>45521</v>
      </c>
      <c r="E70" t="s">
        <v>101</v>
      </c>
      <c r="F70" t="s">
        <v>124</v>
      </c>
      <c r="G70" t="s">
        <v>1574</v>
      </c>
      <c r="H70" t="s">
        <v>51</v>
      </c>
      <c r="I70" t="s">
        <v>26</v>
      </c>
      <c r="J70" t="s">
        <v>27</v>
      </c>
      <c r="K70" t="s">
        <v>28</v>
      </c>
      <c r="L70" t="s">
        <v>41</v>
      </c>
      <c r="M70">
        <v>600001</v>
      </c>
      <c r="N70" t="s">
        <v>846</v>
      </c>
      <c r="O70" t="s">
        <v>138</v>
      </c>
      <c r="P70" t="s">
        <v>139</v>
      </c>
      <c r="Q70" t="s">
        <v>140</v>
      </c>
      <c r="R70" s="8">
        <v>2001</v>
      </c>
      <c r="S70">
        <v>3</v>
      </c>
      <c r="T70">
        <v>0.3</v>
      </c>
      <c r="U70" s="8">
        <v>11.02</v>
      </c>
      <c r="V70" t="s">
        <v>1561</v>
      </c>
      <c r="W70" t="s">
        <v>1561</v>
      </c>
    </row>
    <row r="71" spans="1:23">
      <c r="A71">
        <v>1070</v>
      </c>
      <c r="B71" t="s">
        <v>523</v>
      </c>
      <c r="C71" s="7">
        <v>45372</v>
      </c>
      <c r="D71" s="7">
        <v>45374</v>
      </c>
      <c r="E71" t="s">
        <v>69</v>
      </c>
      <c r="F71" t="s">
        <v>198</v>
      </c>
      <c r="G71" t="s">
        <v>1573</v>
      </c>
      <c r="H71" t="s">
        <v>51</v>
      </c>
      <c r="I71" t="s">
        <v>26</v>
      </c>
      <c r="J71" t="s">
        <v>131</v>
      </c>
      <c r="K71" t="s">
        <v>132</v>
      </c>
      <c r="L71" t="s">
        <v>92</v>
      </c>
      <c r="M71">
        <v>673001</v>
      </c>
      <c r="N71" t="s">
        <v>524</v>
      </c>
      <c r="O71" t="s">
        <v>83</v>
      </c>
      <c r="P71" t="s">
        <v>84</v>
      </c>
      <c r="Q71" t="s">
        <v>85</v>
      </c>
      <c r="R71" s="8">
        <v>3130.18</v>
      </c>
      <c r="S71">
        <v>1</v>
      </c>
      <c r="T71">
        <v>0</v>
      </c>
      <c r="U71" s="8">
        <v>967.14</v>
      </c>
      <c r="V71" t="s">
        <v>1561</v>
      </c>
      <c r="W71" t="s">
        <v>1561</v>
      </c>
    </row>
    <row r="72" spans="1:23">
      <c r="A72">
        <v>1071</v>
      </c>
      <c r="B72" t="s">
        <v>531</v>
      </c>
      <c r="C72" s="7">
        <v>45439</v>
      </c>
      <c r="D72" s="7">
        <v>45445</v>
      </c>
      <c r="E72" t="s">
        <v>48</v>
      </c>
      <c r="F72" t="s">
        <v>324</v>
      </c>
      <c r="G72" t="s">
        <v>1572</v>
      </c>
      <c r="H72" t="s">
        <v>25</v>
      </c>
      <c r="I72" t="s">
        <v>26</v>
      </c>
      <c r="J72" t="s">
        <v>39</v>
      </c>
      <c r="K72" t="s">
        <v>40</v>
      </c>
      <c r="L72" t="s">
        <v>29</v>
      </c>
      <c r="M72">
        <v>673001</v>
      </c>
      <c r="N72" t="s">
        <v>532</v>
      </c>
      <c r="O72" t="s">
        <v>83</v>
      </c>
      <c r="P72" t="s">
        <v>33</v>
      </c>
      <c r="Q72" t="s">
        <v>34</v>
      </c>
      <c r="R72" s="8">
        <v>2706.46</v>
      </c>
      <c r="S72">
        <v>2</v>
      </c>
      <c r="T72">
        <v>0.1</v>
      </c>
      <c r="U72" s="8">
        <v>438.55</v>
      </c>
      <c r="V72" t="s">
        <v>1561</v>
      </c>
      <c r="W72" t="s">
        <v>1561</v>
      </c>
    </row>
    <row r="73" spans="1:23">
      <c r="A73">
        <v>1072</v>
      </c>
      <c r="B73" t="s">
        <v>1520</v>
      </c>
      <c r="C73" s="7">
        <v>45509</v>
      </c>
      <c r="D73" s="7">
        <v>45510</v>
      </c>
      <c r="E73" t="s">
        <v>69</v>
      </c>
      <c r="F73" t="s">
        <v>499</v>
      </c>
      <c r="G73" t="s">
        <v>1571</v>
      </c>
      <c r="H73" t="s">
        <v>51</v>
      </c>
      <c r="I73" t="s">
        <v>26</v>
      </c>
      <c r="J73" t="s">
        <v>72</v>
      </c>
      <c r="K73" t="s">
        <v>73</v>
      </c>
      <c r="L73" t="s">
        <v>63</v>
      </c>
      <c r="M73">
        <v>110001</v>
      </c>
      <c r="N73" t="s">
        <v>1521</v>
      </c>
      <c r="O73" t="s">
        <v>188</v>
      </c>
      <c r="P73" t="s">
        <v>189</v>
      </c>
      <c r="Q73" t="s">
        <v>190</v>
      </c>
      <c r="R73" s="8">
        <v>26088.51</v>
      </c>
      <c r="S73">
        <v>5</v>
      </c>
      <c r="T73">
        <v>0.1</v>
      </c>
      <c r="U73" s="8">
        <v>1526.92</v>
      </c>
      <c r="V73" t="s">
        <v>1561</v>
      </c>
      <c r="W73" t="s">
        <v>1561</v>
      </c>
    </row>
    <row r="74" spans="1:23">
      <c r="A74">
        <v>1073</v>
      </c>
      <c r="B74" t="s">
        <v>348</v>
      </c>
      <c r="C74" s="7">
        <v>45516</v>
      </c>
      <c r="D74" s="7">
        <v>45517</v>
      </c>
      <c r="E74" t="s">
        <v>101</v>
      </c>
      <c r="F74" t="s">
        <v>23</v>
      </c>
      <c r="G74" t="s">
        <v>1570</v>
      </c>
      <c r="H74" t="s">
        <v>51</v>
      </c>
      <c r="I74" t="s">
        <v>26</v>
      </c>
      <c r="J74" t="s">
        <v>131</v>
      </c>
      <c r="K74" t="s">
        <v>132</v>
      </c>
      <c r="L74" t="s">
        <v>29</v>
      </c>
      <c r="M74">
        <v>695001</v>
      </c>
      <c r="N74" t="s">
        <v>349</v>
      </c>
      <c r="O74" t="s">
        <v>44</v>
      </c>
      <c r="P74" t="s">
        <v>207</v>
      </c>
      <c r="Q74" t="s">
        <v>208</v>
      </c>
      <c r="R74" s="8">
        <v>85356.78</v>
      </c>
      <c r="S74">
        <v>2</v>
      </c>
      <c r="T74">
        <v>0.15</v>
      </c>
      <c r="U74" s="8">
        <v>819.9</v>
      </c>
      <c r="V74" t="s">
        <v>1561</v>
      </c>
      <c r="W74" t="s">
        <v>1561</v>
      </c>
    </row>
    <row r="75" spans="1:23">
      <c r="A75">
        <v>1074</v>
      </c>
      <c r="B75" t="s">
        <v>565</v>
      </c>
      <c r="C75" s="7">
        <v>45457</v>
      </c>
      <c r="D75" s="7">
        <v>45462</v>
      </c>
      <c r="E75" t="s">
        <v>48</v>
      </c>
      <c r="F75" t="s">
        <v>426</v>
      </c>
      <c r="G75" t="s">
        <v>1573</v>
      </c>
      <c r="H75" t="s">
        <v>51</v>
      </c>
      <c r="I75" t="s">
        <v>26</v>
      </c>
      <c r="J75" t="s">
        <v>52</v>
      </c>
      <c r="K75" t="s">
        <v>52</v>
      </c>
      <c r="L75" t="s">
        <v>92</v>
      </c>
      <c r="M75">
        <v>400001</v>
      </c>
      <c r="N75" t="s">
        <v>566</v>
      </c>
      <c r="O75" t="s">
        <v>138</v>
      </c>
      <c r="P75" t="s">
        <v>182</v>
      </c>
      <c r="Q75" t="s">
        <v>183</v>
      </c>
      <c r="R75" s="8">
        <v>1030.25</v>
      </c>
      <c r="S75">
        <v>3</v>
      </c>
      <c r="T75">
        <v>0.25</v>
      </c>
      <c r="U75" s="8">
        <v>38.69</v>
      </c>
      <c r="V75" t="s">
        <v>1561</v>
      </c>
      <c r="W75" t="s">
        <v>1561</v>
      </c>
    </row>
    <row r="76" spans="1:23">
      <c r="A76">
        <v>1075</v>
      </c>
      <c r="B76" t="s">
        <v>726</v>
      </c>
      <c r="C76" s="7">
        <v>45587</v>
      </c>
      <c r="D76" s="7">
        <v>45588</v>
      </c>
      <c r="E76" t="s">
        <v>69</v>
      </c>
      <c r="F76" t="s">
        <v>479</v>
      </c>
      <c r="G76" t="s">
        <v>1568</v>
      </c>
      <c r="H76" t="s">
        <v>25</v>
      </c>
      <c r="I76" t="s">
        <v>26</v>
      </c>
      <c r="J76" t="s">
        <v>61</v>
      </c>
      <c r="K76" t="s">
        <v>62</v>
      </c>
      <c r="L76" t="s">
        <v>29</v>
      </c>
      <c r="M76">
        <v>695001</v>
      </c>
      <c r="N76" t="s">
        <v>727</v>
      </c>
      <c r="O76" t="s">
        <v>138</v>
      </c>
      <c r="P76" t="s">
        <v>139</v>
      </c>
      <c r="Q76" t="s">
        <v>140</v>
      </c>
      <c r="R76" s="8">
        <v>749.55</v>
      </c>
      <c r="S76">
        <v>1</v>
      </c>
      <c r="T76">
        <v>0.15</v>
      </c>
      <c r="U76" s="8">
        <v>68.33</v>
      </c>
      <c r="V76" t="s">
        <v>1561</v>
      </c>
      <c r="W76" t="s">
        <v>1561</v>
      </c>
    </row>
    <row r="77" spans="1:23">
      <c r="A77">
        <v>1076</v>
      </c>
      <c r="B77" t="s">
        <v>839</v>
      </c>
      <c r="C77" s="7">
        <v>45532</v>
      </c>
      <c r="D77" s="7">
        <v>45535</v>
      </c>
      <c r="E77" t="s">
        <v>101</v>
      </c>
      <c r="F77" t="s">
        <v>744</v>
      </c>
      <c r="G77" t="s">
        <v>1563</v>
      </c>
      <c r="H77" t="s">
        <v>25</v>
      </c>
      <c r="I77" t="s">
        <v>26</v>
      </c>
      <c r="J77" t="s">
        <v>79</v>
      </c>
      <c r="K77" t="s">
        <v>80</v>
      </c>
      <c r="L77" t="s">
        <v>41</v>
      </c>
      <c r="M77">
        <v>110001</v>
      </c>
      <c r="N77" t="s">
        <v>840</v>
      </c>
      <c r="O77" t="s">
        <v>55</v>
      </c>
      <c r="P77" t="s">
        <v>98</v>
      </c>
      <c r="Q77" t="s">
        <v>99</v>
      </c>
      <c r="R77" s="8">
        <v>20454.189999999999</v>
      </c>
      <c r="S77">
        <v>3</v>
      </c>
      <c r="T77">
        <v>0</v>
      </c>
      <c r="U77" s="8">
        <v>2846.51</v>
      </c>
      <c r="V77" t="s">
        <v>1561</v>
      </c>
      <c r="W77" t="s">
        <v>1561</v>
      </c>
    </row>
    <row r="78" spans="1:23">
      <c r="A78">
        <v>1077</v>
      </c>
      <c r="B78" t="s">
        <v>342</v>
      </c>
      <c r="C78" s="7">
        <v>45573</v>
      </c>
      <c r="D78" s="7">
        <v>45574</v>
      </c>
      <c r="E78" t="s">
        <v>101</v>
      </c>
      <c r="F78" t="s">
        <v>185</v>
      </c>
      <c r="G78" t="s">
        <v>1563</v>
      </c>
      <c r="H78" t="s">
        <v>25</v>
      </c>
      <c r="I78" t="s">
        <v>26</v>
      </c>
      <c r="J78" t="s">
        <v>226</v>
      </c>
      <c r="K78" t="s">
        <v>110</v>
      </c>
      <c r="L78" t="s">
        <v>63</v>
      </c>
      <c r="M78">
        <v>695001</v>
      </c>
      <c r="N78" t="s">
        <v>343</v>
      </c>
      <c r="O78" t="s">
        <v>55</v>
      </c>
      <c r="P78" t="s">
        <v>98</v>
      </c>
      <c r="Q78" t="s">
        <v>99</v>
      </c>
      <c r="R78" s="8">
        <v>9054.56</v>
      </c>
      <c r="S78">
        <v>2</v>
      </c>
      <c r="T78">
        <v>0.25</v>
      </c>
      <c r="U78" s="8">
        <v>-22.52</v>
      </c>
      <c r="V78" t="s">
        <v>1561</v>
      </c>
      <c r="W78" t="s">
        <v>1561</v>
      </c>
    </row>
    <row r="79" spans="1:23">
      <c r="A79">
        <v>1078</v>
      </c>
      <c r="B79" t="s">
        <v>270</v>
      </c>
      <c r="C79" s="7">
        <v>45628</v>
      </c>
      <c r="D79" s="7">
        <v>45633</v>
      </c>
      <c r="E79" t="s">
        <v>101</v>
      </c>
      <c r="F79" t="s">
        <v>271</v>
      </c>
      <c r="G79" t="s">
        <v>1569</v>
      </c>
      <c r="H79" t="s">
        <v>108</v>
      </c>
      <c r="I79" t="s">
        <v>26</v>
      </c>
      <c r="J79" t="s">
        <v>27</v>
      </c>
      <c r="K79" t="s">
        <v>28</v>
      </c>
      <c r="L79" t="s">
        <v>29</v>
      </c>
      <c r="M79">
        <v>600001</v>
      </c>
      <c r="N79" t="s">
        <v>272</v>
      </c>
      <c r="O79" t="s">
        <v>55</v>
      </c>
      <c r="P79" t="s">
        <v>98</v>
      </c>
      <c r="Q79" t="s">
        <v>99</v>
      </c>
      <c r="R79" s="8">
        <v>34486.53</v>
      </c>
      <c r="S79">
        <v>5</v>
      </c>
      <c r="T79">
        <v>0</v>
      </c>
      <c r="U79" s="8">
        <v>4806.2</v>
      </c>
      <c r="V79" t="s">
        <v>1561</v>
      </c>
      <c r="W79" t="s">
        <v>1561</v>
      </c>
    </row>
    <row r="80" spans="1:23">
      <c r="A80">
        <v>1079</v>
      </c>
      <c r="B80" t="s">
        <v>76</v>
      </c>
      <c r="C80" s="7">
        <v>45396</v>
      </c>
      <c r="D80" s="7">
        <v>45399</v>
      </c>
      <c r="E80" t="s">
        <v>69</v>
      </c>
      <c r="F80" t="s">
        <v>77</v>
      </c>
      <c r="G80" t="s">
        <v>1570</v>
      </c>
      <c r="H80" t="s">
        <v>51</v>
      </c>
      <c r="I80" t="s">
        <v>26</v>
      </c>
      <c r="J80" t="s">
        <v>79</v>
      </c>
      <c r="K80" t="s">
        <v>80</v>
      </c>
      <c r="L80" t="s">
        <v>29</v>
      </c>
      <c r="M80">
        <v>400001</v>
      </c>
      <c r="N80" t="s">
        <v>82</v>
      </c>
      <c r="O80" t="s">
        <v>83</v>
      </c>
      <c r="P80" t="s">
        <v>84</v>
      </c>
      <c r="Q80" t="s">
        <v>85</v>
      </c>
      <c r="R80" s="8">
        <v>6576.27</v>
      </c>
      <c r="S80">
        <v>2</v>
      </c>
      <c r="T80">
        <v>0</v>
      </c>
      <c r="U80" s="8">
        <v>1859.13</v>
      </c>
      <c r="V80" t="s">
        <v>1561</v>
      </c>
      <c r="W80" t="s">
        <v>1561</v>
      </c>
    </row>
    <row r="81" spans="1:23">
      <c r="A81">
        <v>1080</v>
      </c>
      <c r="B81" t="s">
        <v>465</v>
      </c>
      <c r="C81" s="7">
        <v>45655</v>
      </c>
      <c r="D81" s="7">
        <v>45657</v>
      </c>
      <c r="E81" t="s">
        <v>48</v>
      </c>
      <c r="F81" t="s">
        <v>198</v>
      </c>
      <c r="G81" t="s">
        <v>1569</v>
      </c>
      <c r="H81" t="s">
        <v>108</v>
      </c>
      <c r="I81" t="s">
        <v>26</v>
      </c>
      <c r="J81" t="s">
        <v>131</v>
      </c>
      <c r="K81" t="s">
        <v>132</v>
      </c>
      <c r="L81" t="s">
        <v>29</v>
      </c>
      <c r="M81">
        <v>673001</v>
      </c>
      <c r="N81" t="s">
        <v>466</v>
      </c>
      <c r="O81" t="s">
        <v>44</v>
      </c>
      <c r="P81" t="s">
        <v>207</v>
      </c>
      <c r="Q81" t="s">
        <v>208</v>
      </c>
      <c r="R81" s="8">
        <v>134506.29</v>
      </c>
      <c r="S81">
        <v>3</v>
      </c>
      <c r="T81">
        <v>0.1</v>
      </c>
      <c r="U81" s="8">
        <v>6743.46</v>
      </c>
      <c r="V81" t="s">
        <v>1561</v>
      </c>
      <c r="W81" t="s">
        <v>1561</v>
      </c>
    </row>
    <row r="82" spans="1:23">
      <c r="A82">
        <v>1081</v>
      </c>
      <c r="B82" t="s">
        <v>1431</v>
      </c>
      <c r="C82" s="7">
        <v>45547</v>
      </c>
      <c r="D82" s="7">
        <v>45553</v>
      </c>
      <c r="E82" t="s">
        <v>48</v>
      </c>
      <c r="F82" t="s">
        <v>541</v>
      </c>
      <c r="G82" t="s">
        <v>1560</v>
      </c>
      <c r="H82" t="s">
        <v>51</v>
      </c>
      <c r="I82" t="s">
        <v>26</v>
      </c>
      <c r="J82" t="s">
        <v>61</v>
      </c>
      <c r="K82" t="s">
        <v>62</v>
      </c>
      <c r="L82" t="s">
        <v>63</v>
      </c>
      <c r="M82">
        <v>560001</v>
      </c>
      <c r="N82" t="s">
        <v>835</v>
      </c>
      <c r="O82" t="s">
        <v>188</v>
      </c>
      <c r="P82" t="s">
        <v>189</v>
      </c>
      <c r="Q82" t="s">
        <v>190</v>
      </c>
      <c r="R82" s="8">
        <v>37754.06</v>
      </c>
      <c r="S82">
        <v>7</v>
      </c>
      <c r="T82">
        <v>0.05</v>
      </c>
      <c r="U82" s="8">
        <v>3924.53</v>
      </c>
      <c r="V82" t="s">
        <v>1561</v>
      </c>
      <c r="W82" t="s">
        <v>1561</v>
      </c>
    </row>
    <row r="83" spans="1:23">
      <c r="A83">
        <v>1082</v>
      </c>
      <c r="B83" t="s">
        <v>294</v>
      </c>
      <c r="C83" s="7">
        <v>45389</v>
      </c>
      <c r="D83" s="7">
        <v>45394</v>
      </c>
      <c r="E83" t="s">
        <v>69</v>
      </c>
      <c r="F83" t="s">
        <v>295</v>
      </c>
      <c r="G83" t="s">
        <v>1573</v>
      </c>
      <c r="H83" t="s">
        <v>51</v>
      </c>
      <c r="I83" t="s">
        <v>26</v>
      </c>
      <c r="J83" t="s">
        <v>39</v>
      </c>
      <c r="K83" t="s">
        <v>40</v>
      </c>
      <c r="L83" t="s">
        <v>63</v>
      </c>
      <c r="M83">
        <v>110001</v>
      </c>
      <c r="N83" t="s">
        <v>269</v>
      </c>
      <c r="O83" t="s">
        <v>138</v>
      </c>
      <c r="P83" t="s">
        <v>182</v>
      </c>
      <c r="Q83" t="s">
        <v>183</v>
      </c>
      <c r="R83" s="8">
        <v>1034.1300000000001</v>
      </c>
      <c r="S83">
        <v>3</v>
      </c>
      <c r="T83">
        <v>0.25</v>
      </c>
      <c r="U83" s="8">
        <v>39.47</v>
      </c>
      <c r="V83" t="s">
        <v>1561</v>
      </c>
      <c r="W83" t="s">
        <v>1561</v>
      </c>
    </row>
    <row r="84" spans="1:23">
      <c r="A84">
        <v>1083</v>
      </c>
      <c r="B84" t="s">
        <v>618</v>
      </c>
      <c r="C84" s="7">
        <v>45293</v>
      </c>
      <c r="D84" s="7">
        <v>45296</v>
      </c>
      <c r="E84" t="s">
        <v>48</v>
      </c>
      <c r="F84" t="s">
        <v>619</v>
      </c>
      <c r="G84" t="s">
        <v>1574</v>
      </c>
      <c r="H84" t="s">
        <v>51</v>
      </c>
      <c r="I84" t="s">
        <v>26</v>
      </c>
      <c r="J84" t="s">
        <v>61</v>
      </c>
      <c r="K84" t="s">
        <v>62</v>
      </c>
      <c r="L84" t="s">
        <v>29</v>
      </c>
      <c r="M84">
        <v>110001</v>
      </c>
      <c r="N84" t="s">
        <v>620</v>
      </c>
      <c r="O84" t="s">
        <v>55</v>
      </c>
      <c r="P84" t="s">
        <v>98</v>
      </c>
      <c r="Q84" t="s">
        <v>99</v>
      </c>
      <c r="R84" s="8">
        <v>25416.94</v>
      </c>
      <c r="S84">
        <v>5</v>
      </c>
      <c r="T84">
        <v>0.15</v>
      </c>
      <c r="U84" s="8">
        <v>1854.88</v>
      </c>
      <c r="V84" t="s">
        <v>1561</v>
      </c>
      <c r="W84" t="s">
        <v>1561</v>
      </c>
    </row>
    <row r="85" spans="1:23">
      <c r="A85">
        <v>1084</v>
      </c>
      <c r="B85" t="s">
        <v>650</v>
      </c>
      <c r="C85" s="7">
        <v>45525</v>
      </c>
      <c r="D85" s="7">
        <v>45528</v>
      </c>
      <c r="E85" t="s">
        <v>69</v>
      </c>
      <c r="F85" t="s">
        <v>324</v>
      </c>
      <c r="G85" t="s">
        <v>1565</v>
      </c>
      <c r="H85" t="s">
        <v>51</v>
      </c>
      <c r="I85" t="s">
        <v>26</v>
      </c>
      <c r="J85" t="s">
        <v>39</v>
      </c>
      <c r="K85" t="s">
        <v>40</v>
      </c>
      <c r="L85" t="s">
        <v>29</v>
      </c>
      <c r="M85">
        <v>682001</v>
      </c>
      <c r="N85" t="s">
        <v>651</v>
      </c>
      <c r="O85" t="s">
        <v>138</v>
      </c>
      <c r="P85" t="s">
        <v>121</v>
      </c>
      <c r="Q85" t="s">
        <v>122</v>
      </c>
      <c r="R85" s="8">
        <v>947.04</v>
      </c>
      <c r="S85">
        <v>2</v>
      </c>
      <c r="T85">
        <v>0.25</v>
      </c>
      <c r="U85" s="8">
        <v>29.95</v>
      </c>
      <c r="V85" t="s">
        <v>1561</v>
      </c>
      <c r="W85" t="s">
        <v>1561</v>
      </c>
    </row>
    <row r="86" spans="1:23">
      <c r="A86">
        <v>1085</v>
      </c>
      <c r="B86" t="s">
        <v>460</v>
      </c>
      <c r="C86" s="7">
        <v>45489</v>
      </c>
      <c r="D86" s="7">
        <v>45495</v>
      </c>
      <c r="E86" t="s">
        <v>69</v>
      </c>
      <c r="F86" t="s">
        <v>461</v>
      </c>
      <c r="G86" t="s">
        <v>1569</v>
      </c>
      <c r="H86" t="s">
        <v>51</v>
      </c>
      <c r="I86" t="s">
        <v>26</v>
      </c>
      <c r="J86" t="s">
        <v>27</v>
      </c>
      <c r="K86" t="s">
        <v>28</v>
      </c>
      <c r="L86" t="s">
        <v>92</v>
      </c>
      <c r="M86">
        <v>600001</v>
      </c>
      <c r="N86" t="s">
        <v>321</v>
      </c>
      <c r="O86" t="s">
        <v>55</v>
      </c>
      <c r="P86" t="s">
        <v>98</v>
      </c>
      <c r="Q86" t="s">
        <v>99</v>
      </c>
      <c r="R86" s="8">
        <v>17789.259999999998</v>
      </c>
      <c r="S86">
        <v>4</v>
      </c>
      <c r="T86">
        <v>0.25</v>
      </c>
      <c r="U86" s="8">
        <v>-46.49</v>
      </c>
      <c r="V86" t="s">
        <v>1561</v>
      </c>
      <c r="W86" t="s">
        <v>1561</v>
      </c>
    </row>
    <row r="87" spans="1:23">
      <c r="A87">
        <v>1086</v>
      </c>
      <c r="B87" t="s">
        <v>1307</v>
      </c>
      <c r="C87" s="7">
        <v>45561</v>
      </c>
      <c r="D87" s="7">
        <v>45565</v>
      </c>
      <c r="E87" t="s">
        <v>22</v>
      </c>
      <c r="F87" t="s">
        <v>593</v>
      </c>
      <c r="G87" t="s">
        <v>1571</v>
      </c>
      <c r="H87" t="s">
        <v>51</v>
      </c>
      <c r="I87" t="s">
        <v>26</v>
      </c>
      <c r="J87" t="s">
        <v>226</v>
      </c>
      <c r="K87" t="s">
        <v>110</v>
      </c>
      <c r="L87" t="s">
        <v>29</v>
      </c>
      <c r="M87">
        <v>110001</v>
      </c>
      <c r="N87" t="s">
        <v>1308</v>
      </c>
      <c r="O87" t="s">
        <v>188</v>
      </c>
      <c r="P87" t="s">
        <v>189</v>
      </c>
      <c r="Q87" t="s">
        <v>386</v>
      </c>
      <c r="R87" s="8">
        <v>11312.51</v>
      </c>
      <c r="S87">
        <v>5</v>
      </c>
      <c r="T87">
        <v>0</v>
      </c>
      <c r="U87" s="8">
        <v>1115.17</v>
      </c>
      <c r="V87" t="s">
        <v>1561</v>
      </c>
      <c r="W87" t="s">
        <v>1561</v>
      </c>
    </row>
    <row r="88" spans="1:23">
      <c r="A88">
        <v>1087</v>
      </c>
      <c r="B88" t="s">
        <v>410</v>
      </c>
      <c r="C88" s="7">
        <v>45611</v>
      </c>
      <c r="D88" s="7">
        <v>45617</v>
      </c>
      <c r="E88" t="s">
        <v>101</v>
      </c>
      <c r="F88" t="s">
        <v>411</v>
      </c>
      <c r="G88" t="s">
        <v>1573</v>
      </c>
      <c r="H88" t="s">
        <v>51</v>
      </c>
      <c r="I88" t="s">
        <v>26</v>
      </c>
      <c r="J88" t="s">
        <v>166</v>
      </c>
      <c r="K88" t="s">
        <v>132</v>
      </c>
      <c r="L88" t="s">
        <v>63</v>
      </c>
      <c r="M88">
        <v>110001</v>
      </c>
      <c r="N88" t="s">
        <v>412</v>
      </c>
      <c r="O88" t="s">
        <v>44</v>
      </c>
      <c r="P88" t="s">
        <v>45</v>
      </c>
      <c r="Q88" t="s">
        <v>46</v>
      </c>
      <c r="R88" s="8">
        <v>201990.07</v>
      </c>
      <c r="S88">
        <v>7</v>
      </c>
      <c r="T88">
        <v>0.2</v>
      </c>
      <c r="U88" s="8">
        <v>-3487.35</v>
      </c>
      <c r="V88" t="s">
        <v>1561</v>
      </c>
      <c r="W88" t="s">
        <v>1561</v>
      </c>
    </row>
    <row r="89" spans="1:23">
      <c r="A89">
        <v>1088</v>
      </c>
      <c r="B89" t="s">
        <v>1509</v>
      </c>
      <c r="C89" s="7">
        <v>45569</v>
      </c>
      <c r="D89" s="7">
        <v>45570</v>
      </c>
      <c r="E89" t="s">
        <v>22</v>
      </c>
      <c r="F89" t="s">
        <v>395</v>
      </c>
      <c r="G89" t="s">
        <v>1566</v>
      </c>
      <c r="H89" t="s">
        <v>51</v>
      </c>
      <c r="I89" t="s">
        <v>26</v>
      </c>
      <c r="J89" t="s">
        <v>61</v>
      </c>
      <c r="K89" t="s">
        <v>62</v>
      </c>
      <c r="L89" t="s">
        <v>63</v>
      </c>
      <c r="M89">
        <v>682001</v>
      </c>
      <c r="N89" t="s">
        <v>178</v>
      </c>
      <c r="O89" t="s">
        <v>138</v>
      </c>
      <c r="P89" t="s">
        <v>121</v>
      </c>
      <c r="Q89" t="s">
        <v>122</v>
      </c>
      <c r="R89" s="8">
        <v>931.14</v>
      </c>
      <c r="S89">
        <v>2</v>
      </c>
      <c r="T89">
        <v>0.3</v>
      </c>
      <c r="U89" s="8">
        <v>3.9</v>
      </c>
      <c r="V89" t="s">
        <v>1561</v>
      </c>
      <c r="W89" t="s">
        <v>1561</v>
      </c>
    </row>
    <row r="90" spans="1:23">
      <c r="A90">
        <v>1089</v>
      </c>
      <c r="B90" t="s">
        <v>854</v>
      </c>
      <c r="C90" s="7">
        <v>45519</v>
      </c>
      <c r="D90" s="7">
        <v>45521</v>
      </c>
      <c r="E90" t="s">
        <v>48</v>
      </c>
      <c r="F90" t="s">
        <v>315</v>
      </c>
      <c r="G90" t="s">
        <v>1569</v>
      </c>
      <c r="H90" t="s">
        <v>108</v>
      </c>
      <c r="I90" t="s">
        <v>26</v>
      </c>
      <c r="J90" t="s">
        <v>131</v>
      </c>
      <c r="K90" t="s">
        <v>132</v>
      </c>
      <c r="L90" t="s">
        <v>41</v>
      </c>
      <c r="M90">
        <v>695001</v>
      </c>
      <c r="N90" t="s">
        <v>855</v>
      </c>
      <c r="O90" t="s">
        <v>55</v>
      </c>
      <c r="P90" t="s">
        <v>98</v>
      </c>
      <c r="Q90" t="s">
        <v>99</v>
      </c>
      <c r="R90" s="8">
        <v>26382.080000000002</v>
      </c>
      <c r="S90">
        <v>4</v>
      </c>
      <c r="T90">
        <v>0</v>
      </c>
      <c r="U90" s="8">
        <v>3982.08</v>
      </c>
      <c r="V90" t="s">
        <v>1561</v>
      </c>
      <c r="W90" t="s">
        <v>1561</v>
      </c>
    </row>
    <row r="91" spans="1:23">
      <c r="A91">
        <v>1090</v>
      </c>
      <c r="B91" t="s">
        <v>740</v>
      </c>
      <c r="C91" s="7">
        <v>45563</v>
      </c>
      <c r="D91" s="7">
        <v>45567</v>
      </c>
      <c r="E91" t="s">
        <v>69</v>
      </c>
      <c r="F91" t="s">
        <v>633</v>
      </c>
      <c r="G91" t="s">
        <v>1571</v>
      </c>
      <c r="H91" t="s">
        <v>51</v>
      </c>
      <c r="I91" t="s">
        <v>26</v>
      </c>
      <c r="J91" t="s">
        <v>346</v>
      </c>
      <c r="K91" t="s">
        <v>132</v>
      </c>
      <c r="L91" t="s">
        <v>41</v>
      </c>
      <c r="M91">
        <v>600001</v>
      </c>
      <c r="N91" t="s">
        <v>741</v>
      </c>
      <c r="O91" t="s">
        <v>55</v>
      </c>
      <c r="P91" t="s">
        <v>66</v>
      </c>
      <c r="Q91" t="s">
        <v>67</v>
      </c>
      <c r="R91" s="8">
        <v>16369.12</v>
      </c>
      <c r="S91">
        <v>2</v>
      </c>
      <c r="T91">
        <v>0.1</v>
      </c>
      <c r="U91" s="8">
        <v>1273.23</v>
      </c>
      <c r="V91" t="s">
        <v>1561</v>
      </c>
      <c r="W91" t="s">
        <v>1561</v>
      </c>
    </row>
    <row r="92" spans="1:23">
      <c r="A92">
        <v>1091</v>
      </c>
      <c r="B92" t="s">
        <v>514</v>
      </c>
      <c r="C92" s="7">
        <v>45410</v>
      </c>
      <c r="D92" s="7">
        <v>45414</v>
      </c>
      <c r="E92" t="s">
        <v>48</v>
      </c>
      <c r="F92" t="s">
        <v>192</v>
      </c>
      <c r="G92" t="s">
        <v>1570</v>
      </c>
      <c r="H92" t="s">
        <v>25</v>
      </c>
      <c r="I92" t="s">
        <v>26</v>
      </c>
      <c r="J92" t="s">
        <v>109</v>
      </c>
      <c r="K92" t="s">
        <v>110</v>
      </c>
      <c r="L92" t="s">
        <v>41</v>
      </c>
      <c r="M92">
        <v>110001</v>
      </c>
      <c r="N92" t="s">
        <v>515</v>
      </c>
      <c r="O92" t="s">
        <v>138</v>
      </c>
      <c r="P92" t="s">
        <v>139</v>
      </c>
      <c r="Q92" t="s">
        <v>140</v>
      </c>
      <c r="R92" s="8">
        <v>2638.65</v>
      </c>
      <c r="S92">
        <v>3</v>
      </c>
      <c r="T92">
        <v>0.05</v>
      </c>
      <c r="U92" s="8">
        <v>356.56</v>
      </c>
      <c r="V92" t="s">
        <v>1561</v>
      </c>
      <c r="W92" t="s">
        <v>1561</v>
      </c>
    </row>
    <row r="93" spans="1:23">
      <c r="A93">
        <v>1092</v>
      </c>
      <c r="B93" t="s">
        <v>1441</v>
      </c>
      <c r="C93" s="7">
        <v>45592</v>
      </c>
      <c r="D93" s="7">
        <v>45595</v>
      </c>
      <c r="E93" t="s">
        <v>101</v>
      </c>
      <c r="F93" t="s">
        <v>23</v>
      </c>
      <c r="G93" t="s">
        <v>1570</v>
      </c>
      <c r="H93" t="s">
        <v>51</v>
      </c>
      <c r="I93" t="s">
        <v>26</v>
      </c>
      <c r="J93" t="s">
        <v>115</v>
      </c>
      <c r="K93" t="s">
        <v>116</v>
      </c>
      <c r="L93" t="s">
        <v>29</v>
      </c>
      <c r="M93">
        <v>110001</v>
      </c>
      <c r="N93" t="s">
        <v>495</v>
      </c>
      <c r="O93" t="s">
        <v>138</v>
      </c>
      <c r="P93" t="s">
        <v>156</v>
      </c>
      <c r="Q93" t="s">
        <v>157</v>
      </c>
      <c r="R93" s="8">
        <v>324.66000000000003</v>
      </c>
      <c r="S93">
        <v>1</v>
      </c>
      <c r="T93">
        <v>0.2</v>
      </c>
      <c r="U93" s="8">
        <v>27.01</v>
      </c>
      <c r="V93" t="s">
        <v>1561</v>
      </c>
      <c r="W93" t="s">
        <v>1561</v>
      </c>
    </row>
    <row r="94" spans="1:23">
      <c r="A94">
        <v>1093</v>
      </c>
      <c r="B94" t="s">
        <v>738</v>
      </c>
      <c r="C94" s="7">
        <v>45584</v>
      </c>
      <c r="D94" s="7">
        <v>45587</v>
      </c>
      <c r="E94" t="s">
        <v>48</v>
      </c>
      <c r="F94" t="s">
        <v>324</v>
      </c>
      <c r="G94" t="s">
        <v>1570</v>
      </c>
      <c r="H94" t="s">
        <v>108</v>
      </c>
      <c r="I94" t="s">
        <v>26</v>
      </c>
      <c r="J94" t="s">
        <v>72</v>
      </c>
      <c r="K94" t="s">
        <v>73</v>
      </c>
      <c r="L94" t="s">
        <v>41</v>
      </c>
      <c r="M94">
        <v>110001</v>
      </c>
      <c r="N94" t="s">
        <v>739</v>
      </c>
      <c r="O94" t="s">
        <v>55</v>
      </c>
      <c r="P94" t="s">
        <v>98</v>
      </c>
      <c r="Q94" t="s">
        <v>99</v>
      </c>
      <c r="R94" s="8">
        <v>4614.1000000000004</v>
      </c>
      <c r="S94">
        <v>1</v>
      </c>
      <c r="T94">
        <v>0.25</v>
      </c>
      <c r="U94" s="8">
        <v>-12.46</v>
      </c>
      <c r="V94" t="s">
        <v>1561</v>
      </c>
      <c r="W94" t="s">
        <v>1561</v>
      </c>
    </row>
    <row r="95" spans="1:23">
      <c r="A95">
        <v>1094</v>
      </c>
      <c r="B95" t="s">
        <v>825</v>
      </c>
      <c r="C95" s="7">
        <v>45602</v>
      </c>
      <c r="D95" s="7">
        <v>45608</v>
      </c>
      <c r="E95" t="s">
        <v>101</v>
      </c>
      <c r="F95" t="s">
        <v>295</v>
      </c>
      <c r="G95" t="s">
        <v>1567</v>
      </c>
      <c r="H95" t="s">
        <v>51</v>
      </c>
      <c r="I95" t="s">
        <v>26</v>
      </c>
      <c r="J95" t="s">
        <v>109</v>
      </c>
      <c r="K95" t="s">
        <v>110</v>
      </c>
      <c r="L95" t="s">
        <v>63</v>
      </c>
      <c r="M95">
        <v>110001</v>
      </c>
      <c r="N95" t="s">
        <v>826</v>
      </c>
      <c r="O95" t="s">
        <v>55</v>
      </c>
      <c r="P95" t="s">
        <v>66</v>
      </c>
      <c r="Q95" t="s">
        <v>67</v>
      </c>
      <c r="R95" s="8">
        <v>44657.11</v>
      </c>
      <c r="S95">
        <v>5</v>
      </c>
      <c r="T95">
        <v>0</v>
      </c>
      <c r="U95" s="8">
        <v>7342.35</v>
      </c>
      <c r="V95" t="s">
        <v>1561</v>
      </c>
      <c r="W95" t="s">
        <v>1561</v>
      </c>
    </row>
    <row r="96" spans="1:23">
      <c r="A96">
        <v>1095</v>
      </c>
      <c r="B96" t="s">
        <v>1038</v>
      </c>
      <c r="C96" s="7">
        <v>45609</v>
      </c>
      <c r="D96" s="7">
        <v>45612</v>
      </c>
      <c r="E96" t="s">
        <v>69</v>
      </c>
      <c r="F96" t="s">
        <v>708</v>
      </c>
      <c r="G96" t="s">
        <v>1573</v>
      </c>
      <c r="H96" t="s">
        <v>25</v>
      </c>
      <c r="I96" t="s">
        <v>26</v>
      </c>
      <c r="J96" t="s">
        <v>72</v>
      </c>
      <c r="K96" t="s">
        <v>73</v>
      </c>
      <c r="L96" t="s">
        <v>41</v>
      </c>
      <c r="M96">
        <v>695001</v>
      </c>
      <c r="N96" t="s">
        <v>447</v>
      </c>
      <c r="O96" t="s">
        <v>138</v>
      </c>
      <c r="P96" t="s">
        <v>139</v>
      </c>
      <c r="Q96" t="s">
        <v>140</v>
      </c>
      <c r="R96" s="8">
        <v>859.06</v>
      </c>
      <c r="S96">
        <v>1</v>
      </c>
      <c r="T96">
        <v>0.1</v>
      </c>
      <c r="U96" s="8">
        <v>101</v>
      </c>
      <c r="V96" t="s">
        <v>1561</v>
      </c>
      <c r="W96" t="s">
        <v>1561</v>
      </c>
    </row>
    <row r="97" spans="1:23">
      <c r="A97">
        <v>1096</v>
      </c>
      <c r="B97" t="s">
        <v>1323</v>
      </c>
      <c r="C97" s="7">
        <v>45443</v>
      </c>
      <c r="D97" s="7">
        <v>45446</v>
      </c>
      <c r="E97" t="s">
        <v>101</v>
      </c>
      <c r="F97" t="s">
        <v>370</v>
      </c>
      <c r="G97" t="s">
        <v>1565</v>
      </c>
      <c r="H97" t="s">
        <v>25</v>
      </c>
      <c r="I97" t="s">
        <v>26</v>
      </c>
      <c r="J97" t="s">
        <v>39</v>
      </c>
      <c r="K97" t="s">
        <v>40</v>
      </c>
      <c r="L97" t="s">
        <v>92</v>
      </c>
      <c r="M97">
        <v>110001</v>
      </c>
      <c r="N97" t="s">
        <v>1324</v>
      </c>
      <c r="O97" t="s">
        <v>44</v>
      </c>
      <c r="P97" t="s">
        <v>207</v>
      </c>
      <c r="Q97" t="s">
        <v>208</v>
      </c>
      <c r="R97" s="8">
        <v>194458.46</v>
      </c>
      <c r="S97">
        <v>4</v>
      </c>
      <c r="T97">
        <v>0</v>
      </c>
      <c r="U97" s="8">
        <v>25638.74</v>
      </c>
      <c r="V97" t="s">
        <v>1561</v>
      </c>
      <c r="W97" t="s">
        <v>1561</v>
      </c>
    </row>
    <row r="98" spans="1:23">
      <c r="A98">
        <v>1097</v>
      </c>
      <c r="B98" t="s">
        <v>1078</v>
      </c>
      <c r="C98" s="7">
        <v>45423</v>
      </c>
      <c r="D98" s="7">
        <v>45427</v>
      </c>
      <c r="E98" t="s">
        <v>48</v>
      </c>
      <c r="F98" t="s">
        <v>645</v>
      </c>
      <c r="G98" t="s">
        <v>1572</v>
      </c>
      <c r="H98" t="s">
        <v>51</v>
      </c>
      <c r="I98" t="s">
        <v>26</v>
      </c>
      <c r="J98" t="s">
        <v>226</v>
      </c>
      <c r="K98" t="s">
        <v>110</v>
      </c>
      <c r="L98" t="s">
        <v>63</v>
      </c>
      <c r="M98">
        <v>110001</v>
      </c>
      <c r="N98" t="s">
        <v>1079</v>
      </c>
      <c r="O98" t="s">
        <v>138</v>
      </c>
      <c r="P98" t="s">
        <v>121</v>
      </c>
      <c r="Q98" t="s">
        <v>122</v>
      </c>
      <c r="R98" s="8">
        <v>1314.12</v>
      </c>
      <c r="S98">
        <v>2</v>
      </c>
      <c r="T98">
        <v>0.05</v>
      </c>
      <c r="U98" s="8">
        <v>234.76</v>
      </c>
      <c r="V98" t="s">
        <v>1561</v>
      </c>
      <c r="W98" t="s">
        <v>1561</v>
      </c>
    </row>
    <row r="99" spans="1:23">
      <c r="A99">
        <v>1098</v>
      </c>
      <c r="B99" t="s">
        <v>35</v>
      </c>
      <c r="C99" s="7">
        <v>45577</v>
      </c>
      <c r="D99" s="7">
        <v>45580</v>
      </c>
      <c r="E99" t="s">
        <v>22</v>
      </c>
      <c r="F99" t="s">
        <v>36</v>
      </c>
      <c r="G99" t="s">
        <v>1564</v>
      </c>
      <c r="H99" t="s">
        <v>51</v>
      </c>
      <c r="I99" t="s">
        <v>26</v>
      </c>
      <c r="J99" t="s">
        <v>39</v>
      </c>
      <c r="K99" t="s">
        <v>40</v>
      </c>
      <c r="L99" t="s">
        <v>41</v>
      </c>
      <c r="M99">
        <v>695001</v>
      </c>
      <c r="N99" t="s">
        <v>43</v>
      </c>
      <c r="O99" t="s">
        <v>44</v>
      </c>
      <c r="P99" t="s">
        <v>45</v>
      </c>
      <c r="Q99" t="s">
        <v>46</v>
      </c>
      <c r="R99" s="8">
        <v>184132.26</v>
      </c>
      <c r="S99">
        <v>7</v>
      </c>
      <c r="T99">
        <v>0.25</v>
      </c>
      <c r="U99" s="8">
        <v>-8938.1</v>
      </c>
      <c r="V99" t="s">
        <v>1561</v>
      </c>
      <c r="W99" t="s">
        <v>1561</v>
      </c>
    </row>
    <row r="100" spans="1:23">
      <c r="A100">
        <v>1099</v>
      </c>
      <c r="B100" t="s">
        <v>1348</v>
      </c>
      <c r="C100" s="7">
        <v>45591</v>
      </c>
      <c r="D100" s="7">
        <v>45595</v>
      </c>
      <c r="E100" t="s">
        <v>48</v>
      </c>
      <c r="F100" t="s">
        <v>173</v>
      </c>
      <c r="G100" t="s">
        <v>1566</v>
      </c>
      <c r="H100" t="s">
        <v>51</v>
      </c>
      <c r="I100" t="s">
        <v>26</v>
      </c>
      <c r="J100" t="s">
        <v>131</v>
      </c>
      <c r="K100" t="s">
        <v>132</v>
      </c>
      <c r="L100" t="s">
        <v>92</v>
      </c>
      <c r="M100">
        <v>560001</v>
      </c>
      <c r="N100" t="s">
        <v>584</v>
      </c>
      <c r="O100" t="s">
        <v>138</v>
      </c>
      <c r="P100" t="s">
        <v>182</v>
      </c>
      <c r="Q100" t="s">
        <v>183</v>
      </c>
      <c r="R100" s="8">
        <v>1585.31</v>
      </c>
      <c r="S100">
        <v>4</v>
      </c>
      <c r="T100">
        <v>0.15</v>
      </c>
      <c r="U100" s="8">
        <v>194.76</v>
      </c>
      <c r="V100" t="s">
        <v>1561</v>
      </c>
      <c r="W100" t="s">
        <v>1561</v>
      </c>
    </row>
    <row r="101" spans="1:23">
      <c r="A101">
        <v>1100</v>
      </c>
      <c r="B101" t="s">
        <v>1506</v>
      </c>
      <c r="C101" s="7">
        <v>45623</v>
      </c>
      <c r="D101" s="7">
        <v>45624</v>
      </c>
      <c r="E101" t="s">
        <v>101</v>
      </c>
      <c r="F101" t="s">
        <v>333</v>
      </c>
      <c r="G101" t="s">
        <v>1560</v>
      </c>
      <c r="H101" t="s">
        <v>108</v>
      </c>
      <c r="I101" t="s">
        <v>26</v>
      </c>
      <c r="J101" t="s">
        <v>79</v>
      </c>
      <c r="K101" t="s">
        <v>80</v>
      </c>
      <c r="L101" t="s">
        <v>63</v>
      </c>
      <c r="M101">
        <v>400001</v>
      </c>
      <c r="N101" t="s">
        <v>524</v>
      </c>
      <c r="O101" t="s">
        <v>188</v>
      </c>
      <c r="P101" t="s">
        <v>189</v>
      </c>
      <c r="Q101" t="s">
        <v>190</v>
      </c>
      <c r="R101" s="8">
        <v>11086.59</v>
      </c>
      <c r="S101">
        <v>2</v>
      </c>
      <c r="T101">
        <v>0.1</v>
      </c>
      <c r="U101" s="8">
        <v>821.47</v>
      </c>
      <c r="V101" t="s">
        <v>1561</v>
      </c>
      <c r="W101" t="s">
        <v>1561</v>
      </c>
    </row>
    <row r="102" spans="1:23">
      <c r="A102">
        <v>1101</v>
      </c>
      <c r="B102" t="s">
        <v>919</v>
      </c>
      <c r="C102" s="7">
        <v>45351</v>
      </c>
      <c r="D102" s="7">
        <v>45352</v>
      </c>
      <c r="E102" t="s">
        <v>69</v>
      </c>
      <c r="F102" t="s">
        <v>373</v>
      </c>
      <c r="G102" t="s">
        <v>1568</v>
      </c>
      <c r="H102" t="s">
        <v>51</v>
      </c>
      <c r="I102" t="s">
        <v>26</v>
      </c>
      <c r="J102" t="s">
        <v>131</v>
      </c>
      <c r="K102" t="s">
        <v>132</v>
      </c>
      <c r="L102" t="s">
        <v>92</v>
      </c>
      <c r="M102">
        <v>560001</v>
      </c>
      <c r="N102" t="s">
        <v>421</v>
      </c>
      <c r="O102" t="s">
        <v>44</v>
      </c>
      <c r="P102" t="s">
        <v>211</v>
      </c>
      <c r="Q102" t="s">
        <v>212</v>
      </c>
      <c r="R102" s="8">
        <v>859.09</v>
      </c>
      <c r="S102">
        <v>1</v>
      </c>
      <c r="T102">
        <v>0.3</v>
      </c>
      <c r="U102" s="8">
        <v>-57.84</v>
      </c>
      <c r="V102" t="s">
        <v>1561</v>
      </c>
      <c r="W102" t="s">
        <v>1561</v>
      </c>
    </row>
    <row r="103" spans="1:23">
      <c r="A103">
        <v>1102</v>
      </c>
      <c r="B103" t="s">
        <v>372</v>
      </c>
      <c r="C103" s="7">
        <v>45592</v>
      </c>
      <c r="D103" s="7">
        <v>45598</v>
      </c>
      <c r="E103" t="s">
        <v>69</v>
      </c>
      <c r="F103" t="s">
        <v>373</v>
      </c>
      <c r="G103" t="s">
        <v>1564</v>
      </c>
      <c r="H103" t="s">
        <v>108</v>
      </c>
      <c r="I103" t="s">
        <v>26</v>
      </c>
      <c r="J103" t="s">
        <v>226</v>
      </c>
      <c r="K103" t="s">
        <v>110</v>
      </c>
      <c r="L103" t="s">
        <v>41</v>
      </c>
      <c r="M103">
        <v>110001</v>
      </c>
      <c r="N103" t="s">
        <v>256</v>
      </c>
      <c r="O103" t="s">
        <v>138</v>
      </c>
      <c r="P103" t="s">
        <v>156</v>
      </c>
      <c r="Q103" t="s">
        <v>157</v>
      </c>
      <c r="R103" s="8">
        <v>1078.28</v>
      </c>
      <c r="S103">
        <v>4</v>
      </c>
      <c r="T103">
        <v>0.25</v>
      </c>
      <c r="U103" s="8">
        <v>48.49</v>
      </c>
      <c r="V103" t="s">
        <v>1561</v>
      </c>
      <c r="W103" t="s">
        <v>1561</v>
      </c>
    </row>
    <row r="104" spans="1:23">
      <c r="A104">
        <v>1103</v>
      </c>
      <c r="B104" t="s">
        <v>1526</v>
      </c>
      <c r="C104" s="7">
        <v>45403</v>
      </c>
      <c r="D104" s="7">
        <v>45407</v>
      </c>
      <c r="E104" t="s">
        <v>101</v>
      </c>
      <c r="F104" t="s">
        <v>395</v>
      </c>
      <c r="G104" t="s">
        <v>1572</v>
      </c>
      <c r="H104" t="s">
        <v>108</v>
      </c>
      <c r="I104" t="s">
        <v>26</v>
      </c>
      <c r="J104" t="s">
        <v>79</v>
      </c>
      <c r="K104" t="s">
        <v>80</v>
      </c>
      <c r="L104" t="s">
        <v>63</v>
      </c>
      <c r="M104">
        <v>673001</v>
      </c>
      <c r="N104" t="s">
        <v>631</v>
      </c>
      <c r="O104" t="s">
        <v>55</v>
      </c>
      <c r="P104" t="s">
        <v>98</v>
      </c>
      <c r="Q104" t="s">
        <v>99</v>
      </c>
      <c r="R104" s="8">
        <v>10414.370000000001</v>
      </c>
      <c r="S104">
        <v>2</v>
      </c>
      <c r="T104">
        <v>0.2</v>
      </c>
      <c r="U104" s="8">
        <v>235.76</v>
      </c>
      <c r="V104" t="s">
        <v>1561</v>
      </c>
      <c r="W104" t="s">
        <v>1561</v>
      </c>
    </row>
    <row r="105" spans="1:23">
      <c r="A105">
        <v>1104</v>
      </c>
      <c r="B105" t="s">
        <v>1170</v>
      </c>
      <c r="C105" s="7">
        <v>45495</v>
      </c>
      <c r="D105" s="7">
        <v>45498</v>
      </c>
      <c r="E105" t="s">
        <v>69</v>
      </c>
      <c r="F105" t="s">
        <v>442</v>
      </c>
      <c r="G105" t="s">
        <v>1572</v>
      </c>
      <c r="H105" t="s">
        <v>108</v>
      </c>
      <c r="I105" t="s">
        <v>26</v>
      </c>
      <c r="J105" t="s">
        <v>226</v>
      </c>
      <c r="K105" t="s">
        <v>110</v>
      </c>
      <c r="L105" t="s">
        <v>29</v>
      </c>
      <c r="M105">
        <v>673001</v>
      </c>
      <c r="N105" t="s">
        <v>133</v>
      </c>
      <c r="O105" t="s">
        <v>138</v>
      </c>
      <c r="P105" t="s">
        <v>121</v>
      </c>
      <c r="Q105" t="s">
        <v>122</v>
      </c>
      <c r="R105" s="8">
        <v>1825.66</v>
      </c>
      <c r="S105">
        <v>3</v>
      </c>
      <c r="T105">
        <v>0</v>
      </c>
      <c r="U105" s="8">
        <v>394.98</v>
      </c>
      <c r="V105" t="s">
        <v>1561</v>
      </c>
      <c r="W105" t="s">
        <v>1561</v>
      </c>
    </row>
    <row r="106" spans="1:23">
      <c r="A106">
        <v>1105</v>
      </c>
      <c r="B106" t="s">
        <v>732</v>
      </c>
      <c r="C106" s="7">
        <v>45462</v>
      </c>
      <c r="D106" s="7">
        <v>45464</v>
      </c>
      <c r="E106" t="s">
        <v>69</v>
      </c>
      <c r="F106" t="s">
        <v>274</v>
      </c>
      <c r="G106" t="s">
        <v>1574</v>
      </c>
      <c r="H106" t="s">
        <v>25</v>
      </c>
      <c r="I106" t="s">
        <v>26</v>
      </c>
      <c r="J106" t="s">
        <v>72</v>
      </c>
      <c r="K106" t="s">
        <v>73</v>
      </c>
      <c r="L106" t="s">
        <v>92</v>
      </c>
      <c r="M106">
        <v>673001</v>
      </c>
      <c r="N106" t="s">
        <v>674</v>
      </c>
      <c r="O106" t="s">
        <v>138</v>
      </c>
      <c r="P106" t="s">
        <v>156</v>
      </c>
      <c r="Q106" t="s">
        <v>157</v>
      </c>
      <c r="R106" s="8">
        <v>2799.26</v>
      </c>
      <c r="S106">
        <v>8</v>
      </c>
      <c r="T106">
        <v>0</v>
      </c>
      <c r="U106" s="8">
        <v>464.9</v>
      </c>
      <c r="V106" t="s">
        <v>1561</v>
      </c>
      <c r="W106" t="s">
        <v>1561</v>
      </c>
    </row>
    <row r="107" spans="1:23">
      <c r="A107">
        <v>1106</v>
      </c>
      <c r="B107" t="s">
        <v>1421</v>
      </c>
      <c r="C107" s="7">
        <v>45460</v>
      </c>
      <c r="D107" s="7">
        <v>45462</v>
      </c>
      <c r="E107" t="s">
        <v>22</v>
      </c>
      <c r="F107" t="s">
        <v>660</v>
      </c>
      <c r="G107" t="s">
        <v>1572</v>
      </c>
      <c r="H107" t="s">
        <v>51</v>
      </c>
      <c r="I107" t="s">
        <v>26</v>
      </c>
      <c r="J107" t="s">
        <v>27</v>
      </c>
      <c r="K107" t="s">
        <v>28</v>
      </c>
      <c r="L107" t="s">
        <v>92</v>
      </c>
      <c r="M107">
        <v>682001</v>
      </c>
      <c r="N107" t="s">
        <v>893</v>
      </c>
      <c r="O107" t="s">
        <v>138</v>
      </c>
      <c r="P107" t="s">
        <v>121</v>
      </c>
      <c r="Q107" t="s">
        <v>122</v>
      </c>
      <c r="R107" s="8">
        <v>589.55999999999995</v>
      </c>
      <c r="S107">
        <v>1</v>
      </c>
      <c r="T107">
        <v>0.1</v>
      </c>
      <c r="U107" s="8">
        <v>87.23</v>
      </c>
      <c r="V107" t="s">
        <v>1561</v>
      </c>
      <c r="W107" t="s">
        <v>1561</v>
      </c>
    </row>
    <row r="108" spans="1:23">
      <c r="A108">
        <v>1107</v>
      </c>
      <c r="B108" t="s">
        <v>1522</v>
      </c>
      <c r="C108" s="7">
        <v>45359</v>
      </c>
      <c r="D108" s="7">
        <v>45360</v>
      </c>
      <c r="E108" t="s">
        <v>48</v>
      </c>
      <c r="F108" t="s">
        <v>36</v>
      </c>
      <c r="G108" t="s">
        <v>1575</v>
      </c>
      <c r="H108" t="s">
        <v>51</v>
      </c>
      <c r="I108" t="s">
        <v>26</v>
      </c>
      <c r="J108" t="s">
        <v>115</v>
      </c>
      <c r="K108" t="s">
        <v>116</v>
      </c>
      <c r="L108" t="s">
        <v>92</v>
      </c>
      <c r="M108">
        <v>600001</v>
      </c>
      <c r="N108" t="s">
        <v>239</v>
      </c>
      <c r="O108" t="s">
        <v>83</v>
      </c>
      <c r="P108" t="s">
        <v>84</v>
      </c>
      <c r="Q108" t="s">
        <v>85</v>
      </c>
      <c r="R108" s="8">
        <v>13111.22</v>
      </c>
      <c r="S108">
        <v>4</v>
      </c>
      <c r="T108">
        <v>0</v>
      </c>
      <c r="U108" s="8">
        <v>2825.91</v>
      </c>
      <c r="V108" t="s">
        <v>1561</v>
      </c>
      <c r="W108" t="s">
        <v>1561</v>
      </c>
    </row>
    <row r="109" spans="1:23">
      <c r="A109">
        <v>1108</v>
      </c>
      <c r="B109" t="s">
        <v>913</v>
      </c>
      <c r="C109" s="7">
        <v>45561</v>
      </c>
      <c r="D109" s="7">
        <v>45562</v>
      </c>
      <c r="E109" t="s">
        <v>22</v>
      </c>
      <c r="F109" t="s">
        <v>479</v>
      </c>
      <c r="G109" t="s">
        <v>1562</v>
      </c>
      <c r="H109" t="s">
        <v>51</v>
      </c>
      <c r="I109" t="s">
        <v>26</v>
      </c>
      <c r="J109" t="s">
        <v>346</v>
      </c>
      <c r="K109" t="s">
        <v>132</v>
      </c>
      <c r="L109" t="s">
        <v>63</v>
      </c>
      <c r="M109">
        <v>600001</v>
      </c>
      <c r="N109" t="s">
        <v>914</v>
      </c>
      <c r="O109" t="s">
        <v>44</v>
      </c>
      <c r="P109" t="s">
        <v>211</v>
      </c>
      <c r="Q109" t="s">
        <v>212</v>
      </c>
      <c r="R109" s="8">
        <v>930.55</v>
      </c>
      <c r="S109">
        <v>1</v>
      </c>
      <c r="T109">
        <v>0.25</v>
      </c>
      <c r="U109" s="8">
        <v>-42.44</v>
      </c>
      <c r="V109" t="s">
        <v>1561</v>
      </c>
      <c r="W109" t="s">
        <v>1561</v>
      </c>
    </row>
    <row r="110" spans="1:23">
      <c r="A110">
        <v>1109</v>
      </c>
      <c r="B110" t="s">
        <v>587</v>
      </c>
      <c r="C110" s="7">
        <v>45629</v>
      </c>
      <c r="D110" s="7">
        <v>45634</v>
      </c>
      <c r="E110" t="s">
        <v>48</v>
      </c>
      <c r="F110" t="s">
        <v>192</v>
      </c>
      <c r="G110" t="s">
        <v>1566</v>
      </c>
      <c r="H110" t="s">
        <v>51</v>
      </c>
      <c r="I110" t="s">
        <v>26</v>
      </c>
      <c r="J110" t="s">
        <v>131</v>
      </c>
      <c r="K110" t="s">
        <v>132</v>
      </c>
      <c r="L110" t="s">
        <v>41</v>
      </c>
      <c r="M110">
        <v>673001</v>
      </c>
      <c r="N110" t="s">
        <v>167</v>
      </c>
      <c r="O110" t="s">
        <v>138</v>
      </c>
      <c r="P110" t="s">
        <v>182</v>
      </c>
      <c r="Q110" t="s">
        <v>183</v>
      </c>
      <c r="R110" s="8">
        <v>3062</v>
      </c>
      <c r="S110">
        <v>7</v>
      </c>
      <c r="T110">
        <v>0</v>
      </c>
      <c r="U110" s="8">
        <v>687.88</v>
      </c>
      <c r="V110" t="s">
        <v>1561</v>
      </c>
      <c r="W110" t="s">
        <v>1561</v>
      </c>
    </row>
    <row r="111" spans="1:23">
      <c r="A111">
        <v>1110</v>
      </c>
      <c r="B111" t="s">
        <v>95</v>
      </c>
      <c r="C111" s="7">
        <v>45329</v>
      </c>
      <c r="D111" s="7">
        <v>45330</v>
      </c>
      <c r="E111" t="s">
        <v>48</v>
      </c>
      <c r="F111" t="s">
        <v>96</v>
      </c>
      <c r="G111" t="s">
        <v>1571</v>
      </c>
      <c r="H111" t="s">
        <v>51</v>
      </c>
      <c r="I111" t="s">
        <v>26</v>
      </c>
      <c r="J111" t="s">
        <v>61</v>
      </c>
      <c r="K111" t="s">
        <v>62</v>
      </c>
      <c r="L111" t="s">
        <v>41</v>
      </c>
      <c r="M111">
        <v>682001</v>
      </c>
      <c r="N111" t="s">
        <v>97</v>
      </c>
      <c r="O111" t="s">
        <v>55</v>
      </c>
      <c r="P111" t="s">
        <v>98</v>
      </c>
      <c r="Q111" t="s">
        <v>99</v>
      </c>
      <c r="R111" s="8">
        <v>4587.26</v>
      </c>
      <c r="S111">
        <v>1</v>
      </c>
      <c r="T111">
        <v>0.3</v>
      </c>
      <c r="U111" s="8">
        <v>-188.59</v>
      </c>
      <c r="V111" t="s">
        <v>1561</v>
      </c>
      <c r="W111" t="s">
        <v>1561</v>
      </c>
    </row>
    <row r="112" spans="1:23">
      <c r="A112">
        <v>1111</v>
      </c>
      <c r="B112" t="s">
        <v>617</v>
      </c>
      <c r="C112" s="7">
        <v>45597</v>
      </c>
      <c r="D112" s="7">
        <v>45602</v>
      </c>
      <c r="E112" t="s">
        <v>48</v>
      </c>
      <c r="F112" t="s">
        <v>192</v>
      </c>
      <c r="G112" t="s">
        <v>1568</v>
      </c>
      <c r="H112" t="s">
        <v>25</v>
      </c>
      <c r="I112" t="s">
        <v>26</v>
      </c>
      <c r="J112" t="s">
        <v>79</v>
      </c>
      <c r="K112" t="s">
        <v>80</v>
      </c>
      <c r="L112" t="s">
        <v>29</v>
      </c>
      <c r="M112">
        <v>673001</v>
      </c>
      <c r="N112" t="s">
        <v>571</v>
      </c>
      <c r="O112" t="s">
        <v>138</v>
      </c>
      <c r="P112" t="s">
        <v>156</v>
      </c>
      <c r="Q112" t="s">
        <v>157</v>
      </c>
      <c r="R112" s="8">
        <v>1168.75</v>
      </c>
      <c r="S112">
        <v>4</v>
      </c>
      <c r="T112">
        <v>0.25</v>
      </c>
      <c r="U112" s="8">
        <v>45.33</v>
      </c>
      <c r="V112" t="s">
        <v>1561</v>
      </c>
      <c r="W112" t="s">
        <v>1561</v>
      </c>
    </row>
    <row r="113" spans="1:23">
      <c r="A113">
        <v>1112</v>
      </c>
      <c r="B113" t="s">
        <v>1166</v>
      </c>
      <c r="C113" s="7">
        <v>45512</v>
      </c>
      <c r="D113" s="7">
        <v>45516</v>
      </c>
      <c r="E113" t="s">
        <v>69</v>
      </c>
      <c r="F113" t="s">
        <v>271</v>
      </c>
      <c r="G113" t="s">
        <v>1563</v>
      </c>
      <c r="H113" t="s">
        <v>108</v>
      </c>
      <c r="I113" t="s">
        <v>26</v>
      </c>
      <c r="J113" t="s">
        <v>160</v>
      </c>
      <c r="K113" t="s">
        <v>161</v>
      </c>
      <c r="L113" t="s">
        <v>29</v>
      </c>
      <c r="M113">
        <v>560001</v>
      </c>
      <c r="N113" t="s">
        <v>1167</v>
      </c>
      <c r="O113" t="s">
        <v>44</v>
      </c>
      <c r="P113" t="s">
        <v>45</v>
      </c>
      <c r="Q113" t="s">
        <v>46</v>
      </c>
      <c r="R113" s="8">
        <v>121174.44</v>
      </c>
      <c r="S113">
        <v>4</v>
      </c>
      <c r="T113">
        <v>0.1</v>
      </c>
      <c r="U113" s="8">
        <v>5092.1899999999996</v>
      </c>
      <c r="V113" t="s">
        <v>1561</v>
      </c>
      <c r="W113" t="s">
        <v>1561</v>
      </c>
    </row>
    <row r="114" spans="1:23">
      <c r="A114">
        <v>1113</v>
      </c>
      <c r="B114" t="s">
        <v>1273</v>
      </c>
      <c r="C114" s="7">
        <v>45483</v>
      </c>
      <c r="D114" s="7">
        <v>45485</v>
      </c>
      <c r="E114" t="s">
        <v>101</v>
      </c>
      <c r="F114" t="s">
        <v>164</v>
      </c>
      <c r="G114" t="s">
        <v>1573</v>
      </c>
      <c r="H114" t="s">
        <v>51</v>
      </c>
      <c r="I114" t="s">
        <v>26</v>
      </c>
      <c r="J114" t="s">
        <v>160</v>
      </c>
      <c r="K114" t="s">
        <v>161</v>
      </c>
      <c r="L114" t="s">
        <v>41</v>
      </c>
      <c r="M114">
        <v>673001</v>
      </c>
      <c r="N114" t="s">
        <v>1274</v>
      </c>
      <c r="O114" t="s">
        <v>44</v>
      </c>
      <c r="P114" t="s">
        <v>45</v>
      </c>
      <c r="Q114" t="s">
        <v>46</v>
      </c>
      <c r="R114" s="8">
        <v>58900.86</v>
      </c>
      <c r="S114">
        <v>2</v>
      </c>
      <c r="T114">
        <v>0.15</v>
      </c>
      <c r="U114" s="8">
        <v>642.02</v>
      </c>
      <c r="V114" t="s">
        <v>1561</v>
      </c>
      <c r="W114" t="s">
        <v>1561</v>
      </c>
    </row>
    <row r="115" spans="1:23">
      <c r="A115">
        <v>1114</v>
      </c>
      <c r="B115" t="s">
        <v>1006</v>
      </c>
      <c r="C115" s="7">
        <v>45592</v>
      </c>
      <c r="D115" s="7">
        <v>45597</v>
      </c>
      <c r="E115" t="s">
        <v>48</v>
      </c>
      <c r="F115" t="s">
        <v>70</v>
      </c>
      <c r="G115" t="s">
        <v>1573</v>
      </c>
      <c r="H115" t="s">
        <v>25</v>
      </c>
      <c r="I115" t="s">
        <v>26</v>
      </c>
      <c r="J115" t="s">
        <v>131</v>
      </c>
      <c r="K115" t="s">
        <v>132</v>
      </c>
      <c r="L115" t="s">
        <v>29</v>
      </c>
      <c r="M115">
        <v>695001</v>
      </c>
      <c r="N115" t="s">
        <v>1007</v>
      </c>
      <c r="O115" t="s">
        <v>83</v>
      </c>
      <c r="P115" t="s">
        <v>33</v>
      </c>
      <c r="Q115" t="s">
        <v>34</v>
      </c>
      <c r="R115" s="8">
        <v>7529.77</v>
      </c>
      <c r="S115">
        <v>5</v>
      </c>
      <c r="T115">
        <v>0</v>
      </c>
      <c r="U115" s="8">
        <v>1781.82</v>
      </c>
      <c r="V115" t="s">
        <v>1561</v>
      </c>
      <c r="W115" t="s">
        <v>1561</v>
      </c>
    </row>
    <row r="116" spans="1:23">
      <c r="A116">
        <v>1115</v>
      </c>
      <c r="B116" t="s">
        <v>733</v>
      </c>
      <c r="C116" s="7">
        <v>45439</v>
      </c>
      <c r="D116" s="7">
        <v>45444</v>
      </c>
      <c r="E116" t="s">
        <v>48</v>
      </c>
      <c r="F116" t="s">
        <v>551</v>
      </c>
      <c r="G116" t="s">
        <v>1573</v>
      </c>
      <c r="H116" t="s">
        <v>51</v>
      </c>
      <c r="I116" t="s">
        <v>26</v>
      </c>
      <c r="J116" t="s">
        <v>90</v>
      </c>
      <c r="K116" t="s">
        <v>91</v>
      </c>
      <c r="L116" t="s">
        <v>92</v>
      </c>
      <c r="M116">
        <v>682001</v>
      </c>
      <c r="N116" t="s">
        <v>734</v>
      </c>
      <c r="O116" t="s">
        <v>83</v>
      </c>
      <c r="P116" t="s">
        <v>84</v>
      </c>
      <c r="Q116" t="s">
        <v>85</v>
      </c>
      <c r="R116" s="8">
        <v>20404.37</v>
      </c>
      <c r="S116">
        <v>6</v>
      </c>
      <c r="T116">
        <v>0</v>
      </c>
      <c r="U116" s="8">
        <v>5435.57</v>
      </c>
      <c r="V116" t="s">
        <v>1561</v>
      </c>
      <c r="W116" t="s">
        <v>1561</v>
      </c>
    </row>
    <row r="117" spans="1:23">
      <c r="A117">
        <v>1116</v>
      </c>
      <c r="B117" t="s">
        <v>1034</v>
      </c>
      <c r="C117" s="7">
        <v>45350</v>
      </c>
      <c r="D117" s="7">
        <v>45353</v>
      </c>
      <c r="E117" t="s">
        <v>69</v>
      </c>
      <c r="F117" t="s">
        <v>414</v>
      </c>
      <c r="G117" t="s">
        <v>1564</v>
      </c>
      <c r="H117" t="s">
        <v>25</v>
      </c>
      <c r="I117" t="s">
        <v>26</v>
      </c>
      <c r="J117" t="s">
        <v>39</v>
      </c>
      <c r="K117" t="s">
        <v>40</v>
      </c>
      <c r="L117" t="s">
        <v>41</v>
      </c>
      <c r="M117">
        <v>600001</v>
      </c>
      <c r="N117" t="s">
        <v>430</v>
      </c>
      <c r="O117" t="s">
        <v>44</v>
      </c>
      <c r="P117" t="s">
        <v>211</v>
      </c>
      <c r="Q117" t="s">
        <v>223</v>
      </c>
      <c r="R117" s="8">
        <v>3015.85</v>
      </c>
      <c r="S117">
        <v>2</v>
      </c>
      <c r="T117">
        <v>0.2</v>
      </c>
      <c r="U117" s="8">
        <v>-60.4</v>
      </c>
      <c r="V117" t="s">
        <v>1561</v>
      </c>
      <c r="W117" t="s">
        <v>1561</v>
      </c>
    </row>
    <row r="118" spans="1:23">
      <c r="A118">
        <v>1117</v>
      </c>
      <c r="B118" t="s">
        <v>875</v>
      </c>
      <c r="C118" s="7">
        <v>45465</v>
      </c>
      <c r="D118" s="7">
        <v>45468</v>
      </c>
      <c r="E118" t="s">
        <v>22</v>
      </c>
      <c r="F118" t="s">
        <v>437</v>
      </c>
      <c r="G118" t="s">
        <v>1572</v>
      </c>
      <c r="H118" t="s">
        <v>51</v>
      </c>
      <c r="I118" t="s">
        <v>26</v>
      </c>
      <c r="J118" t="s">
        <v>61</v>
      </c>
      <c r="K118" t="s">
        <v>62</v>
      </c>
      <c r="L118" t="s">
        <v>92</v>
      </c>
      <c r="M118">
        <v>600001</v>
      </c>
      <c r="N118" t="s">
        <v>430</v>
      </c>
      <c r="O118" t="s">
        <v>83</v>
      </c>
      <c r="P118" t="s">
        <v>33</v>
      </c>
      <c r="Q118" t="s">
        <v>34</v>
      </c>
      <c r="R118" s="8">
        <v>1204.6400000000001</v>
      </c>
      <c r="S118">
        <v>1</v>
      </c>
      <c r="T118">
        <v>0.15</v>
      </c>
      <c r="U118" s="8">
        <v>183.02</v>
      </c>
      <c r="V118" t="s">
        <v>1561</v>
      </c>
      <c r="W118" t="s">
        <v>1561</v>
      </c>
    </row>
    <row r="119" spans="1:23">
      <c r="A119">
        <v>1118</v>
      </c>
      <c r="B119" t="s">
        <v>857</v>
      </c>
      <c r="C119" s="7">
        <v>45338</v>
      </c>
      <c r="D119" s="7">
        <v>45344</v>
      </c>
      <c r="E119" t="s">
        <v>69</v>
      </c>
      <c r="F119" t="s">
        <v>678</v>
      </c>
      <c r="G119" t="s">
        <v>1564</v>
      </c>
      <c r="H119" t="s">
        <v>51</v>
      </c>
      <c r="I119" t="s">
        <v>26</v>
      </c>
      <c r="J119" t="s">
        <v>109</v>
      </c>
      <c r="K119" t="s">
        <v>110</v>
      </c>
      <c r="L119" t="s">
        <v>29</v>
      </c>
      <c r="M119">
        <v>695001</v>
      </c>
      <c r="N119" t="s">
        <v>602</v>
      </c>
      <c r="O119" t="s">
        <v>44</v>
      </c>
      <c r="P119" t="s">
        <v>45</v>
      </c>
      <c r="Q119" t="s">
        <v>46</v>
      </c>
      <c r="R119" s="8">
        <v>102733.8</v>
      </c>
      <c r="S119">
        <v>3</v>
      </c>
      <c r="T119">
        <v>0</v>
      </c>
      <c r="U119" s="8">
        <v>12557.65</v>
      </c>
      <c r="V119" t="s">
        <v>1561</v>
      </c>
      <c r="W119" t="s">
        <v>1561</v>
      </c>
    </row>
    <row r="120" spans="1:23">
      <c r="A120">
        <v>1119</v>
      </c>
      <c r="B120" t="s">
        <v>408</v>
      </c>
      <c r="C120" s="7">
        <v>45318</v>
      </c>
      <c r="D120" s="7">
        <v>45320</v>
      </c>
      <c r="E120" t="s">
        <v>69</v>
      </c>
      <c r="F120" t="s">
        <v>106</v>
      </c>
      <c r="G120" t="s">
        <v>1574</v>
      </c>
      <c r="H120" t="s">
        <v>25</v>
      </c>
      <c r="I120" t="s">
        <v>26</v>
      </c>
      <c r="J120" t="s">
        <v>226</v>
      </c>
      <c r="K120" t="s">
        <v>110</v>
      </c>
      <c r="L120" t="s">
        <v>41</v>
      </c>
      <c r="M120">
        <v>400001</v>
      </c>
      <c r="N120" t="s">
        <v>409</v>
      </c>
      <c r="O120" t="s">
        <v>55</v>
      </c>
      <c r="P120" t="s">
        <v>66</v>
      </c>
      <c r="Q120" t="s">
        <v>67</v>
      </c>
      <c r="R120" s="8">
        <v>32807.4</v>
      </c>
      <c r="S120">
        <v>4</v>
      </c>
      <c r="T120">
        <v>0</v>
      </c>
      <c r="U120" s="8">
        <v>4000.71</v>
      </c>
      <c r="V120" t="s">
        <v>1561</v>
      </c>
      <c r="W120" t="s">
        <v>1561</v>
      </c>
    </row>
    <row r="121" spans="1:23">
      <c r="A121">
        <v>1120</v>
      </c>
      <c r="B121" t="s">
        <v>1175</v>
      </c>
      <c r="C121" s="7">
        <v>45504</v>
      </c>
      <c r="D121" s="7">
        <v>45507</v>
      </c>
      <c r="E121" t="s">
        <v>69</v>
      </c>
      <c r="F121" t="s">
        <v>106</v>
      </c>
      <c r="G121" t="s">
        <v>1568</v>
      </c>
      <c r="H121" t="s">
        <v>25</v>
      </c>
      <c r="I121" t="s">
        <v>26</v>
      </c>
      <c r="J121" t="s">
        <v>115</v>
      </c>
      <c r="K121" t="s">
        <v>116</v>
      </c>
      <c r="L121" t="s">
        <v>41</v>
      </c>
      <c r="M121">
        <v>695001</v>
      </c>
      <c r="N121" t="s">
        <v>1176</v>
      </c>
      <c r="O121" t="s">
        <v>138</v>
      </c>
      <c r="P121" t="s">
        <v>182</v>
      </c>
      <c r="Q121" t="s">
        <v>183</v>
      </c>
      <c r="R121" s="8">
        <v>967</v>
      </c>
      <c r="S121">
        <v>3</v>
      </c>
      <c r="T121">
        <v>0.3</v>
      </c>
      <c r="U121" s="8">
        <v>4.05</v>
      </c>
      <c r="V121" t="s">
        <v>1561</v>
      </c>
      <c r="W121" t="s">
        <v>1561</v>
      </c>
    </row>
    <row r="122" spans="1:23">
      <c r="A122">
        <v>1121</v>
      </c>
      <c r="B122" t="s">
        <v>217</v>
      </c>
      <c r="C122" s="7">
        <v>45315</v>
      </c>
      <c r="D122" s="7">
        <v>45317</v>
      </c>
      <c r="E122" t="s">
        <v>101</v>
      </c>
      <c r="F122" t="s">
        <v>146</v>
      </c>
      <c r="G122" t="s">
        <v>1576</v>
      </c>
      <c r="H122" t="s">
        <v>25</v>
      </c>
      <c r="I122" t="s">
        <v>26</v>
      </c>
      <c r="J122" t="s">
        <v>131</v>
      </c>
      <c r="K122" t="s">
        <v>132</v>
      </c>
      <c r="L122" t="s">
        <v>41</v>
      </c>
      <c r="M122">
        <v>682001</v>
      </c>
      <c r="N122" t="s">
        <v>219</v>
      </c>
      <c r="O122" t="s">
        <v>55</v>
      </c>
      <c r="P122" t="s">
        <v>66</v>
      </c>
      <c r="Q122" t="s">
        <v>67</v>
      </c>
      <c r="R122" s="8">
        <v>23202.51</v>
      </c>
      <c r="S122">
        <v>3</v>
      </c>
      <c r="T122">
        <v>0.15</v>
      </c>
      <c r="U122" s="8">
        <v>1779.29</v>
      </c>
      <c r="V122" t="s">
        <v>1561</v>
      </c>
      <c r="W122" t="s">
        <v>1561</v>
      </c>
    </row>
    <row r="123" spans="1:23">
      <c r="A123">
        <v>1122</v>
      </c>
      <c r="B123" t="s">
        <v>1516</v>
      </c>
      <c r="C123" s="7">
        <v>45353</v>
      </c>
      <c r="D123" s="7">
        <v>45354</v>
      </c>
      <c r="E123" t="s">
        <v>101</v>
      </c>
      <c r="F123" t="s">
        <v>645</v>
      </c>
      <c r="G123" t="s">
        <v>1564</v>
      </c>
      <c r="H123" t="s">
        <v>51</v>
      </c>
      <c r="I123" t="s">
        <v>26</v>
      </c>
      <c r="J123" t="s">
        <v>72</v>
      </c>
      <c r="K123" t="s">
        <v>73</v>
      </c>
      <c r="L123" t="s">
        <v>92</v>
      </c>
      <c r="M123">
        <v>682001</v>
      </c>
      <c r="N123" t="s">
        <v>418</v>
      </c>
      <c r="O123" t="s">
        <v>83</v>
      </c>
      <c r="P123" t="s">
        <v>84</v>
      </c>
      <c r="Q123" t="s">
        <v>85</v>
      </c>
      <c r="R123" s="8">
        <v>5459.86</v>
      </c>
      <c r="S123">
        <v>2</v>
      </c>
      <c r="T123">
        <v>0.2</v>
      </c>
      <c r="U123" s="8">
        <v>612.65</v>
      </c>
      <c r="V123" t="s">
        <v>1561</v>
      </c>
      <c r="W123" t="s">
        <v>1561</v>
      </c>
    </row>
    <row r="124" spans="1:23">
      <c r="A124">
        <v>1123</v>
      </c>
      <c r="B124" t="s">
        <v>1237</v>
      </c>
      <c r="C124" s="7">
        <v>45328</v>
      </c>
      <c r="D124" s="7">
        <v>45332</v>
      </c>
      <c r="E124" t="s">
        <v>22</v>
      </c>
      <c r="F124" t="s">
        <v>235</v>
      </c>
      <c r="G124" t="s">
        <v>1569</v>
      </c>
      <c r="H124" t="s">
        <v>51</v>
      </c>
      <c r="I124" t="s">
        <v>26</v>
      </c>
      <c r="J124" t="s">
        <v>52</v>
      </c>
      <c r="K124" t="s">
        <v>52</v>
      </c>
      <c r="L124" t="s">
        <v>29</v>
      </c>
      <c r="M124">
        <v>673001</v>
      </c>
      <c r="N124" t="s">
        <v>1238</v>
      </c>
      <c r="O124" t="s">
        <v>83</v>
      </c>
      <c r="P124" t="s">
        <v>33</v>
      </c>
      <c r="Q124" t="s">
        <v>34</v>
      </c>
      <c r="R124" s="8">
        <v>3099.51</v>
      </c>
      <c r="S124">
        <v>3</v>
      </c>
      <c r="T124">
        <v>0.2</v>
      </c>
      <c r="U124" s="8">
        <v>451.6</v>
      </c>
      <c r="V124" t="s">
        <v>1561</v>
      </c>
      <c r="W124" t="s">
        <v>1561</v>
      </c>
    </row>
    <row r="125" spans="1:23">
      <c r="A125">
        <v>1124</v>
      </c>
      <c r="B125" t="s">
        <v>1226</v>
      </c>
      <c r="C125" s="7">
        <v>45440</v>
      </c>
      <c r="D125" s="7">
        <v>45441</v>
      </c>
      <c r="E125" t="s">
        <v>101</v>
      </c>
      <c r="F125" t="s">
        <v>701</v>
      </c>
      <c r="G125" t="s">
        <v>1563</v>
      </c>
      <c r="H125" t="s">
        <v>51</v>
      </c>
      <c r="I125" t="s">
        <v>26</v>
      </c>
      <c r="J125" t="s">
        <v>226</v>
      </c>
      <c r="K125" t="s">
        <v>110</v>
      </c>
      <c r="L125" t="s">
        <v>92</v>
      </c>
      <c r="M125">
        <v>110001</v>
      </c>
      <c r="N125" t="s">
        <v>1227</v>
      </c>
      <c r="O125" t="s">
        <v>138</v>
      </c>
      <c r="P125" t="s">
        <v>139</v>
      </c>
      <c r="Q125" t="s">
        <v>140</v>
      </c>
      <c r="R125" s="8">
        <v>1408.63</v>
      </c>
      <c r="S125">
        <v>2</v>
      </c>
      <c r="T125">
        <v>0.25</v>
      </c>
      <c r="U125" s="8">
        <v>65.150000000000006</v>
      </c>
      <c r="V125" t="s">
        <v>1561</v>
      </c>
      <c r="W125" t="s">
        <v>1561</v>
      </c>
    </row>
    <row r="126" spans="1:23">
      <c r="A126">
        <v>1125</v>
      </c>
      <c r="B126" t="s">
        <v>941</v>
      </c>
      <c r="C126" s="7">
        <v>45346</v>
      </c>
      <c r="D126" s="7">
        <v>45348</v>
      </c>
      <c r="E126" t="s">
        <v>101</v>
      </c>
      <c r="F126" t="s">
        <v>774</v>
      </c>
      <c r="G126" t="s">
        <v>1564</v>
      </c>
      <c r="H126" t="s">
        <v>25</v>
      </c>
      <c r="I126" t="s">
        <v>26</v>
      </c>
      <c r="J126" t="s">
        <v>39</v>
      </c>
      <c r="K126" t="s">
        <v>40</v>
      </c>
      <c r="L126" t="s">
        <v>41</v>
      </c>
      <c r="M126">
        <v>560001</v>
      </c>
      <c r="N126" t="s">
        <v>741</v>
      </c>
      <c r="O126" t="s">
        <v>188</v>
      </c>
      <c r="P126" t="s">
        <v>189</v>
      </c>
      <c r="Q126" t="s">
        <v>386</v>
      </c>
      <c r="R126" s="8">
        <v>3544.79</v>
      </c>
      <c r="S126">
        <v>2</v>
      </c>
      <c r="T126">
        <v>0.25</v>
      </c>
      <c r="U126" s="8">
        <v>-135.54</v>
      </c>
      <c r="V126" t="s">
        <v>1561</v>
      </c>
      <c r="W126" t="s">
        <v>1561</v>
      </c>
    </row>
    <row r="127" spans="1:23">
      <c r="A127">
        <v>1126</v>
      </c>
      <c r="B127" t="s">
        <v>858</v>
      </c>
      <c r="C127" s="7">
        <v>45331</v>
      </c>
      <c r="D127" s="7">
        <v>45336</v>
      </c>
      <c r="E127" t="s">
        <v>22</v>
      </c>
      <c r="F127" t="s">
        <v>288</v>
      </c>
      <c r="G127" t="s">
        <v>1568</v>
      </c>
      <c r="H127" t="s">
        <v>51</v>
      </c>
      <c r="I127" t="s">
        <v>26</v>
      </c>
      <c r="J127" t="s">
        <v>115</v>
      </c>
      <c r="K127" t="s">
        <v>116</v>
      </c>
      <c r="L127" t="s">
        <v>92</v>
      </c>
      <c r="M127">
        <v>110001</v>
      </c>
      <c r="N127" t="s">
        <v>859</v>
      </c>
      <c r="O127" t="s">
        <v>83</v>
      </c>
      <c r="P127" t="s">
        <v>33</v>
      </c>
      <c r="Q127" t="s">
        <v>34</v>
      </c>
      <c r="R127" s="8">
        <v>2572.52</v>
      </c>
      <c r="S127">
        <v>2</v>
      </c>
      <c r="T127">
        <v>0.05</v>
      </c>
      <c r="U127" s="8">
        <v>527.38</v>
      </c>
      <c r="V127" t="s">
        <v>1561</v>
      </c>
      <c r="W127" t="s">
        <v>1561</v>
      </c>
    </row>
    <row r="128" spans="1:23">
      <c r="A128">
        <v>1127</v>
      </c>
      <c r="B128" t="s">
        <v>1000</v>
      </c>
      <c r="C128" s="7">
        <v>45412</v>
      </c>
      <c r="D128" s="7">
        <v>45413</v>
      </c>
      <c r="E128" t="s">
        <v>69</v>
      </c>
      <c r="F128" t="s">
        <v>330</v>
      </c>
      <c r="G128" t="s">
        <v>1565</v>
      </c>
      <c r="H128" t="s">
        <v>108</v>
      </c>
      <c r="I128" t="s">
        <v>26</v>
      </c>
      <c r="J128" t="s">
        <v>226</v>
      </c>
      <c r="K128" t="s">
        <v>110</v>
      </c>
      <c r="L128" t="s">
        <v>92</v>
      </c>
      <c r="M128">
        <v>600001</v>
      </c>
      <c r="N128" t="s">
        <v>1001</v>
      </c>
      <c r="O128" t="s">
        <v>83</v>
      </c>
      <c r="P128" t="s">
        <v>33</v>
      </c>
      <c r="Q128" t="s">
        <v>34</v>
      </c>
      <c r="R128" s="8">
        <v>4214.17</v>
      </c>
      <c r="S128">
        <v>3</v>
      </c>
      <c r="T128">
        <v>0.05</v>
      </c>
      <c r="U128" s="8">
        <v>832.68</v>
      </c>
      <c r="V128" t="s">
        <v>1561</v>
      </c>
      <c r="W128" t="s">
        <v>1561</v>
      </c>
    </row>
    <row r="129" spans="1:23">
      <c r="A129">
        <v>1128</v>
      </c>
      <c r="B129" t="s">
        <v>1117</v>
      </c>
      <c r="C129" s="7">
        <v>45529</v>
      </c>
      <c r="D129" s="7">
        <v>45534</v>
      </c>
      <c r="E129" t="s">
        <v>101</v>
      </c>
      <c r="F129" t="s">
        <v>1118</v>
      </c>
      <c r="G129" t="s">
        <v>1567</v>
      </c>
      <c r="H129" t="s">
        <v>25</v>
      </c>
      <c r="I129" t="s">
        <v>26</v>
      </c>
      <c r="J129" t="s">
        <v>27</v>
      </c>
      <c r="K129" t="s">
        <v>28</v>
      </c>
      <c r="L129" t="s">
        <v>63</v>
      </c>
      <c r="M129">
        <v>110001</v>
      </c>
      <c r="N129" t="s">
        <v>761</v>
      </c>
      <c r="O129" t="s">
        <v>83</v>
      </c>
      <c r="P129" t="s">
        <v>84</v>
      </c>
      <c r="Q129" t="s">
        <v>85</v>
      </c>
      <c r="R129" s="8">
        <v>2121.5500000000002</v>
      </c>
      <c r="S129">
        <v>1</v>
      </c>
      <c r="T129">
        <v>0.3</v>
      </c>
      <c r="U129" s="8">
        <v>120</v>
      </c>
      <c r="V129" t="s">
        <v>1561</v>
      </c>
      <c r="W129" t="s">
        <v>1561</v>
      </c>
    </row>
    <row r="130" spans="1:23">
      <c r="A130">
        <v>1129</v>
      </c>
      <c r="B130" t="s">
        <v>1385</v>
      </c>
      <c r="C130" s="7">
        <v>45432</v>
      </c>
      <c r="D130" s="7">
        <v>45437</v>
      </c>
      <c r="E130" t="s">
        <v>22</v>
      </c>
      <c r="F130" t="s">
        <v>551</v>
      </c>
      <c r="G130" t="s">
        <v>1568</v>
      </c>
      <c r="H130" t="s">
        <v>51</v>
      </c>
      <c r="I130" t="s">
        <v>26</v>
      </c>
      <c r="J130" t="s">
        <v>226</v>
      </c>
      <c r="K130" t="s">
        <v>110</v>
      </c>
      <c r="L130" t="s">
        <v>41</v>
      </c>
      <c r="M130">
        <v>695001</v>
      </c>
      <c r="N130" t="s">
        <v>1386</v>
      </c>
      <c r="O130" t="s">
        <v>44</v>
      </c>
      <c r="P130" t="s">
        <v>211</v>
      </c>
      <c r="Q130" t="s">
        <v>212</v>
      </c>
      <c r="R130" s="8">
        <v>2182.36</v>
      </c>
      <c r="S130">
        <v>25</v>
      </c>
      <c r="T130">
        <v>0.15</v>
      </c>
      <c r="U130" s="8">
        <v>29.95</v>
      </c>
      <c r="V130" t="s">
        <v>1561</v>
      </c>
      <c r="W130" t="s">
        <v>1561</v>
      </c>
    </row>
    <row r="131" spans="1:23">
      <c r="A131">
        <v>1130</v>
      </c>
      <c r="B131" t="s">
        <v>1247</v>
      </c>
      <c r="C131" s="7">
        <v>45622</v>
      </c>
      <c r="D131" s="7">
        <v>45623</v>
      </c>
      <c r="E131" t="s">
        <v>101</v>
      </c>
      <c r="F131" t="s">
        <v>598</v>
      </c>
      <c r="G131" t="s">
        <v>1574</v>
      </c>
      <c r="H131" t="s">
        <v>51</v>
      </c>
      <c r="I131" t="s">
        <v>26</v>
      </c>
      <c r="J131" t="s">
        <v>39</v>
      </c>
      <c r="K131" t="s">
        <v>40</v>
      </c>
      <c r="L131" t="s">
        <v>41</v>
      </c>
      <c r="M131">
        <v>560001</v>
      </c>
      <c r="N131" t="s">
        <v>874</v>
      </c>
      <c r="O131" t="s">
        <v>44</v>
      </c>
      <c r="P131" t="s">
        <v>207</v>
      </c>
      <c r="Q131" t="s">
        <v>208</v>
      </c>
      <c r="R131" s="8">
        <v>262914.53999999998</v>
      </c>
      <c r="S131">
        <v>5</v>
      </c>
      <c r="T131">
        <v>0</v>
      </c>
      <c r="U131" s="8">
        <v>23095.65</v>
      </c>
      <c r="V131" t="s">
        <v>1561</v>
      </c>
      <c r="W131" t="s">
        <v>1561</v>
      </c>
    </row>
    <row r="132" spans="1:23">
      <c r="A132">
        <v>1131</v>
      </c>
      <c r="B132" t="s">
        <v>1503</v>
      </c>
      <c r="C132" s="7">
        <v>45323</v>
      </c>
      <c r="D132" s="7">
        <v>45327</v>
      </c>
      <c r="E132" t="s">
        <v>22</v>
      </c>
      <c r="F132" t="s">
        <v>414</v>
      </c>
      <c r="G132" t="s">
        <v>1567</v>
      </c>
      <c r="H132" t="s">
        <v>51</v>
      </c>
      <c r="I132" t="s">
        <v>26</v>
      </c>
      <c r="J132" t="s">
        <v>79</v>
      </c>
      <c r="K132" t="s">
        <v>80</v>
      </c>
      <c r="L132" t="s">
        <v>63</v>
      </c>
      <c r="M132">
        <v>400001</v>
      </c>
      <c r="N132" t="s">
        <v>1504</v>
      </c>
      <c r="O132" t="s">
        <v>138</v>
      </c>
      <c r="P132" t="s">
        <v>156</v>
      </c>
      <c r="Q132" t="s">
        <v>157</v>
      </c>
      <c r="R132" s="8">
        <v>1102.93</v>
      </c>
      <c r="S132">
        <v>3</v>
      </c>
      <c r="T132">
        <v>0.05</v>
      </c>
      <c r="U132" s="8">
        <v>230.01</v>
      </c>
      <c r="V132" t="s">
        <v>1561</v>
      </c>
      <c r="W132" t="s">
        <v>1561</v>
      </c>
    </row>
    <row r="133" spans="1:23">
      <c r="A133">
        <v>1132</v>
      </c>
      <c r="B133" t="s">
        <v>528</v>
      </c>
      <c r="C133" s="7">
        <v>45516</v>
      </c>
      <c r="D133" s="7">
        <v>45521</v>
      </c>
      <c r="E133" t="s">
        <v>69</v>
      </c>
      <c r="F133" t="s">
        <v>203</v>
      </c>
      <c r="G133" t="s">
        <v>1563</v>
      </c>
      <c r="H133" t="s">
        <v>51</v>
      </c>
      <c r="I133" t="s">
        <v>26</v>
      </c>
      <c r="J133" t="s">
        <v>52</v>
      </c>
      <c r="K133" t="s">
        <v>52</v>
      </c>
      <c r="L133" t="s">
        <v>63</v>
      </c>
      <c r="M133">
        <v>560001</v>
      </c>
      <c r="N133" t="s">
        <v>524</v>
      </c>
      <c r="O133" t="s">
        <v>138</v>
      </c>
      <c r="P133" t="s">
        <v>156</v>
      </c>
      <c r="Q133" t="s">
        <v>157</v>
      </c>
      <c r="R133" s="8">
        <v>250.68</v>
      </c>
      <c r="S133">
        <v>1</v>
      </c>
      <c r="T133">
        <v>0.3</v>
      </c>
      <c r="U133" s="8">
        <v>1.26</v>
      </c>
      <c r="V133" t="s">
        <v>1561</v>
      </c>
      <c r="W133" t="s">
        <v>1561</v>
      </c>
    </row>
    <row r="134" spans="1:23">
      <c r="A134">
        <v>1133</v>
      </c>
      <c r="B134" t="s">
        <v>575</v>
      </c>
      <c r="C134" s="7">
        <v>45325</v>
      </c>
      <c r="D134" s="7">
        <v>45328</v>
      </c>
      <c r="E134" t="s">
        <v>22</v>
      </c>
      <c r="F134" t="s">
        <v>142</v>
      </c>
      <c r="G134" t="s">
        <v>1566</v>
      </c>
      <c r="H134" t="s">
        <v>25</v>
      </c>
      <c r="I134" t="s">
        <v>26</v>
      </c>
      <c r="J134" t="s">
        <v>27</v>
      </c>
      <c r="K134" t="s">
        <v>28</v>
      </c>
      <c r="L134" t="s">
        <v>29</v>
      </c>
      <c r="M134">
        <v>695001</v>
      </c>
      <c r="N134" t="s">
        <v>148</v>
      </c>
      <c r="O134" t="s">
        <v>55</v>
      </c>
      <c r="P134" t="s">
        <v>56</v>
      </c>
      <c r="Q134" t="s">
        <v>57</v>
      </c>
      <c r="R134" s="8">
        <v>6107.79</v>
      </c>
      <c r="S134">
        <v>1</v>
      </c>
      <c r="T134">
        <v>0.2</v>
      </c>
      <c r="U134" s="8">
        <v>205.29</v>
      </c>
      <c r="V134" t="s">
        <v>1561</v>
      </c>
      <c r="W134" t="s">
        <v>1561</v>
      </c>
    </row>
    <row r="135" spans="1:23">
      <c r="A135">
        <v>1134</v>
      </c>
      <c r="B135" t="s">
        <v>476</v>
      </c>
      <c r="C135" s="7">
        <v>45462</v>
      </c>
      <c r="D135" s="7">
        <v>45463</v>
      </c>
      <c r="E135" t="s">
        <v>69</v>
      </c>
      <c r="F135" t="s">
        <v>404</v>
      </c>
      <c r="G135" t="s">
        <v>1563</v>
      </c>
      <c r="H135" t="s">
        <v>25</v>
      </c>
      <c r="I135" t="s">
        <v>26</v>
      </c>
      <c r="J135" t="s">
        <v>160</v>
      </c>
      <c r="K135" t="s">
        <v>161</v>
      </c>
      <c r="L135" t="s">
        <v>63</v>
      </c>
      <c r="M135">
        <v>400001</v>
      </c>
      <c r="N135" t="s">
        <v>477</v>
      </c>
      <c r="O135" t="s">
        <v>188</v>
      </c>
      <c r="P135" t="s">
        <v>189</v>
      </c>
      <c r="Q135" t="s">
        <v>386</v>
      </c>
      <c r="R135" s="8">
        <v>12935.29</v>
      </c>
      <c r="S135">
        <v>6</v>
      </c>
      <c r="T135">
        <v>0.05</v>
      </c>
      <c r="U135" s="8">
        <v>1388.88</v>
      </c>
      <c r="V135" t="s">
        <v>1561</v>
      </c>
      <c r="W135" t="s">
        <v>1561</v>
      </c>
    </row>
    <row r="136" spans="1:23">
      <c r="A136">
        <v>1135</v>
      </c>
      <c r="B136" t="s">
        <v>1360</v>
      </c>
      <c r="C136" s="7">
        <v>45450</v>
      </c>
      <c r="D136" s="7">
        <v>45455</v>
      </c>
      <c r="E136" t="s">
        <v>101</v>
      </c>
      <c r="F136" t="s">
        <v>499</v>
      </c>
      <c r="G136" t="s">
        <v>1575</v>
      </c>
      <c r="H136" t="s">
        <v>51</v>
      </c>
      <c r="I136" t="s">
        <v>26</v>
      </c>
      <c r="J136" t="s">
        <v>90</v>
      </c>
      <c r="K136" t="s">
        <v>91</v>
      </c>
      <c r="L136" t="s">
        <v>63</v>
      </c>
      <c r="M136">
        <v>110001</v>
      </c>
      <c r="N136" t="s">
        <v>1361</v>
      </c>
      <c r="O136" t="s">
        <v>55</v>
      </c>
      <c r="P136" t="s">
        <v>98</v>
      </c>
      <c r="Q136" t="s">
        <v>99</v>
      </c>
      <c r="R136" s="8">
        <v>25024.48</v>
      </c>
      <c r="S136">
        <v>4</v>
      </c>
      <c r="T136">
        <v>0</v>
      </c>
      <c r="U136" s="8">
        <v>3590.7</v>
      </c>
      <c r="V136" t="s">
        <v>1561</v>
      </c>
      <c r="W136" t="s">
        <v>1561</v>
      </c>
    </row>
    <row r="137" spans="1:23">
      <c r="A137">
        <v>1136</v>
      </c>
      <c r="B137" t="s">
        <v>540</v>
      </c>
      <c r="C137" s="7">
        <v>45622</v>
      </c>
      <c r="D137" s="7">
        <v>45628</v>
      </c>
      <c r="E137" t="s">
        <v>101</v>
      </c>
      <c r="F137" t="s">
        <v>541</v>
      </c>
      <c r="G137" t="s">
        <v>1563</v>
      </c>
      <c r="H137" t="s">
        <v>25</v>
      </c>
      <c r="I137" t="s">
        <v>26</v>
      </c>
      <c r="J137" t="s">
        <v>90</v>
      </c>
      <c r="K137" t="s">
        <v>91</v>
      </c>
      <c r="L137" t="s">
        <v>41</v>
      </c>
      <c r="M137">
        <v>695001</v>
      </c>
      <c r="N137" t="s">
        <v>542</v>
      </c>
      <c r="O137" t="s">
        <v>83</v>
      </c>
      <c r="P137" t="s">
        <v>33</v>
      </c>
      <c r="Q137" t="s">
        <v>34</v>
      </c>
      <c r="R137" s="8">
        <v>5877.19</v>
      </c>
      <c r="S137">
        <v>4</v>
      </c>
      <c r="T137">
        <v>0</v>
      </c>
      <c r="U137" s="8">
        <v>1697.12</v>
      </c>
      <c r="V137" t="s">
        <v>1561</v>
      </c>
      <c r="W137" t="s">
        <v>1561</v>
      </c>
    </row>
    <row r="138" spans="1:23">
      <c r="A138">
        <v>1137</v>
      </c>
      <c r="B138" t="s">
        <v>555</v>
      </c>
      <c r="C138" s="7">
        <v>45407</v>
      </c>
      <c r="D138" s="7">
        <v>45409</v>
      </c>
      <c r="E138" t="s">
        <v>69</v>
      </c>
      <c r="F138" t="s">
        <v>482</v>
      </c>
      <c r="G138" t="s">
        <v>1570</v>
      </c>
      <c r="H138" t="s">
        <v>51</v>
      </c>
      <c r="I138" t="s">
        <v>26</v>
      </c>
      <c r="J138" t="s">
        <v>166</v>
      </c>
      <c r="K138" t="s">
        <v>132</v>
      </c>
      <c r="L138" t="s">
        <v>41</v>
      </c>
      <c r="M138">
        <v>600001</v>
      </c>
      <c r="N138" t="s">
        <v>556</v>
      </c>
      <c r="O138" t="s">
        <v>44</v>
      </c>
      <c r="P138" t="s">
        <v>211</v>
      </c>
      <c r="Q138" t="s">
        <v>223</v>
      </c>
      <c r="R138" s="8">
        <v>6860.58</v>
      </c>
      <c r="S138">
        <v>4</v>
      </c>
      <c r="T138">
        <v>0.1</v>
      </c>
      <c r="U138" s="8">
        <v>372.52</v>
      </c>
      <c r="V138" t="s">
        <v>1561</v>
      </c>
      <c r="W138" t="s">
        <v>1561</v>
      </c>
    </row>
    <row r="139" spans="1:23">
      <c r="A139">
        <v>1138</v>
      </c>
      <c r="B139" t="s">
        <v>709</v>
      </c>
      <c r="C139" s="7">
        <v>45608</v>
      </c>
      <c r="D139" s="7">
        <v>45610</v>
      </c>
      <c r="E139" t="s">
        <v>101</v>
      </c>
      <c r="F139" t="s">
        <v>309</v>
      </c>
      <c r="G139" t="s">
        <v>1571</v>
      </c>
      <c r="H139" t="s">
        <v>25</v>
      </c>
      <c r="I139" t="s">
        <v>26</v>
      </c>
      <c r="J139" t="s">
        <v>52</v>
      </c>
      <c r="K139" t="s">
        <v>52</v>
      </c>
      <c r="L139" t="s">
        <v>92</v>
      </c>
      <c r="M139">
        <v>110001</v>
      </c>
      <c r="N139" t="s">
        <v>710</v>
      </c>
      <c r="O139" t="s">
        <v>188</v>
      </c>
      <c r="P139" t="s">
        <v>189</v>
      </c>
      <c r="Q139" t="s">
        <v>386</v>
      </c>
      <c r="R139" s="8">
        <v>5289.58</v>
      </c>
      <c r="S139">
        <v>3</v>
      </c>
      <c r="T139">
        <v>0.2</v>
      </c>
      <c r="U139" s="8">
        <v>-211.58</v>
      </c>
      <c r="V139" t="s">
        <v>1561</v>
      </c>
      <c r="W139" t="s">
        <v>1561</v>
      </c>
    </row>
    <row r="140" spans="1:23">
      <c r="A140">
        <v>1139</v>
      </c>
      <c r="B140" t="s">
        <v>1379</v>
      </c>
      <c r="C140" s="7">
        <v>45314</v>
      </c>
      <c r="D140" s="7">
        <v>45318</v>
      </c>
      <c r="E140" t="s">
        <v>48</v>
      </c>
      <c r="F140" t="s">
        <v>375</v>
      </c>
      <c r="G140" t="s">
        <v>1560</v>
      </c>
      <c r="H140" t="s">
        <v>25</v>
      </c>
      <c r="I140" t="s">
        <v>26</v>
      </c>
      <c r="J140" t="s">
        <v>27</v>
      </c>
      <c r="K140" t="s">
        <v>28</v>
      </c>
      <c r="L140" t="s">
        <v>92</v>
      </c>
      <c r="M140">
        <v>560001</v>
      </c>
      <c r="N140" t="s">
        <v>1380</v>
      </c>
      <c r="O140" t="s">
        <v>138</v>
      </c>
      <c r="P140" t="s">
        <v>139</v>
      </c>
      <c r="Q140" t="s">
        <v>140</v>
      </c>
      <c r="R140" s="8">
        <v>696.74</v>
      </c>
      <c r="S140">
        <v>1</v>
      </c>
      <c r="T140">
        <v>0.3</v>
      </c>
      <c r="U140" s="8">
        <v>3.74</v>
      </c>
      <c r="V140" t="s">
        <v>1561</v>
      </c>
      <c r="W140" t="s">
        <v>1561</v>
      </c>
    </row>
    <row r="141" spans="1:23">
      <c r="A141">
        <v>1140</v>
      </c>
      <c r="B141" t="s">
        <v>634</v>
      </c>
      <c r="C141" s="7">
        <v>45450</v>
      </c>
      <c r="D141" s="7">
        <v>45454</v>
      </c>
      <c r="E141" t="s">
        <v>69</v>
      </c>
      <c r="F141" t="s">
        <v>446</v>
      </c>
      <c r="G141" t="s">
        <v>1566</v>
      </c>
      <c r="H141" t="s">
        <v>25</v>
      </c>
      <c r="I141" t="s">
        <v>26</v>
      </c>
      <c r="J141" t="s">
        <v>115</v>
      </c>
      <c r="K141" t="s">
        <v>116</v>
      </c>
      <c r="L141" t="s">
        <v>29</v>
      </c>
      <c r="M141">
        <v>560001</v>
      </c>
      <c r="N141" t="s">
        <v>635</v>
      </c>
      <c r="O141" t="s">
        <v>83</v>
      </c>
      <c r="P141" t="s">
        <v>84</v>
      </c>
      <c r="Q141" t="s">
        <v>85</v>
      </c>
      <c r="R141" s="8">
        <v>5946.13</v>
      </c>
      <c r="S141">
        <v>2</v>
      </c>
      <c r="T141">
        <v>0.1</v>
      </c>
      <c r="U141" s="8">
        <v>1262.73</v>
      </c>
      <c r="V141" t="s">
        <v>1561</v>
      </c>
      <c r="W141" t="s">
        <v>1561</v>
      </c>
    </row>
    <row r="142" spans="1:23">
      <c r="A142">
        <v>1141</v>
      </c>
      <c r="B142" t="s">
        <v>642</v>
      </c>
      <c r="C142" s="7">
        <v>45394</v>
      </c>
      <c r="D142" s="7">
        <v>45399</v>
      </c>
      <c r="E142" t="s">
        <v>69</v>
      </c>
      <c r="F142" t="s">
        <v>301</v>
      </c>
      <c r="G142" t="s">
        <v>1570</v>
      </c>
      <c r="H142" t="s">
        <v>51</v>
      </c>
      <c r="I142" t="s">
        <v>26</v>
      </c>
      <c r="J142" t="s">
        <v>115</v>
      </c>
      <c r="K142" t="s">
        <v>116</v>
      </c>
      <c r="L142" t="s">
        <v>41</v>
      </c>
      <c r="M142">
        <v>400001</v>
      </c>
      <c r="N142" t="s">
        <v>643</v>
      </c>
      <c r="O142" t="s">
        <v>83</v>
      </c>
      <c r="P142" t="s">
        <v>84</v>
      </c>
      <c r="Q142" t="s">
        <v>85</v>
      </c>
      <c r="R142" s="8">
        <v>9689.1</v>
      </c>
      <c r="S142">
        <v>3</v>
      </c>
      <c r="T142">
        <v>0.05</v>
      </c>
      <c r="U142" s="8">
        <v>1936.68</v>
      </c>
      <c r="V142" t="s">
        <v>1561</v>
      </c>
      <c r="W142" t="s">
        <v>1561</v>
      </c>
    </row>
    <row r="143" spans="1:23">
      <c r="A143">
        <v>1142</v>
      </c>
      <c r="B143" t="s">
        <v>965</v>
      </c>
      <c r="C143" s="7">
        <v>45437</v>
      </c>
      <c r="D143" s="7">
        <v>45438</v>
      </c>
      <c r="E143" t="s">
        <v>69</v>
      </c>
      <c r="F143" t="s">
        <v>266</v>
      </c>
      <c r="G143" t="s">
        <v>1562</v>
      </c>
      <c r="H143" t="s">
        <v>25</v>
      </c>
      <c r="I143" t="s">
        <v>26</v>
      </c>
      <c r="J143" t="s">
        <v>61</v>
      </c>
      <c r="K143" t="s">
        <v>62</v>
      </c>
      <c r="L143" t="s">
        <v>92</v>
      </c>
      <c r="M143">
        <v>110001</v>
      </c>
      <c r="N143" t="s">
        <v>966</v>
      </c>
      <c r="O143" t="s">
        <v>55</v>
      </c>
      <c r="P143" t="s">
        <v>56</v>
      </c>
      <c r="Q143" t="s">
        <v>57</v>
      </c>
      <c r="R143" s="8">
        <v>7056.67</v>
      </c>
      <c r="S143">
        <v>1</v>
      </c>
      <c r="T143">
        <v>0</v>
      </c>
      <c r="U143" s="8">
        <v>899.86</v>
      </c>
      <c r="V143" t="s">
        <v>1561</v>
      </c>
      <c r="W143" t="s">
        <v>1561</v>
      </c>
    </row>
    <row r="144" spans="1:23">
      <c r="A144">
        <v>1143</v>
      </c>
      <c r="B144" t="s">
        <v>962</v>
      </c>
      <c r="C144" s="7">
        <v>45305</v>
      </c>
      <c r="D144" s="7">
        <v>45309</v>
      </c>
      <c r="E144" t="s">
        <v>22</v>
      </c>
      <c r="F144" t="s">
        <v>238</v>
      </c>
      <c r="G144" t="s">
        <v>1568</v>
      </c>
      <c r="H144" t="s">
        <v>51</v>
      </c>
      <c r="I144" t="s">
        <v>26</v>
      </c>
      <c r="J144" t="s">
        <v>131</v>
      </c>
      <c r="K144" t="s">
        <v>132</v>
      </c>
      <c r="L144" t="s">
        <v>63</v>
      </c>
      <c r="M144">
        <v>682001</v>
      </c>
      <c r="N144" t="s">
        <v>204</v>
      </c>
      <c r="O144" t="s">
        <v>188</v>
      </c>
      <c r="P144" t="s">
        <v>189</v>
      </c>
      <c r="Q144" t="s">
        <v>190</v>
      </c>
      <c r="R144" s="8">
        <v>9396.23</v>
      </c>
      <c r="S144">
        <v>2</v>
      </c>
      <c r="T144">
        <v>0.2</v>
      </c>
      <c r="U144" s="8">
        <v>0</v>
      </c>
      <c r="V144" t="s">
        <v>1561</v>
      </c>
      <c r="W144" t="s">
        <v>1561</v>
      </c>
    </row>
    <row r="145" spans="1:23">
      <c r="A145">
        <v>1144</v>
      </c>
      <c r="B145" t="s">
        <v>1229</v>
      </c>
      <c r="C145" s="7">
        <v>45624</v>
      </c>
      <c r="D145" s="7">
        <v>45627</v>
      </c>
      <c r="E145" t="s">
        <v>69</v>
      </c>
      <c r="F145" t="s">
        <v>526</v>
      </c>
      <c r="G145" t="s">
        <v>1569</v>
      </c>
      <c r="H145" t="s">
        <v>51</v>
      </c>
      <c r="I145" t="s">
        <v>26</v>
      </c>
      <c r="J145" t="s">
        <v>131</v>
      </c>
      <c r="K145" t="s">
        <v>132</v>
      </c>
      <c r="L145" t="s">
        <v>63</v>
      </c>
      <c r="M145">
        <v>110001</v>
      </c>
      <c r="N145" t="s">
        <v>1159</v>
      </c>
      <c r="O145" t="s">
        <v>55</v>
      </c>
      <c r="P145" t="s">
        <v>56</v>
      </c>
      <c r="Q145" t="s">
        <v>57</v>
      </c>
      <c r="R145" s="8">
        <v>14320.74</v>
      </c>
      <c r="S145">
        <v>2</v>
      </c>
      <c r="T145">
        <v>0</v>
      </c>
      <c r="U145" s="8">
        <v>2340.17</v>
      </c>
      <c r="V145" t="s">
        <v>1561</v>
      </c>
      <c r="W145" t="s">
        <v>1561</v>
      </c>
    </row>
    <row r="146" spans="1:23">
      <c r="A146">
        <v>1145</v>
      </c>
      <c r="B146" t="s">
        <v>886</v>
      </c>
      <c r="C146" s="7">
        <v>45328</v>
      </c>
      <c r="D146" s="7">
        <v>45608</v>
      </c>
      <c r="E146" t="s">
        <v>22</v>
      </c>
      <c r="F146" t="s">
        <v>701</v>
      </c>
      <c r="G146" t="s">
        <v>1570</v>
      </c>
      <c r="H146" t="s">
        <v>51</v>
      </c>
      <c r="I146" t="s">
        <v>26</v>
      </c>
      <c r="J146" t="s">
        <v>160</v>
      </c>
      <c r="K146" t="s">
        <v>161</v>
      </c>
      <c r="L146" t="s">
        <v>92</v>
      </c>
      <c r="M146">
        <v>110001</v>
      </c>
      <c r="N146" t="s">
        <v>887</v>
      </c>
      <c r="O146" t="s">
        <v>188</v>
      </c>
      <c r="P146" t="s">
        <v>189</v>
      </c>
      <c r="Q146" t="s">
        <v>386</v>
      </c>
      <c r="R146" s="8">
        <v>5949.62</v>
      </c>
      <c r="S146">
        <v>4</v>
      </c>
      <c r="T146">
        <v>0.3</v>
      </c>
      <c r="U146" s="8">
        <v>-404.29</v>
      </c>
      <c r="V146" t="s">
        <v>1561</v>
      </c>
      <c r="W146" t="s">
        <v>1561</v>
      </c>
    </row>
    <row r="147" spans="1:23">
      <c r="A147">
        <v>1146</v>
      </c>
      <c r="B147" t="s">
        <v>570</v>
      </c>
      <c r="C147" s="7">
        <v>45413</v>
      </c>
      <c r="D147" s="7">
        <v>45416</v>
      </c>
      <c r="E147" t="s">
        <v>22</v>
      </c>
      <c r="F147" t="s">
        <v>337</v>
      </c>
      <c r="G147" t="s">
        <v>1577</v>
      </c>
      <c r="H147" t="s">
        <v>25</v>
      </c>
      <c r="I147" t="s">
        <v>26</v>
      </c>
      <c r="J147" t="s">
        <v>52</v>
      </c>
      <c r="K147" t="s">
        <v>52</v>
      </c>
      <c r="L147" t="s">
        <v>29</v>
      </c>
      <c r="M147">
        <v>400001</v>
      </c>
      <c r="N147" t="s">
        <v>571</v>
      </c>
      <c r="O147" t="s">
        <v>83</v>
      </c>
      <c r="P147" t="s">
        <v>33</v>
      </c>
      <c r="Q147" t="s">
        <v>34</v>
      </c>
      <c r="R147" s="8">
        <v>2201.21</v>
      </c>
      <c r="S147">
        <v>2</v>
      </c>
      <c r="T147">
        <v>0.15</v>
      </c>
      <c r="U147" s="8">
        <v>258.02999999999997</v>
      </c>
      <c r="V147" t="s">
        <v>1561</v>
      </c>
      <c r="W147" t="s">
        <v>1561</v>
      </c>
    </row>
    <row r="148" spans="1:23">
      <c r="A148">
        <v>1147</v>
      </c>
      <c r="B148" t="s">
        <v>1215</v>
      </c>
      <c r="C148" s="7">
        <v>45597</v>
      </c>
      <c r="D148" s="7">
        <v>45602</v>
      </c>
      <c r="E148" t="s">
        <v>22</v>
      </c>
      <c r="F148" t="s">
        <v>708</v>
      </c>
      <c r="G148" t="s">
        <v>1568</v>
      </c>
      <c r="H148" t="s">
        <v>51</v>
      </c>
      <c r="I148" t="s">
        <v>26</v>
      </c>
      <c r="J148" t="s">
        <v>79</v>
      </c>
      <c r="K148" t="s">
        <v>80</v>
      </c>
      <c r="L148" t="s">
        <v>92</v>
      </c>
      <c r="M148">
        <v>400001</v>
      </c>
      <c r="N148" t="s">
        <v>453</v>
      </c>
      <c r="O148" t="s">
        <v>138</v>
      </c>
      <c r="P148" t="s">
        <v>182</v>
      </c>
      <c r="Q148" t="s">
        <v>183</v>
      </c>
      <c r="R148" s="8">
        <v>1656.3</v>
      </c>
      <c r="S148">
        <v>5</v>
      </c>
      <c r="T148">
        <v>0.3</v>
      </c>
      <c r="U148" s="8">
        <v>7.7</v>
      </c>
      <c r="V148" t="s">
        <v>1561</v>
      </c>
      <c r="W148" t="s">
        <v>1561</v>
      </c>
    </row>
    <row r="149" spans="1:23">
      <c r="A149">
        <v>1148</v>
      </c>
      <c r="B149" t="s">
        <v>1214</v>
      </c>
      <c r="C149" s="7">
        <v>45387</v>
      </c>
      <c r="D149" s="7">
        <v>45393</v>
      </c>
      <c r="E149" t="s">
        <v>22</v>
      </c>
      <c r="F149" t="s">
        <v>288</v>
      </c>
      <c r="G149" t="s">
        <v>1563</v>
      </c>
      <c r="H149" t="s">
        <v>51</v>
      </c>
      <c r="I149" t="s">
        <v>26</v>
      </c>
      <c r="J149" t="s">
        <v>115</v>
      </c>
      <c r="K149" t="s">
        <v>116</v>
      </c>
      <c r="L149" t="s">
        <v>41</v>
      </c>
      <c r="M149">
        <v>600001</v>
      </c>
      <c r="N149" t="s">
        <v>712</v>
      </c>
      <c r="O149" t="s">
        <v>55</v>
      </c>
      <c r="P149" t="s">
        <v>98</v>
      </c>
      <c r="Q149" t="s">
        <v>99</v>
      </c>
      <c r="R149" s="8">
        <v>9027.16</v>
      </c>
      <c r="S149">
        <v>2</v>
      </c>
      <c r="T149">
        <v>0.25</v>
      </c>
      <c r="U149" s="8">
        <v>-22.82</v>
      </c>
      <c r="V149" t="s">
        <v>1561</v>
      </c>
      <c r="W149" t="s">
        <v>1561</v>
      </c>
    </row>
    <row r="150" spans="1:23">
      <c r="A150">
        <v>1149</v>
      </c>
      <c r="B150" t="s">
        <v>445</v>
      </c>
      <c r="C150" s="7">
        <v>45532</v>
      </c>
      <c r="D150" s="7">
        <v>45533</v>
      </c>
      <c r="E150" t="s">
        <v>101</v>
      </c>
      <c r="F150" t="s">
        <v>446</v>
      </c>
      <c r="G150" t="s">
        <v>1570</v>
      </c>
      <c r="H150" t="s">
        <v>108</v>
      </c>
      <c r="I150" t="s">
        <v>26</v>
      </c>
      <c r="J150" t="s">
        <v>52</v>
      </c>
      <c r="K150" t="s">
        <v>52</v>
      </c>
      <c r="L150" t="s">
        <v>41</v>
      </c>
      <c r="M150">
        <v>695001</v>
      </c>
      <c r="N150" t="s">
        <v>447</v>
      </c>
      <c r="O150" t="s">
        <v>83</v>
      </c>
      <c r="P150" t="s">
        <v>84</v>
      </c>
      <c r="Q150" t="s">
        <v>85</v>
      </c>
      <c r="R150" s="8">
        <v>7511.03</v>
      </c>
      <c r="S150">
        <v>3</v>
      </c>
      <c r="T150">
        <v>0.25</v>
      </c>
      <c r="U150" s="8">
        <v>563.83000000000004</v>
      </c>
      <c r="V150" t="s">
        <v>1561</v>
      </c>
      <c r="W150" t="s">
        <v>1561</v>
      </c>
    </row>
    <row r="151" spans="1:23">
      <c r="A151">
        <v>1150</v>
      </c>
      <c r="B151" t="s">
        <v>939</v>
      </c>
      <c r="C151" s="7">
        <v>45589</v>
      </c>
      <c r="D151" s="7">
        <v>45595</v>
      </c>
      <c r="E151" t="s">
        <v>48</v>
      </c>
      <c r="F151" t="s">
        <v>526</v>
      </c>
      <c r="G151" t="s">
        <v>1569</v>
      </c>
      <c r="H151" t="s">
        <v>51</v>
      </c>
      <c r="I151" t="s">
        <v>26</v>
      </c>
      <c r="J151" t="s">
        <v>131</v>
      </c>
      <c r="K151" t="s">
        <v>132</v>
      </c>
      <c r="L151" t="s">
        <v>63</v>
      </c>
      <c r="M151">
        <v>600001</v>
      </c>
      <c r="N151" t="s">
        <v>940</v>
      </c>
      <c r="O151" t="s">
        <v>55</v>
      </c>
      <c r="P151" t="s">
        <v>56</v>
      </c>
      <c r="Q151" t="s">
        <v>57</v>
      </c>
      <c r="R151" s="8">
        <v>29366.28</v>
      </c>
      <c r="S151">
        <v>4</v>
      </c>
      <c r="T151">
        <v>0</v>
      </c>
      <c r="U151" s="8">
        <v>3724.46</v>
      </c>
      <c r="V151" t="s">
        <v>1561</v>
      </c>
      <c r="W151" t="s">
        <v>1561</v>
      </c>
    </row>
    <row r="152" spans="1:23">
      <c r="A152">
        <v>1151</v>
      </c>
      <c r="B152" t="s">
        <v>1209</v>
      </c>
      <c r="C152" s="7">
        <v>45648</v>
      </c>
      <c r="D152" s="7">
        <v>45652</v>
      </c>
      <c r="E152" t="s">
        <v>69</v>
      </c>
      <c r="F152" t="s">
        <v>414</v>
      </c>
      <c r="G152" t="s">
        <v>1571</v>
      </c>
      <c r="H152" t="s">
        <v>51</v>
      </c>
      <c r="I152" t="s">
        <v>26</v>
      </c>
      <c r="J152" t="s">
        <v>61</v>
      </c>
      <c r="K152" t="s">
        <v>62</v>
      </c>
      <c r="L152" t="s">
        <v>41</v>
      </c>
      <c r="M152">
        <v>400001</v>
      </c>
      <c r="N152" t="s">
        <v>1210</v>
      </c>
      <c r="O152" t="s">
        <v>138</v>
      </c>
      <c r="P152" t="s">
        <v>156</v>
      </c>
      <c r="Q152" t="s">
        <v>157</v>
      </c>
      <c r="R152" s="8">
        <v>987.68</v>
      </c>
      <c r="S152">
        <v>4</v>
      </c>
      <c r="T152">
        <v>0.3</v>
      </c>
      <c r="U152" s="8">
        <v>5.0199999999999996</v>
      </c>
      <c r="V152" t="s">
        <v>1561</v>
      </c>
      <c r="W152" t="s">
        <v>1561</v>
      </c>
    </row>
    <row r="153" spans="1:23">
      <c r="A153">
        <v>1152</v>
      </c>
      <c r="B153" t="s">
        <v>1180</v>
      </c>
      <c r="C153" s="7">
        <v>45313</v>
      </c>
      <c r="D153" s="7">
        <v>45316</v>
      </c>
      <c r="E153" t="s">
        <v>48</v>
      </c>
      <c r="F153" t="s">
        <v>541</v>
      </c>
      <c r="G153" t="s">
        <v>1564</v>
      </c>
      <c r="H153" t="s">
        <v>51</v>
      </c>
      <c r="I153" t="s">
        <v>26</v>
      </c>
      <c r="J153" t="s">
        <v>39</v>
      </c>
      <c r="K153" t="s">
        <v>40</v>
      </c>
      <c r="L153" t="s">
        <v>29</v>
      </c>
      <c r="M153">
        <v>695001</v>
      </c>
      <c r="N153" t="s">
        <v>1181</v>
      </c>
      <c r="O153" t="s">
        <v>44</v>
      </c>
      <c r="P153" t="s">
        <v>207</v>
      </c>
      <c r="Q153" t="s">
        <v>208</v>
      </c>
      <c r="R153" s="8">
        <v>47104.28</v>
      </c>
      <c r="S153">
        <v>1</v>
      </c>
      <c r="T153">
        <v>0.1</v>
      </c>
      <c r="U153" s="8">
        <v>2265.35</v>
      </c>
      <c r="V153" t="s">
        <v>1561</v>
      </c>
      <c r="W153" t="s">
        <v>1561</v>
      </c>
    </row>
    <row r="154" spans="1:23">
      <c r="A154">
        <v>1153</v>
      </c>
      <c r="B154" t="s">
        <v>1160</v>
      </c>
      <c r="C154" s="7">
        <v>45627</v>
      </c>
      <c r="D154" s="7">
        <v>45630</v>
      </c>
      <c r="E154" t="s">
        <v>48</v>
      </c>
      <c r="F154" t="s">
        <v>442</v>
      </c>
      <c r="G154" t="s">
        <v>1575</v>
      </c>
      <c r="H154" t="s">
        <v>51</v>
      </c>
      <c r="I154" t="s">
        <v>26</v>
      </c>
      <c r="J154" t="s">
        <v>27</v>
      </c>
      <c r="K154" t="s">
        <v>28</v>
      </c>
      <c r="L154" t="s">
        <v>63</v>
      </c>
      <c r="M154">
        <v>560001</v>
      </c>
      <c r="N154" t="s">
        <v>759</v>
      </c>
      <c r="O154" t="s">
        <v>138</v>
      </c>
      <c r="P154" t="s">
        <v>156</v>
      </c>
      <c r="Q154" t="s">
        <v>157</v>
      </c>
      <c r="R154" s="8">
        <v>787.49</v>
      </c>
      <c r="S154">
        <v>2</v>
      </c>
      <c r="T154">
        <v>0</v>
      </c>
      <c r="U154" s="8">
        <v>194.97</v>
      </c>
      <c r="V154" t="s">
        <v>1561</v>
      </c>
      <c r="W154" t="s">
        <v>1561</v>
      </c>
    </row>
    <row r="155" spans="1:23">
      <c r="A155">
        <v>1154</v>
      </c>
      <c r="B155" t="s">
        <v>837</v>
      </c>
      <c r="C155" s="7">
        <v>45546</v>
      </c>
      <c r="D155" s="7">
        <v>45552</v>
      </c>
      <c r="E155" t="s">
        <v>101</v>
      </c>
      <c r="F155" t="s">
        <v>446</v>
      </c>
      <c r="G155" t="s">
        <v>1567</v>
      </c>
      <c r="H155" t="s">
        <v>108</v>
      </c>
      <c r="I155" t="s">
        <v>26</v>
      </c>
      <c r="J155" t="s">
        <v>160</v>
      </c>
      <c r="K155" t="s">
        <v>161</v>
      </c>
      <c r="L155" t="s">
        <v>63</v>
      </c>
      <c r="M155">
        <v>110001</v>
      </c>
      <c r="N155" t="s">
        <v>838</v>
      </c>
      <c r="O155" t="s">
        <v>138</v>
      </c>
      <c r="P155" t="s">
        <v>182</v>
      </c>
      <c r="Q155" t="s">
        <v>183</v>
      </c>
      <c r="R155" s="8">
        <v>857.23</v>
      </c>
      <c r="S155">
        <v>2</v>
      </c>
      <c r="T155">
        <v>0.05</v>
      </c>
      <c r="U155" s="8">
        <v>130.88</v>
      </c>
      <c r="V155" t="s">
        <v>1561</v>
      </c>
      <c r="W155" t="s">
        <v>1561</v>
      </c>
    </row>
    <row r="156" spans="1:23">
      <c r="A156">
        <v>1155</v>
      </c>
      <c r="B156" t="s">
        <v>998</v>
      </c>
      <c r="C156" s="7">
        <v>45571</v>
      </c>
      <c r="D156" s="7">
        <v>45574</v>
      </c>
      <c r="E156" t="s">
        <v>48</v>
      </c>
      <c r="F156" t="s">
        <v>173</v>
      </c>
      <c r="G156" t="s">
        <v>1573</v>
      </c>
      <c r="H156" t="s">
        <v>51</v>
      </c>
      <c r="I156" t="s">
        <v>26</v>
      </c>
      <c r="J156" t="s">
        <v>160</v>
      </c>
      <c r="K156" t="s">
        <v>161</v>
      </c>
      <c r="L156" t="s">
        <v>63</v>
      </c>
      <c r="M156">
        <v>400001</v>
      </c>
      <c r="N156" t="s">
        <v>999</v>
      </c>
      <c r="O156" t="s">
        <v>55</v>
      </c>
      <c r="P156" t="s">
        <v>98</v>
      </c>
      <c r="Q156" t="s">
        <v>99</v>
      </c>
      <c r="R156" s="8">
        <v>19101.47</v>
      </c>
      <c r="S156">
        <v>3</v>
      </c>
      <c r="T156">
        <v>0.05</v>
      </c>
      <c r="U156" s="8">
        <v>2156.38</v>
      </c>
      <c r="V156" t="s">
        <v>1561</v>
      </c>
      <c r="W156" t="s">
        <v>1561</v>
      </c>
    </row>
    <row r="157" spans="1:23">
      <c r="A157">
        <v>1156</v>
      </c>
      <c r="B157" t="s">
        <v>213</v>
      </c>
      <c r="C157" s="7">
        <v>45471</v>
      </c>
      <c r="D157" s="7">
        <v>45475</v>
      </c>
      <c r="E157" t="s">
        <v>22</v>
      </c>
      <c r="F157" t="s">
        <v>214</v>
      </c>
      <c r="G157" t="s">
        <v>1572</v>
      </c>
      <c r="H157" t="s">
        <v>25</v>
      </c>
      <c r="I157" t="s">
        <v>26</v>
      </c>
      <c r="J157" t="s">
        <v>115</v>
      </c>
      <c r="K157" t="s">
        <v>116</v>
      </c>
      <c r="L157" t="s">
        <v>63</v>
      </c>
      <c r="M157">
        <v>600001</v>
      </c>
      <c r="N157" t="s">
        <v>216</v>
      </c>
      <c r="O157" t="s">
        <v>138</v>
      </c>
      <c r="P157" t="s">
        <v>182</v>
      </c>
      <c r="Q157" t="s">
        <v>183</v>
      </c>
      <c r="R157" s="8">
        <v>623.85</v>
      </c>
      <c r="S157">
        <v>2</v>
      </c>
      <c r="T157">
        <v>0.3</v>
      </c>
      <c r="U157" s="8">
        <v>2.46</v>
      </c>
      <c r="V157" t="s">
        <v>1561</v>
      </c>
      <c r="W157" t="s">
        <v>1561</v>
      </c>
    </row>
    <row r="158" spans="1:23">
      <c r="A158">
        <v>1157</v>
      </c>
      <c r="B158" t="s">
        <v>1392</v>
      </c>
      <c r="C158" s="7">
        <v>45635</v>
      </c>
      <c r="D158" s="7">
        <v>45641</v>
      </c>
      <c r="E158" t="s">
        <v>101</v>
      </c>
      <c r="F158" t="s">
        <v>203</v>
      </c>
      <c r="G158" t="s">
        <v>1568</v>
      </c>
      <c r="H158" t="s">
        <v>108</v>
      </c>
      <c r="I158" t="s">
        <v>26</v>
      </c>
      <c r="J158" t="s">
        <v>115</v>
      </c>
      <c r="K158" t="s">
        <v>116</v>
      </c>
      <c r="L158" t="s">
        <v>92</v>
      </c>
      <c r="M158">
        <v>673001</v>
      </c>
      <c r="N158" t="s">
        <v>1393</v>
      </c>
      <c r="O158" t="s">
        <v>138</v>
      </c>
      <c r="P158" t="s">
        <v>156</v>
      </c>
      <c r="Q158" t="s">
        <v>157</v>
      </c>
      <c r="R158" s="8">
        <v>2457.9899999999998</v>
      </c>
      <c r="S158">
        <v>7</v>
      </c>
      <c r="T158">
        <v>0</v>
      </c>
      <c r="U158" s="8">
        <v>605.32000000000005</v>
      </c>
      <c r="V158" t="s">
        <v>1561</v>
      </c>
      <c r="W158" t="s">
        <v>1561</v>
      </c>
    </row>
    <row r="159" spans="1:23">
      <c r="A159">
        <v>1158</v>
      </c>
      <c r="B159" t="s">
        <v>1102</v>
      </c>
      <c r="C159" s="7">
        <v>45326</v>
      </c>
      <c r="D159" s="7">
        <v>45328</v>
      </c>
      <c r="E159" t="s">
        <v>48</v>
      </c>
      <c r="F159" t="s">
        <v>203</v>
      </c>
      <c r="G159" t="s">
        <v>1564</v>
      </c>
      <c r="H159" t="s">
        <v>25</v>
      </c>
      <c r="I159" t="s">
        <v>26</v>
      </c>
      <c r="J159" t="s">
        <v>61</v>
      </c>
      <c r="K159" t="s">
        <v>62</v>
      </c>
      <c r="L159" t="s">
        <v>41</v>
      </c>
      <c r="M159">
        <v>600001</v>
      </c>
      <c r="N159" t="s">
        <v>1103</v>
      </c>
      <c r="O159" t="s">
        <v>138</v>
      </c>
      <c r="P159" t="s">
        <v>139</v>
      </c>
      <c r="Q159" t="s">
        <v>140</v>
      </c>
      <c r="R159" s="8">
        <v>1902.03</v>
      </c>
      <c r="S159">
        <v>2</v>
      </c>
      <c r="T159">
        <v>0.05</v>
      </c>
      <c r="U159" s="8">
        <v>349.81</v>
      </c>
      <c r="V159" t="s">
        <v>1561</v>
      </c>
      <c r="W159" t="s">
        <v>1561</v>
      </c>
    </row>
    <row r="160" spans="1:23">
      <c r="A160">
        <v>1159</v>
      </c>
      <c r="B160" t="s">
        <v>406</v>
      </c>
      <c r="C160" s="7">
        <v>45585</v>
      </c>
      <c r="D160" s="7">
        <v>45587</v>
      </c>
      <c r="E160" t="s">
        <v>48</v>
      </c>
      <c r="F160" t="s">
        <v>238</v>
      </c>
      <c r="G160" t="s">
        <v>1563</v>
      </c>
      <c r="H160" t="s">
        <v>108</v>
      </c>
      <c r="I160" t="s">
        <v>26</v>
      </c>
      <c r="J160" t="s">
        <v>90</v>
      </c>
      <c r="K160" t="s">
        <v>91</v>
      </c>
      <c r="L160" t="s">
        <v>63</v>
      </c>
      <c r="M160">
        <v>682001</v>
      </c>
      <c r="N160" t="s">
        <v>407</v>
      </c>
      <c r="O160" t="s">
        <v>138</v>
      </c>
      <c r="P160" t="s">
        <v>182</v>
      </c>
      <c r="Q160" t="s">
        <v>183</v>
      </c>
      <c r="R160" s="8">
        <v>886.89</v>
      </c>
      <c r="S160">
        <v>2</v>
      </c>
      <c r="T160">
        <v>0</v>
      </c>
      <c r="U160" s="8">
        <v>148.4</v>
      </c>
      <c r="V160" t="s">
        <v>1561</v>
      </c>
      <c r="W160" t="s">
        <v>1561</v>
      </c>
    </row>
    <row r="161" spans="1:23">
      <c r="A161">
        <v>1160</v>
      </c>
      <c r="B161" t="s">
        <v>1311</v>
      </c>
      <c r="C161" s="7">
        <v>45426</v>
      </c>
      <c r="D161" s="7">
        <v>45429</v>
      </c>
      <c r="E161" t="s">
        <v>101</v>
      </c>
      <c r="F161" t="s">
        <v>810</v>
      </c>
      <c r="G161" t="s">
        <v>1574</v>
      </c>
      <c r="H161" t="s">
        <v>51</v>
      </c>
      <c r="I161" t="s">
        <v>26</v>
      </c>
      <c r="J161" t="s">
        <v>346</v>
      </c>
      <c r="K161" t="s">
        <v>132</v>
      </c>
      <c r="L161" t="s">
        <v>63</v>
      </c>
      <c r="M161">
        <v>400001</v>
      </c>
      <c r="N161" t="s">
        <v>1312</v>
      </c>
      <c r="O161" t="s">
        <v>83</v>
      </c>
      <c r="P161" t="s">
        <v>33</v>
      </c>
      <c r="Q161" t="s">
        <v>34</v>
      </c>
      <c r="R161" s="8">
        <v>3969.13</v>
      </c>
      <c r="S161">
        <v>3</v>
      </c>
      <c r="T161">
        <v>0</v>
      </c>
      <c r="U161" s="8">
        <v>868.37</v>
      </c>
      <c r="V161" t="s">
        <v>1561</v>
      </c>
      <c r="W161" t="s">
        <v>1561</v>
      </c>
    </row>
    <row r="162" spans="1:23">
      <c r="A162">
        <v>1161</v>
      </c>
      <c r="B162" t="s">
        <v>1490</v>
      </c>
      <c r="C162" s="7">
        <v>45519</v>
      </c>
      <c r="D162" s="7">
        <v>45520</v>
      </c>
      <c r="E162" t="s">
        <v>48</v>
      </c>
      <c r="F162" t="s">
        <v>70</v>
      </c>
      <c r="G162" t="s">
        <v>1563</v>
      </c>
      <c r="H162" t="s">
        <v>51</v>
      </c>
      <c r="I162" t="s">
        <v>26</v>
      </c>
      <c r="J162" t="s">
        <v>72</v>
      </c>
      <c r="K162" t="s">
        <v>73</v>
      </c>
      <c r="L162" t="s">
        <v>41</v>
      </c>
      <c r="M162">
        <v>600001</v>
      </c>
      <c r="N162" t="s">
        <v>1083</v>
      </c>
      <c r="O162" t="s">
        <v>44</v>
      </c>
      <c r="P162" t="s">
        <v>45</v>
      </c>
      <c r="Q162" t="s">
        <v>46</v>
      </c>
      <c r="R162" s="8">
        <v>34469.370000000003</v>
      </c>
      <c r="S162">
        <v>1</v>
      </c>
      <c r="T162">
        <v>0.05</v>
      </c>
      <c r="U162" s="8">
        <v>2958.01</v>
      </c>
      <c r="V162" t="s">
        <v>1561</v>
      </c>
      <c r="W162" t="s">
        <v>1561</v>
      </c>
    </row>
    <row r="163" spans="1:23">
      <c r="A163">
        <v>1162</v>
      </c>
      <c r="B163" t="s">
        <v>1414</v>
      </c>
      <c r="C163" s="7">
        <v>45477</v>
      </c>
      <c r="D163" s="7">
        <v>45482</v>
      </c>
      <c r="E163" t="s">
        <v>69</v>
      </c>
      <c r="F163" t="s">
        <v>442</v>
      </c>
      <c r="G163" t="s">
        <v>1565</v>
      </c>
      <c r="H163" t="s">
        <v>51</v>
      </c>
      <c r="I163" t="s">
        <v>26</v>
      </c>
      <c r="J163" t="s">
        <v>115</v>
      </c>
      <c r="K163" t="s">
        <v>116</v>
      </c>
      <c r="L163" t="s">
        <v>92</v>
      </c>
      <c r="M163">
        <v>682001</v>
      </c>
      <c r="N163" t="s">
        <v>1415</v>
      </c>
      <c r="O163" t="s">
        <v>188</v>
      </c>
      <c r="P163" t="s">
        <v>189</v>
      </c>
      <c r="Q163" t="s">
        <v>190</v>
      </c>
      <c r="R163" s="8">
        <v>5651.23</v>
      </c>
      <c r="S163">
        <v>1</v>
      </c>
      <c r="T163">
        <v>0.05</v>
      </c>
      <c r="U163" s="8">
        <v>490.37</v>
      </c>
      <c r="V163" t="s">
        <v>1561</v>
      </c>
      <c r="W163" t="s">
        <v>1561</v>
      </c>
    </row>
    <row r="164" spans="1:23">
      <c r="A164">
        <v>1163</v>
      </c>
      <c r="B164" t="s">
        <v>1147</v>
      </c>
      <c r="C164" s="7">
        <v>45574</v>
      </c>
      <c r="D164" s="7">
        <v>45576</v>
      </c>
      <c r="E164" t="s">
        <v>22</v>
      </c>
      <c r="F164" t="s">
        <v>164</v>
      </c>
      <c r="G164" t="s">
        <v>1570</v>
      </c>
      <c r="H164" t="s">
        <v>51</v>
      </c>
      <c r="I164" t="s">
        <v>26</v>
      </c>
      <c r="J164" t="s">
        <v>39</v>
      </c>
      <c r="K164" t="s">
        <v>40</v>
      </c>
      <c r="L164" t="s">
        <v>29</v>
      </c>
      <c r="M164">
        <v>400001</v>
      </c>
      <c r="N164" t="s">
        <v>1148</v>
      </c>
      <c r="O164" t="s">
        <v>44</v>
      </c>
      <c r="P164" t="s">
        <v>207</v>
      </c>
      <c r="Q164" t="s">
        <v>208</v>
      </c>
      <c r="R164" s="8">
        <v>117147.41</v>
      </c>
      <c r="S164">
        <v>3</v>
      </c>
      <c r="T164">
        <v>0.3</v>
      </c>
      <c r="U164" s="8">
        <v>-11141.96</v>
      </c>
      <c r="V164" t="s">
        <v>1561</v>
      </c>
      <c r="W164" t="s">
        <v>1561</v>
      </c>
    </row>
    <row r="165" spans="1:23">
      <c r="A165">
        <v>1164</v>
      </c>
      <c r="B165" t="s">
        <v>720</v>
      </c>
      <c r="C165" s="7">
        <v>45356</v>
      </c>
      <c r="D165" s="7">
        <v>45359</v>
      </c>
      <c r="E165" t="s">
        <v>22</v>
      </c>
      <c r="F165" t="s">
        <v>260</v>
      </c>
      <c r="G165" t="s">
        <v>1562</v>
      </c>
      <c r="H165" t="s">
        <v>51</v>
      </c>
      <c r="I165" t="s">
        <v>26</v>
      </c>
      <c r="J165" t="s">
        <v>39</v>
      </c>
      <c r="K165" t="s">
        <v>40</v>
      </c>
      <c r="L165" t="s">
        <v>63</v>
      </c>
      <c r="M165">
        <v>682001</v>
      </c>
      <c r="N165" t="s">
        <v>721</v>
      </c>
      <c r="O165" t="s">
        <v>138</v>
      </c>
      <c r="P165" t="s">
        <v>121</v>
      </c>
      <c r="Q165" t="s">
        <v>122</v>
      </c>
      <c r="R165" s="8">
        <v>1311.31</v>
      </c>
      <c r="S165">
        <v>2</v>
      </c>
      <c r="T165">
        <v>0</v>
      </c>
      <c r="U165" s="8">
        <v>276.91000000000003</v>
      </c>
      <c r="V165" t="s">
        <v>1561</v>
      </c>
      <c r="W165" t="s">
        <v>1561</v>
      </c>
    </row>
    <row r="166" spans="1:23">
      <c r="A166">
        <v>1165</v>
      </c>
      <c r="B166" t="s">
        <v>339</v>
      </c>
      <c r="C166" s="7">
        <v>45328</v>
      </c>
      <c r="D166" s="7">
        <v>45518</v>
      </c>
      <c r="E166" t="s">
        <v>22</v>
      </c>
      <c r="F166" t="s">
        <v>340</v>
      </c>
      <c r="G166" t="s">
        <v>1573</v>
      </c>
      <c r="H166" t="s">
        <v>25</v>
      </c>
      <c r="I166" t="s">
        <v>26</v>
      </c>
      <c r="J166" t="s">
        <v>61</v>
      </c>
      <c r="K166" t="s">
        <v>62</v>
      </c>
      <c r="L166" t="s">
        <v>92</v>
      </c>
      <c r="M166">
        <v>695001</v>
      </c>
      <c r="N166" t="s">
        <v>341</v>
      </c>
      <c r="O166" t="s">
        <v>83</v>
      </c>
      <c r="P166" t="s">
        <v>84</v>
      </c>
      <c r="Q166" t="s">
        <v>85</v>
      </c>
      <c r="R166" s="8">
        <v>9002.68</v>
      </c>
      <c r="S166">
        <v>3</v>
      </c>
      <c r="T166">
        <v>0.05</v>
      </c>
      <c r="U166" s="8">
        <v>1711.1</v>
      </c>
      <c r="V166" t="s">
        <v>1561</v>
      </c>
      <c r="W166" t="s">
        <v>1561</v>
      </c>
    </row>
    <row r="167" spans="1:23">
      <c r="A167">
        <v>1166</v>
      </c>
      <c r="B167" t="s">
        <v>306</v>
      </c>
      <c r="C167" s="7">
        <v>45332</v>
      </c>
      <c r="D167" s="7">
        <v>45335</v>
      </c>
      <c r="E167" t="s">
        <v>69</v>
      </c>
      <c r="F167" t="s">
        <v>255</v>
      </c>
      <c r="G167" t="s">
        <v>1568</v>
      </c>
      <c r="H167" t="s">
        <v>108</v>
      </c>
      <c r="I167" t="s">
        <v>26</v>
      </c>
      <c r="J167" t="s">
        <v>166</v>
      </c>
      <c r="K167" t="s">
        <v>132</v>
      </c>
      <c r="L167" t="s">
        <v>63</v>
      </c>
      <c r="M167">
        <v>682001</v>
      </c>
      <c r="N167" t="s">
        <v>307</v>
      </c>
      <c r="O167" t="s">
        <v>55</v>
      </c>
      <c r="P167" t="s">
        <v>56</v>
      </c>
      <c r="Q167" t="s">
        <v>57</v>
      </c>
      <c r="R167" s="8">
        <v>5978.97</v>
      </c>
      <c r="S167">
        <v>1</v>
      </c>
      <c r="T167">
        <v>0.15</v>
      </c>
      <c r="U167" s="8">
        <v>421.86</v>
      </c>
      <c r="V167" t="s">
        <v>1561</v>
      </c>
      <c r="W167" t="s">
        <v>1561</v>
      </c>
    </row>
    <row r="168" spans="1:23">
      <c r="A168">
        <v>1167</v>
      </c>
      <c r="B168" t="s">
        <v>1455</v>
      </c>
      <c r="C168" s="7">
        <v>45595</v>
      </c>
      <c r="D168" s="7">
        <v>45600</v>
      </c>
      <c r="E168" t="s">
        <v>69</v>
      </c>
      <c r="F168" t="s">
        <v>633</v>
      </c>
      <c r="G168" t="s">
        <v>1566</v>
      </c>
      <c r="H168" t="s">
        <v>51</v>
      </c>
      <c r="I168" t="s">
        <v>26</v>
      </c>
      <c r="J168" t="s">
        <v>115</v>
      </c>
      <c r="K168" t="s">
        <v>116</v>
      </c>
      <c r="L168" t="s">
        <v>63</v>
      </c>
      <c r="M168">
        <v>110001</v>
      </c>
      <c r="N168" t="s">
        <v>1284</v>
      </c>
      <c r="O168" t="s">
        <v>138</v>
      </c>
      <c r="P168" t="s">
        <v>139</v>
      </c>
      <c r="Q168" t="s">
        <v>140</v>
      </c>
      <c r="R168" s="8">
        <v>2497.14</v>
      </c>
      <c r="S168">
        <v>3</v>
      </c>
      <c r="T168">
        <v>0.05</v>
      </c>
      <c r="U168" s="8">
        <v>337.98</v>
      </c>
      <c r="V168" t="s">
        <v>1561</v>
      </c>
      <c r="W168" t="s">
        <v>1561</v>
      </c>
    </row>
    <row r="169" spans="1:23">
      <c r="A169">
        <v>1168</v>
      </c>
      <c r="B169" t="s">
        <v>760</v>
      </c>
      <c r="C169" s="7">
        <v>45625</v>
      </c>
      <c r="D169" s="7">
        <v>45627</v>
      </c>
      <c r="E169" t="s">
        <v>101</v>
      </c>
      <c r="F169" t="s">
        <v>604</v>
      </c>
      <c r="G169" t="s">
        <v>1566</v>
      </c>
      <c r="H169" t="s">
        <v>108</v>
      </c>
      <c r="I169" t="s">
        <v>26</v>
      </c>
      <c r="J169" t="s">
        <v>346</v>
      </c>
      <c r="K169" t="s">
        <v>132</v>
      </c>
      <c r="L169" t="s">
        <v>41</v>
      </c>
      <c r="M169">
        <v>560001</v>
      </c>
      <c r="N169" t="s">
        <v>761</v>
      </c>
      <c r="O169" t="s">
        <v>188</v>
      </c>
      <c r="P169" t="s">
        <v>189</v>
      </c>
      <c r="Q169" t="s">
        <v>386</v>
      </c>
      <c r="R169" s="8">
        <v>1734.16</v>
      </c>
      <c r="S169">
        <v>1</v>
      </c>
      <c r="T169">
        <v>0.15</v>
      </c>
      <c r="U169" s="8">
        <v>43.42</v>
      </c>
      <c r="V169" t="s">
        <v>1561</v>
      </c>
      <c r="W169" t="s">
        <v>1561</v>
      </c>
    </row>
    <row r="170" spans="1:23">
      <c r="A170">
        <v>1169</v>
      </c>
      <c r="B170" t="s">
        <v>1141</v>
      </c>
      <c r="C170" s="7">
        <v>45642</v>
      </c>
      <c r="D170" s="7">
        <v>45646</v>
      </c>
      <c r="E170" t="s">
        <v>48</v>
      </c>
      <c r="F170" t="s">
        <v>192</v>
      </c>
      <c r="G170" t="s">
        <v>1573</v>
      </c>
      <c r="H170" t="s">
        <v>25</v>
      </c>
      <c r="I170" t="s">
        <v>26</v>
      </c>
      <c r="J170" t="s">
        <v>52</v>
      </c>
      <c r="K170" t="s">
        <v>52</v>
      </c>
      <c r="L170" t="s">
        <v>41</v>
      </c>
      <c r="M170">
        <v>682001</v>
      </c>
      <c r="N170" t="s">
        <v>1142</v>
      </c>
      <c r="O170" t="s">
        <v>55</v>
      </c>
      <c r="P170" t="s">
        <v>66</v>
      </c>
      <c r="Q170" t="s">
        <v>67</v>
      </c>
      <c r="R170" s="8">
        <v>16170.17</v>
      </c>
      <c r="S170">
        <v>2</v>
      </c>
      <c r="T170">
        <v>0.1</v>
      </c>
      <c r="U170" s="8">
        <v>1692.59</v>
      </c>
      <c r="V170" t="s">
        <v>1561</v>
      </c>
      <c r="W170" t="s">
        <v>1561</v>
      </c>
    </row>
    <row r="171" spans="1:23">
      <c r="A171">
        <v>1170</v>
      </c>
      <c r="B171" t="s">
        <v>984</v>
      </c>
      <c r="C171" s="7">
        <v>45452</v>
      </c>
      <c r="D171" s="7">
        <v>45458</v>
      </c>
      <c r="E171" t="s">
        <v>48</v>
      </c>
      <c r="F171" t="s">
        <v>214</v>
      </c>
      <c r="G171" t="s">
        <v>1572</v>
      </c>
      <c r="H171" t="s">
        <v>51</v>
      </c>
      <c r="I171" t="s">
        <v>26</v>
      </c>
      <c r="J171" t="s">
        <v>109</v>
      </c>
      <c r="K171" t="s">
        <v>110</v>
      </c>
      <c r="L171" t="s">
        <v>63</v>
      </c>
      <c r="M171">
        <v>560001</v>
      </c>
      <c r="N171" t="s">
        <v>985</v>
      </c>
      <c r="O171" t="s">
        <v>138</v>
      </c>
      <c r="P171" t="s">
        <v>182</v>
      </c>
      <c r="Q171" t="s">
        <v>183</v>
      </c>
      <c r="R171" s="8">
        <v>851.47</v>
      </c>
      <c r="S171">
        <v>2</v>
      </c>
      <c r="T171">
        <v>0.05</v>
      </c>
      <c r="U171" s="8">
        <v>113.94</v>
      </c>
      <c r="V171" t="s">
        <v>1561</v>
      </c>
      <c r="W171" t="s">
        <v>1561</v>
      </c>
    </row>
    <row r="172" spans="1:23">
      <c r="A172">
        <v>1171</v>
      </c>
      <c r="B172" t="s">
        <v>1318</v>
      </c>
      <c r="C172" s="7">
        <v>45530</v>
      </c>
      <c r="D172" s="7">
        <v>45531</v>
      </c>
      <c r="E172" t="s">
        <v>48</v>
      </c>
      <c r="F172" t="s">
        <v>260</v>
      </c>
      <c r="G172" t="s">
        <v>1565</v>
      </c>
      <c r="H172" t="s">
        <v>51</v>
      </c>
      <c r="I172" t="s">
        <v>26</v>
      </c>
      <c r="J172" t="s">
        <v>27</v>
      </c>
      <c r="K172" t="s">
        <v>28</v>
      </c>
      <c r="L172" t="s">
        <v>92</v>
      </c>
      <c r="M172">
        <v>673001</v>
      </c>
      <c r="N172" t="s">
        <v>554</v>
      </c>
      <c r="O172" t="s">
        <v>55</v>
      </c>
      <c r="P172" t="s">
        <v>56</v>
      </c>
      <c r="Q172" t="s">
        <v>57</v>
      </c>
      <c r="R172" s="8">
        <v>6471.31</v>
      </c>
      <c r="S172">
        <v>1</v>
      </c>
      <c r="T172">
        <v>0.1</v>
      </c>
      <c r="U172" s="8">
        <v>606.62</v>
      </c>
      <c r="V172" t="s">
        <v>1561</v>
      </c>
      <c r="W172" t="s">
        <v>1561</v>
      </c>
    </row>
    <row r="173" spans="1:23">
      <c r="A173">
        <v>1172</v>
      </c>
      <c r="B173" t="s">
        <v>1059</v>
      </c>
      <c r="C173" s="7">
        <v>45459</v>
      </c>
      <c r="D173" s="7">
        <v>45464</v>
      </c>
      <c r="E173" t="s">
        <v>48</v>
      </c>
      <c r="F173" t="s">
        <v>355</v>
      </c>
      <c r="G173" t="s">
        <v>1575</v>
      </c>
      <c r="H173" t="s">
        <v>108</v>
      </c>
      <c r="I173" t="s">
        <v>26</v>
      </c>
      <c r="J173" t="s">
        <v>115</v>
      </c>
      <c r="K173" t="s">
        <v>116</v>
      </c>
      <c r="L173" t="s">
        <v>92</v>
      </c>
      <c r="M173">
        <v>560001</v>
      </c>
      <c r="N173" t="s">
        <v>1060</v>
      </c>
      <c r="O173" t="s">
        <v>55</v>
      </c>
      <c r="P173" t="s">
        <v>98</v>
      </c>
      <c r="Q173" t="s">
        <v>99</v>
      </c>
      <c r="R173" s="8">
        <v>11524.18</v>
      </c>
      <c r="S173">
        <v>2</v>
      </c>
      <c r="T173">
        <v>0.05</v>
      </c>
      <c r="U173" s="8">
        <v>1420.74</v>
      </c>
      <c r="V173" t="s">
        <v>1561</v>
      </c>
      <c r="W173" t="s">
        <v>1561</v>
      </c>
    </row>
    <row r="174" spans="1:23">
      <c r="A174">
        <v>1173</v>
      </c>
      <c r="B174" t="s">
        <v>972</v>
      </c>
      <c r="C174" s="7">
        <v>45493</v>
      </c>
      <c r="D174" s="7">
        <v>45498</v>
      </c>
      <c r="E174" t="s">
        <v>101</v>
      </c>
      <c r="F174" t="s">
        <v>395</v>
      </c>
      <c r="G174" t="s">
        <v>1565</v>
      </c>
      <c r="H174" t="s">
        <v>108</v>
      </c>
      <c r="I174" t="s">
        <v>26</v>
      </c>
      <c r="J174" t="s">
        <v>39</v>
      </c>
      <c r="K174" t="s">
        <v>40</v>
      </c>
      <c r="L174" t="s">
        <v>63</v>
      </c>
      <c r="M174">
        <v>673001</v>
      </c>
      <c r="N174" t="s">
        <v>554</v>
      </c>
      <c r="O174" t="s">
        <v>138</v>
      </c>
      <c r="P174" t="s">
        <v>182</v>
      </c>
      <c r="Q174" t="s">
        <v>183</v>
      </c>
      <c r="R174" s="8">
        <v>1328.08</v>
      </c>
      <c r="S174">
        <v>3</v>
      </c>
      <c r="T174">
        <v>0</v>
      </c>
      <c r="U174" s="8">
        <v>281</v>
      </c>
      <c r="V174" t="s">
        <v>1561</v>
      </c>
      <c r="W174" t="s">
        <v>1561</v>
      </c>
    </row>
    <row r="175" spans="1:23">
      <c r="A175">
        <v>1174</v>
      </c>
      <c r="B175" t="s">
        <v>1009</v>
      </c>
      <c r="C175" s="7">
        <v>45438</v>
      </c>
      <c r="D175" s="7">
        <v>45443</v>
      </c>
      <c r="E175" t="s">
        <v>22</v>
      </c>
      <c r="F175" t="s">
        <v>388</v>
      </c>
      <c r="G175" t="s">
        <v>1573</v>
      </c>
      <c r="H175" t="s">
        <v>25</v>
      </c>
      <c r="I175" t="s">
        <v>26</v>
      </c>
      <c r="J175" t="s">
        <v>115</v>
      </c>
      <c r="K175" t="s">
        <v>116</v>
      </c>
      <c r="L175" t="s">
        <v>29</v>
      </c>
      <c r="M175">
        <v>682001</v>
      </c>
      <c r="N175" t="s">
        <v>1010</v>
      </c>
      <c r="O175" t="s">
        <v>138</v>
      </c>
      <c r="P175" t="s">
        <v>182</v>
      </c>
      <c r="Q175" t="s">
        <v>183</v>
      </c>
      <c r="R175" s="8">
        <v>1609.04</v>
      </c>
      <c r="S175">
        <v>5</v>
      </c>
      <c r="T175">
        <v>0.3</v>
      </c>
      <c r="U175" s="8">
        <v>6.22</v>
      </c>
      <c r="V175" t="s">
        <v>1561</v>
      </c>
      <c r="W175" t="s">
        <v>1561</v>
      </c>
    </row>
    <row r="176" spans="1:23">
      <c r="A176">
        <v>1175</v>
      </c>
      <c r="B176" t="s">
        <v>202</v>
      </c>
      <c r="C176" s="7">
        <v>45318</v>
      </c>
      <c r="D176" s="7">
        <v>45323</v>
      </c>
      <c r="E176" t="s">
        <v>69</v>
      </c>
      <c r="F176" t="s">
        <v>203</v>
      </c>
      <c r="G176" t="s">
        <v>1568</v>
      </c>
      <c r="H176" t="s">
        <v>25</v>
      </c>
      <c r="I176" t="s">
        <v>26</v>
      </c>
      <c r="J176" t="s">
        <v>160</v>
      </c>
      <c r="K176" t="s">
        <v>161</v>
      </c>
      <c r="L176" t="s">
        <v>63</v>
      </c>
      <c r="M176">
        <v>673001</v>
      </c>
      <c r="N176" t="s">
        <v>204</v>
      </c>
      <c r="O176" t="s">
        <v>55</v>
      </c>
      <c r="P176" t="s">
        <v>56</v>
      </c>
      <c r="Q176" t="s">
        <v>57</v>
      </c>
      <c r="R176" s="8">
        <v>10583.33</v>
      </c>
      <c r="S176">
        <v>2</v>
      </c>
      <c r="T176">
        <v>0.25</v>
      </c>
      <c r="U176" s="8">
        <v>-28.12</v>
      </c>
      <c r="V176" t="s">
        <v>1561</v>
      </c>
      <c r="W176" t="s">
        <v>1561</v>
      </c>
    </row>
    <row r="177" spans="1:23">
      <c r="A177">
        <v>1176</v>
      </c>
      <c r="B177" t="s">
        <v>1113</v>
      </c>
      <c r="C177" s="7">
        <v>45357</v>
      </c>
      <c r="D177" s="7">
        <v>45358</v>
      </c>
      <c r="E177" t="s">
        <v>101</v>
      </c>
      <c r="F177" t="s">
        <v>446</v>
      </c>
      <c r="G177" t="s">
        <v>1575</v>
      </c>
      <c r="H177" t="s">
        <v>25</v>
      </c>
      <c r="I177" t="s">
        <v>26</v>
      </c>
      <c r="J177" t="s">
        <v>52</v>
      </c>
      <c r="K177" t="s">
        <v>52</v>
      </c>
      <c r="L177" t="s">
        <v>63</v>
      </c>
      <c r="M177">
        <v>600001</v>
      </c>
      <c r="N177" t="s">
        <v>1114</v>
      </c>
      <c r="O177" t="s">
        <v>138</v>
      </c>
      <c r="P177" t="s">
        <v>182</v>
      </c>
      <c r="Q177" t="s">
        <v>183</v>
      </c>
      <c r="R177" s="8">
        <v>900.45</v>
      </c>
      <c r="S177">
        <v>2</v>
      </c>
      <c r="T177">
        <v>0</v>
      </c>
      <c r="U177" s="8">
        <v>212.19</v>
      </c>
      <c r="V177" t="s">
        <v>1561</v>
      </c>
      <c r="W177" t="s">
        <v>1561</v>
      </c>
    </row>
    <row r="178" spans="1:23">
      <c r="A178">
        <v>1177</v>
      </c>
      <c r="B178" t="s">
        <v>697</v>
      </c>
      <c r="C178" s="7">
        <v>45315</v>
      </c>
      <c r="D178" s="7">
        <v>45316</v>
      </c>
      <c r="E178" t="s">
        <v>69</v>
      </c>
      <c r="F178" t="s">
        <v>225</v>
      </c>
      <c r="G178" t="s">
        <v>1563</v>
      </c>
      <c r="H178" t="s">
        <v>51</v>
      </c>
      <c r="I178" t="s">
        <v>26</v>
      </c>
      <c r="J178" t="s">
        <v>27</v>
      </c>
      <c r="K178" t="s">
        <v>28</v>
      </c>
      <c r="L178" t="s">
        <v>29</v>
      </c>
      <c r="M178">
        <v>600001</v>
      </c>
      <c r="N178" t="s">
        <v>698</v>
      </c>
      <c r="O178" t="s">
        <v>44</v>
      </c>
      <c r="P178" t="s">
        <v>211</v>
      </c>
      <c r="Q178" t="s">
        <v>212</v>
      </c>
      <c r="R178" s="8">
        <v>3691.41</v>
      </c>
      <c r="S178">
        <v>3</v>
      </c>
      <c r="T178">
        <v>0</v>
      </c>
      <c r="U178" s="8">
        <v>337.62</v>
      </c>
      <c r="V178" t="s">
        <v>1561</v>
      </c>
      <c r="W178" t="s">
        <v>1561</v>
      </c>
    </row>
    <row r="179" spans="1:23">
      <c r="A179">
        <v>1178</v>
      </c>
      <c r="B179" t="s">
        <v>773</v>
      </c>
      <c r="C179" s="7">
        <v>45375</v>
      </c>
      <c r="D179" s="7">
        <v>45379</v>
      </c>
      <c r="E179" t="s">
        <v>48</v>
      </c>
      <c r="F179" t="s">
        <v>774</v>
      </c>
      <c r="G179" t="s">
        <v>1563</v>
      </c>
      <c r="H179" t="s">
        <v>108</v>
      </c>
      <c r="I179" t="s">
        <v>26</v>
      </c>
      <c r="J179" t="s">
        <v>166</v>
      </c>
      <c r="K179" t="s">
        <v>132</v>
      </c>
      <c r="L179" t="s">
        <v>29</v>
      </c>
      <c r="M179">
        <v>400001</v>
      </c>
      <c r="N179" t="s">
        <v>775</v>
      </c>
      <c r="O179" t="s">
        <v>138</v>
      </c>
      <c r="P179" t="s">
        <v>139</v>
      </c>
      <c r="Q179" t="s">
        <v>140</v>
      </c>
      <c r="R179" s="8">
        <v>707.78</v>
      </c>
      <c r="S179">
        <v>1</v>
      </c>
      <c r="T179">
        <v>0.2</v>
      </c>
      <c r="U179" s="8">
        <v>53.07</v>
      </c>
      <c r="V179" t="s">
        <v>1561</v>
      </c>
      <c r="W179" t="s">
        <v>1561</v>
      </c>
    </row>
    <row r="180" spans="1:23">
      <c r="A180">
        <v>1179</v>
      </c>
      <c r="B180" t="s">
        <v>767</v>
      </c>
      <c r="C180" s="7">
        <v>45505</v>
      </c>
      <c r="D180" s="7">
        <v>45510</v>
      </c>
      <c r="E180" t="s">
        <v>48</v>
      </c>
      <c r="F180" t="s">
        <v>36</v>
      </c>
      <c r="G180" t="s">
        <v>1567</v>
      </c>
      <c r="H180" t="s">
        <v>25</v>
      </c>
      <c r="I180" t="s">
        <v>26</v>
      </c>
      <c r="J180" t="s">
        <v>115</v>
      </c>
      <c r="K180" t="s">
        <v>116</v>
      </c>
      <c r="L180" t="s">
        <v>41</v>
      </c>
      <c r="M180">
        <v>600001</v>
      </c>
      <c r="N180" t="s">
        <v>768</v>
      </c>
      <c r="O180" t="s">
        <v>138</v>
      </c>
      <c r="P180" t="s">
        <v>182</v>
      </c>
      <c r="Q180" t="s">
        <v>183</v>
      </c>
      <c r="R180" s="8">
        <v>831.82</v>
      </c>
      <c r="S180">
        <v>2</v>
      </c>
      <c r="T180">
        <v>0</v>
      </c>
      <c r="U180" s="8">
        <v>173.5</v>
      </c>
      <c r="V180" t="s">
        <v>1561</v>
      </c>
      <c r="W180" t="s">
        <v>1561</v>
      </c>
    </row>
    <row r="181" spans="1:23">
      <c r="A181">
        <v>1180</v>
      </c>
      <c r="B181" t="s">
        <v>928</v>
      </c>
      <c r="C181" s="7">
        <v>45318</v>
      </c>
      <c r="D181" s="7">
        <v>45323</v>
      </c>
      <c r="E181" t="s">
        <v>101</v>
      </c>
      <c r="F181" t="s">
        <v>633</v>
      </c>
      <c r="G181" t="s">
        <v>1568</v>
      </c>
      <c r="H181" t="s">
        <v>25</v>
      </c>
      <c r="I181" t="s">
        <v>26</v>
      </c>
      <c r="J181" t="s">
        <v>115</v>
      </c>
      <c r="K181" t="s">
        <v>116</v>
      </c>
      <c r="L181" t="s">
        <v>29</v>
      </c>
      <c r="M181">
        <v>682001</v>
      </c>
      <c r="N181" t="s">
        <v>929</v>
      </c>
      <c r="O181" t="s">
        <v>138</v>
      </c>
      <c r="P181" t="s">
        <v>156</v>
      </c>
      <c r="Q181" t="s">
        <v>157</v>
      </c>
      <c r="R181" s="8">
        <v>1464.36</v>
      </c>
      <c r="S181">
        <v>4</v>
      </c>
      <c r="T181">
        <v>0.1</v>
      </c>
      <c r="U181" s="8">
        <v>205.15</v>
      </c>
      <c r="V181" t="s">
        <v>1561</v>
      </c>
      <c r="W181" t="s">
        <v>1561</v>
      </c>
    </row>
    <row r="182" spans="1:23">
      <c r="A182">
        <v>1181</v>
      </c>
      <c r="B182" t="s">
        <v>1039</v>
      </c>
      <c r="C182" s="7">
        <v>45389</v>
      </c>
      <c r="D182" s="7">
        <v>45390</v>
      </c>
      <c r="E182" t="s">
        <v>101</v>
      </c>
      <c r="F182" t="s">
        <v>468</v>
      </c>
      <c r="G182" t="s">
        <v>1564</v>
      </c>
      <c r="H182" t="s">
        <v>51</v>
      </c>
      <c r="I182" t="s">
        <v>26</v>
      </c>
      <c r="J182" t="s">
        <v>90</v>
      </c>
      <c r="K182" t="s">
        <v>91</v>
      </c>
      <c r="L182" t="s">
        <v>92</v>
      </c>
      <c r="M182">
        <v>560001</v>
      </c>
      <c r="N182" t="s">
        <v>424</v>
      </c>
      <c r="O182" t="s">
        <v>44</v>
      </c>
      <c r="P182" t="s">
        <v>211</v>
      </c>
      <c r="Q182" t="s">
        <v>223</v>
      </c>
      <c r="R182" s="8">
        <v>12374.55</v>
      </c>
      <c r="S182">
        <v>7</v>
      </c>
      <c r="T182">
        <v>0</v>
      </c>
      <c r="U182" s="8">
        <v>1458.72</v>
      </c>
      <c r="V182" t="s">
        <v>1561</v>
      </c>
      <c r="W182" t="s">
        <v>1561</v>
      </c>
    </row>
    <row r="183" spans="1:23">
      <c r="A183">
        <v>1182</v>
      </c>
      <c r="B183" t="s">
        <v>276</v>
      </c>
      <c r="C183" s="7">
        <v>45323</v>
      </c>
      <c r="D183" s="7">
        <v>45329</v>
      </c>
      <c r="E183" t="s">
        <v>69</v>
      </c>
      <c r="F183" t="s">
        <v>277</v>
      </c>
      <c r="G183" t="s">
        <v>1565</v>
      </c>
      <c r="H183" t="s">
        <v>51</v>
      </c>
      <c r="I183" t="s">
        <v>26</v>
      </c>
      <c r="J183" t="s">
        <v>72</v>
      </c>
      <c r="K183" t="s">
        <v>73</v>
      </c>
      <c r="L183" t="s">
        <v>63</v>
      </c>
      <c r="M183">
        <v>400001</v>
      </c>
      <c r="N183" t="s">
        <v>278</v>
      </c>
      <c r="O183" t="s">
        <v>55</v>
      </c>
      <c r="P183" t="s">
        <v>98</v>
      </c>
      <c r="Q183" t="s">
        <v>99</v>
      </c>
      <c r="R183" s="8">
        <v>13350.23</v>
      </c>
      <c r="S183">
        <v>3</v>
      </c>
      <c r="T183">
        <v>0.3</v>
      </c>
      <c r="U183" s="8">
        <v>-477.92</v>
      </c>
      <c r="V183" t="s">
        <v>1561</v>
      </c>
      <c r="W183" t="s">
        <v>1561</v>
      </c>
    </row>
    <row r="184" spans="1:23">
      <c r="A184">
        <v>1183</v>
      </c>
      <c r="B184" t="s">
        <v>670</v>
      </c>
      <c r="C184" s="7">
        <v>45571</v>
      </c>
      <c r="D184" s="7">
        <v>45574</v>
      </c>
      <c r="E184" t="s">
        <v>48</v>
      </c>
      <c r="F184" t="s">
        <v>113</v>
      </c>
      <c r="G184" t="s">
        <v>1562</v>
      </c>
      <c r="H184" t="s">
        <v>51</v>
      </c>
      <c r="I184" t="s">
        <v>26</v>
      </c>
      <c r="J184" t="s">
        <v>52</v>
      </c>
      <c r="K184" t="s">
        <v>52</v>
      </c>
      <c r="L184" t="s">
        <v>92</v>
      </c>
      <c r="M184">
        <v>682001</v>
      </c>
      <c r="N184" t="s">
        <v>455</v>
      </c>
      <c r="O184" t="s">
        <v>55</v>
      </c>
      <c r="P184" t="s">
        <v>98</v>
      </c>
      <c r="Q184" t="s">
        <v>99</v>
      </c>
      <c r="R184" s="8">
        <v>5481.65</v>
      </c>
      <c r="S184">
        <v>1</v>
      </c>
      <c r="T184">
        <v>0.2</v>
      </c>
      <c r="U184" s="8">
        <v>155.08000000000001</v>
      </c>
      <c r="V184" t="s">
        <v>1561</v>
      </c>
      <c r="W184" t="s">
        <v>1561</v>
      </c>
    </row>
    <row r="185" spans="1:23">
      <c r="A185">
        <v>1184</v>
      </c>
      <c r="B185" t="s">
        <v>1240</v>
      </c>
      <c r="C185" s="7">
        <v>45439</v>
      </c>
      <c r="D185" s="7">
        <v>45445</v>
      </c>
      <c r="E185" t="s">
        <v>69</v>
      </c>
      <c r="F185" t="s">
        <v>23</v>
      </c>
      <c r="G185" t="s">
        <v>1560</v>
      </c>
      <c r="H185" t="s">
        <v>51</v>
      </c>
      <c r="I185" t="s">
        <v>26</v>
      </c>
      <c r="J185" t="s">
        <v>52</v>
      </c>
      <c r="K185" t="s">
        <v>52</v>
      </c>
      <c r="L185" t="s">
        <v>29</v>
      </c>
      <c r="M185">
        <v>695001</v>
      </c>
      <c r="N185" t="s">
        <v>1241</v>
      </c>
      <c r="O185" t="s">
        <v>55</v>
      </c>
      <c r="P185" t="s">
        <v>66</v>
      </c>
      <c r="Q185" t="s">
        <v>67</v>
      </c>
      <c r="R185" s="8">
        <v>62065.09</v>
      </c>
      <c r="S185">
        <v>8</v>
      </c>
      <c r="T185">
        <v>0.15</v>
      </c>
      <c r="U185" s="8">
        <v>4665.26</v>
      </c>
      <c r="V185" t="s">
        <v>1561</v>
      </c>
      <c r="W185" t="s">
        <v>1561</v>
      </c>
    </row>
    <row r="186" spans="1:23">
      <c r="A186">
        <v>1185</v>
      </c>
      <c r="B186" t="s">
        <v>833</v>
      </c>
      <c r="C186" s="7">
        <v>45439</v>
      </c>
      <c r="D186" s="7">
        <v>45440</v>
      </c>
      <c r="E186" t="s">
        <v>101</v>
      </c>
      <c r="F186" t="s">
        <v>177</v>
      </c>
      <c r="G186" t="s">
        <v>1564</v>
      </c>
      <c r="H186" t="s">
        <v>108</v>
      </c>
      <c r="I186" t="s">
        <v>26</v>
      </c>
      <c r="J186" t="s">
        <v>226</v>
      </c>
      <c r="K186" t="s">
        <v>110</v>
      </c>
      <c r="L186" t="s">
        <v>63</v>
      </c>
      <c r="M186">
        <v>110001</v>
      </c>
      <c r="N186" t="s">
        <v>305</v>
      </c>
      <c r="O186" t="s">
        <v>138</v>
      </c>
      <c r="P186" t="s">
        <v>121</v>
      </c>
      <c r="Q186" t="s">
        <v>122</v>
      </c>
      <c r="R186" s="8">
        <v>2628.04</v>
      </c>
      <c r="S186">
        <v>5</v>
      </c>
      <c r="T186">
        <v>0.15</v>
      </c>
      <c r="U186" s="8">
        <v>211.37</v>
      </c>
      <c r="V186" t="s">
        <v>1561</v>
      </c>
      <c r="W186" t="s">
        <v>1561</v>
      </c>
    </row>
    <row r="187" spans="1:23">
      <c r="A187">
        <v>1186</v>
      </c>
      <c r="B187" t="s">
        <v>947</v>
      </c>
      <c r="C187" s="7">
        <v>45469</v>
      </c>
      <c r="D187" s="7">
        <v>45473</v>
      </c>
      <c r="E187" t="s">
        <v>48</v>
      </c>
      <c r="F187" t="s">
        <v>645</v>
      </c>
      <c r="G187" t="s">
        <v>1578</v>
      </c>
      <c r="H187" t="s">
        <v>51</v>
      </c>
      <c r="I187" t="s">
        <v>26</v>
      </c>
      <c r="J187" t="s">
        <v>166</v>
      </c>
      <c r="K187" t="s">
        <v>132</v>
      </c>
      <c r="L187" t="s">
        <v>92</v>
      </c>
      <c r="M187">
        <v>682001</v>
      </c>
      <c r="N187" t="s">
        <v>949</v>
      </c>
      <c r="O187" t="s">
        <v>55</v>
      </c>
      <c r="P187" t="s">
        <v>66</v>
      </c>
      <c r="Q187" t="s">
        <v>67</v>
      </c>
      <c r="R187" s="8">
        <v>55699.41</v>
      </c>
      <c r="S187">
        <v>7</v>
      </c>
      <c r="T187">
        <v>0</v>
      </c>
      <c r="U187" s="8">
        <v>6765.12</v>
      </c>
      <c r="V187" t="s">
        <v>1561</v>
      </c>
      <c r="W187" t="s">
        <v>1561</v>
      </c>
    </row>
    <row r="188" spans="1:23">
      <c r="A188">
        <v>1187</v>
      </c>
      <c r="B188" t="s">
        <v>1225</v>
      </c>
      <c r="C188" s="7">
        <v>45347</v>
      </c>
      <c r="D188" s="7">
        <v>45352</v>
      </c>
      <c r="E188" t="s">
        <v>69</v>
      </c>
      <c r="F188" t="s">
        <v>1124</v>
      </c>
      <c r="G188" t="s">
        <v>1569</v>
      </c>
      <c r="H188" t="s">
        <v>108</v>
      </c>
      <c r="I188" t="s">
        <v>26</v>
      </c>
      <c r="J188" t="s">
        <v>52</v>
      </c>
      <c r="K188" t="s">
        <v>52</v>
      </c>
      <c r="L188" t="s">
        <v>92</v>
      </c>
      <c r="M188">
        <v>400001</v>
      </c>
      <c r="N188" t="s">
        <v>181</v>
      </c>
      <c r="O188" t="s">
        <v>55</v>
      </c>
      <c r="P188" t="s">
        <v>66</v>
      </c>
      <c r="Q188" t="s">
        <v>67</v>
      </c>
      <c r="R188" s="8">
        <v>30204.080000000002</v>
      </c>
      <c r="S188">
        <v>4</v>
      </c>
      <c r="T188">
        <v>0.05</v>
      </c>
      <c r="U188" s="8">
        <v>4203.3999999999996</v>
      </c>
      <c r="V188" t="s">
        <v>1561</v>
      </c>
      <c r="W188" t="s">
        <v>1561</v>
      </c>
    </row>
    <row r="189" spans="1:23">
      <c r="A189">
        <v>1188</v>
      </c>
      <c r="B189" t="s">
        <v>1397</v>
      </c>
      <c r="C189" s="7">
        <v>45640</v>
      </c>
      <c r="D189" s="7">
        <v>45642</v>
      </c>
      <c r="E189" t="s">
        <v>22</v>
      </c>
      <c r="F189" t="s">
        <v>198</v>
      </c>
      <c r="G189" t="s">
        <v>1567</v>
      </c>
      <c r="H189" t="s">
        <v>51</v>
      </c>
      <c r="I189" t="s">
        <v>26</v>
      </c>
      <c r="J189" t="s">
        <v>346</v>
      </c>
      <c r="K189" t="s">
        <v>132</v>
      </c>
      <c r="L189" t="s">
        <v>92</v>
      </c>
      <c r="M189">
        <v>560001</v>
      </c>
      <c r="N189" t="s">
        <v>1398</v>
      </c>
      <c r="O189" t="s">
        <v>44</v>
      </c>
      <c r="P189" t="s">
        <v>45</v>
      </c>
      <c r="Q189" t="s">
        <v>46</v>
      </c>
      <c r="R189" s="8">
        <v>134120.19</v>
      </c>
      <c r="S189">
        <v>4</v>
      </c>
      <c r="T189">
        <v>0</v>
      </c>
      <c r="U189" s="8">
        <v>13417.87</v>
      </c>
      <c r="V189" t="s">
        <v>1561</v>
      </c>
      <c r="W189" t="s">
        <v>1561</v>
      </c>
    </row>
    <row r="190" spans="1:23">
      <c r="A190">
        <v>1189</v>
      </c>
      <c r="B190" t="s">
        <v>849</v>
      </c>
      <c r="C190" s="7">
        <v>45456</v>
      </c>
      <c r="D190" s="7">
        <v>45459</v>
      </c>
      <c r="E190" t="s">
        <v>22</v>
      </c>
      <c r="F190" t="s">
        <v>333</v>
      </c>
      <c r="G190" t="s">
        <v>1575</v>
      </c>
      <c r="H190" t="s">
        <v>25</v>
      </c>
      <c r="I190" t="s">
        <v>26</v>
      </c>
      <c r="J190" t="s">
        <v>39</v>
      </c>
      <c r="K190" t="s">
        <v>40</v>
      </c>
      <c r="L190" t="s">
        <v>41</v>
      </c>
      <c r="M190">
        <v>400001</v>
      </c>
      <c r="N190" t="s">
        <v>702</v>
      </c>
      <c r="O190" t="s">
        <v>138</v>
      </c>
      <c r="P190" t="s">
        <v>182</v>
      </c>
      <c r="Q190" t="s">
        <v>183</v>
      </c>
      <c r="R190" s="8">
        <v>1614.43</v>
      </c>
      <c r="S190">
        <v>4</v>
      </c>
      <c r="T190">
        <v>0.15</v>
      </c>
      <c r="U190" s="8">
        <v>126.03</v>
      </c>
      <c r="V190" t="s">
        <v>1561</v>
      </c>
      <c r="W190" t="s">
        <v>1561</v>
      </c>
    </row>
    <row r="191" spans="1:23">
      <c r="A191">
        <v>1190</v>
      </c>
      <c r="B191" t="s">
        <v>1469</v>
      </c>
      <c r="C191" s="7">
        <v>45381</v>
      </c>
      <c r="D191" s="7">
        <v>45385</v>
      </c>
      <c r="E191" t="s">
        <v>69</v>
      </c>
      <c r="F191" t="s">
        <v>242</v>
      </c>
      <c r="G191" t="s">
        <v>1567</v>
      </c>
      <c r="H191" t="s">
        <v>25</v>
      </c>
      <c r="I191" t="s">
        <v>26</v>
      </c>
      <c r="J191" t="s">
        <v>72</v>
      </c>
      <c r="K191" t="s">
        <v>73</v>
      </c>
      <c r="L191" t="s">
        <v>41</v>
      </c>
      <c r="M191">
        <v>110001</v>
      </c>
      <c r="N191" t="s">
        <v>1470</v>
      </c>
      <c r="O191" t="s">
        <v>138</v>
      </c>
      <c r="P191" t="s">
        <v>121</v>
      </c>
      <c r="Q191" t="s">
        <v>122</v>
      </c>
      <c r="R191" s="8">
        <v>3413.52</v>
      </c>
      <c r="S191">
        <v>5</v>
      </c>
      <c r="T191">
        <v>0.85</v>
      </c>
      <c r="U191" s="8">
        <v>608.24</v>
      </c>
      <c r="V191" t="s">
        <v>1561</v>
      </c>
      <c r="W191" t="s">
        <v>1561</v>
      </c>
    </row>
    <row r="192" spans="1:23">
      <c r="A192">
        <v>1191</v>
      </c>
      <c r="B192" t="s">
        <v>1033</v>
      </c>
      <c r="C192" s="7">
        <v>45311</v>
      </c>
      <c r="D192" s="7">
        <v>45312</v>
      </c>
      <c r="E192" t="s">
        <v>48</v>
      </c>
      <c r="F192" t="s">
        <v>931</v>
      </c>
      <c r="G192" t="s">
        <v>1574</v>
      </c>
      <c r="H192" t="s">
        <v>51</v>
      </c>
      <c r="I192" t="s">
        <v>26</v>
      </c>
      <c r="J192" t="s">
        <v>27</v>
      </c>
      <c r="K192" t="s">
        <v>28</v>
      </c>
      <c r="L192" t="s">
        <v>41</v>
      </c>
      <c r="M192">
        <v>695001</v>
      </c>
      <c r="N192" t="s">
        <v>318</v>
      </c>
      <c r="O192" t="s">
        <v>138</v>
      </c>
      <c r="P192" t="s">
        <v>182</v>
      </c>
      <c r="Q192" t="s">
        <v>183</v>
      </c>
      <c r="R192" s="8">
        <v>1436.53</v>
      </c>
      <c r="S192">
        <v>4</v>
      </c>
      <c r="T192">
        <v>0.15</v>
      </c>
      <c r="U192" s="8">
        <v>161.72999999999999</v>
      </c>
      <c r="V192" t="s">
        <v>1561</v>
      </c>
      <c r="W192" t="s">
        <v>1561</v>
      </c>
    </row>
    <row r="193" spans="1:23">
      <c r="A193">
        <v>1192</v>
      </c>
      <c r="B193" t="s">
        <v>1493</v>
      </c>
      <c r="C193" s="7">
        <v>45550</v>
      </c>
      <c r="D193" s="7">
        <v>45554</v>
      </c>
      <c r="E193" t="s">
        <v>48</v>
      </c>
      <c r="F193" t="s">
        <v>355</v>
      </c>
      <c r="G193" t="s">
        <v>1575</v>
      </c>
      <c r="H193" t="s">
        <v>51</v>
      </c>
      <c r="I193" t="s">
        <v>26</v>
      </c>
      <c r="J193" t="s">
        <v>39</v>
      </c>
      <c r="K193" t="s">
        <v>40</v>
      </c>
      <c r="L193" t="s">
        <v>41</v>
      </c>
      <c r="M193">
        <v>695001</v>
      </c>
      <c r="N193" t="s">
        <v>1357</v>
      </c>
      <c r="O193" t="s">
        <v>138</v>
      </c>
      <c r="P193" t="s">
        <v>156</v>
      </c>
      <c r="Q193" t="s">
        <v>157</v>
      </c>
      <c r="R193" s="8">
        <v>1105.3399999999999</v>
      </c>
      <c r="S193">
        <v>3</v>
      </c>
      <c r="T193">
        <v>0.05</v>
      </c>
      <c r="U193" s="8">
        <v>220.09</v>
      </c>
      <c r="V193" t="s">
        <v>1561</v>
      </c>
      <c r="W193" t="s">
        <v>1561</v>
      </c>
    </row>
    <row r="194" spans="1:23">
      <c r="A194">
        <v>1193</v>
      </c>
      <c r="B194" t="s">
        <v>369</v>
      </c>
      <c r="C194" s="7">
        <v>45464</v>
      </c>
      <c r="D194" s="7">
        <v>45467</v>
      </c>
      <c r="E194" t="s">
        <v>69</v>
      </c>
      <c r="F194" t="s">
        <v>370</v>
      </c>
      <c r="G194" t="s">
        <v>1574</v>
      </c>
      <c r="H194" t="s">
        <v>25</v>
      </c>
      <c r="I194" t="s">
        <v>26</v>
      </c>
      <c r="J194" t="s">
        <v>160</v>
      </c>
      <c r="K194" t="s">
        <v>161</v>
      </c>
      <c r="L194" t="s">
        <v>29</v>
      </c>
      <c r="M194">
        <v>110001</v>
      </c>
      <c r="N194" t="s">
        <v>371</v>
      </c>
      <c r="O194" t="s">
        <v>138</v>
      </c>
      <c r="P194" t="s">
        <v>182</v>
      </c>
      <c r="Q194" t="s">
        <v>183</v>
      </c>
      <c r="R194" s="8">
        <v>1867.7</v>
      </c>
      <c r="S194">
        <v>4</v>
      </c>
      <c r="T194">
        <v>0</v>
      </c>
      <c r="U194" s="8">
        <v>430.22</v>
      </c>
      <c r="V194" t="s">
        <v>1561</v>
      </c>
      <c r="W194" t="s">
        <v>1561</v>
      </c>
    </row>
    <row r="195" spans="1:23">
      <c r="A195">
        <v>1194</v>
      </c>
      <c r="B195" t="s">
        <v>1150</v>
      </c>
      <c r="C195" s="7">
        <v>45363</v>
      </c>
      <c r="D195" s="7">
        <v>45367</v>
      </c>
      <c r="E195" t="s">
        <v>48</v>
      </c>
      <c r="F195" t="s">
        <v>242</v>
      </c>
      <c r="G195" t="s">
        <v>1565</v>
      </c>
      <c r="H195" t="s">
        <v>51</v>
      </c>
      <c r="I195" t="s">
        <v>26</v>
      </c>
      <c r="J195" t="s">
        <v>52</v>
      </c>
      <c r="K195" t="s">
        <v>52</v>
      </c>
      <c r="L195" t="s">
        <v>41</v>
      </c>
      <c r="M195">
        <v>695001</v>
      </c>
      <c r="N195" t="s">
        <v>1151</v>
      </c>
      <c r="O195" t="s">
        <v>55</v>
      </c>
      <c r="P195" t="s">
        <v>56</v>
      </c>
      <c r="Q195" t="s">
        <v>57</v>
      </c>
      <c r="R195" s="8">
        <v>26405.83</v>
      </c>
      <c r="S195">
        <v>4</v>
      </c>
      <c r="T195">
        <v>0.05</v>
      </c>
      <c r="U195" s="8">
        <v>2823.75</v>
      </c>
      <c r="V195" t="s">
        <v>1561</v>
      </c>
      <c r="W195" t="s">
        <v>1561</v>
      </c>
    </row>
    <row r="196" spans="1:23">
      <c r="A196">
        <v>1195</v>
      </c>
      <c r="B196" t="s">
        <v>1121</v>
      </c>
      <c r="C196" s="7">
        <v>45590</v>
      </c>
      <c r="D196" s="7">
        <v>45596</v>
      </c>
      <c r="E196" t="s">
        <v>22</v>
      </c>
      <c r="F196" t="s">
        <v>601</v>
      </c>
      <c r="G196" t="s">
        <v>1566</v>
      </c>
      <c r="H196" t="s">
        <v>25</v>
      </c>
      <c r="I196" t="s">
        <v>26</v>
      </c>
      <c r="J196" t="s">
        <v>72</v>
      </c>
      <c r="K196" t="s">
        <v>73</v>
      </c>
      <c r="L196" t="s">
        <v>63</v>
      </c>
      <c r="M196">
        <v>400001</v>
      </c>
      <c r="N196" t="s">
        <v>1122</v>
      </c>
      <c r="O196" t="s">
        <v>138</v>
      </c>
      <c r="P196" t="s">
        <v>182</v>
      </c>
      <c r="Q196" t="s">
        <v>183</v>
      </c>
      <c r="R196" s="8">
        <v>2784.86</v>
      </c>
      <c r="S196">
        <v>7</v>
      </c>
      <c r="T196">
        <v>0.15</v>
      </c>
      <c r="U196" s="8">
        <v>329.24</v>
      </c>
      <c r="V196" t="s">
        <v>1561</v>
      </c>
      <c r="W196" t="s">
        <v>1561</v>
      </c>
    </row>
    <row r="197" spans="1:23">
      <c r="A197">
        <v>1196</v>
      </c>
      <c r="B197" t="s">
        <v>911</v>
      </c>
      <c r="C197" s="7">
        <v>45643</v>
      </c>
      <c r="D197" s="7">
        <v>45648</v>
      </c>
      <c r="E197" t="s">
        <v>48</v>
      </c>
      <c r="F197" t="s">
        <v>23</v>
      </c>
      <c r="G197" t="s">
        <v>1573</v>
      </c>
      <c r="H197" t="s">
        <v>51</v>
      </c>
      <c r="I197" t="s">
        <v>26</v>
      </c>
      <c r="J197" t="s">
        <v>346</v>
      </c>
      <c r="K197" t="s">
        <v>132</v>
      </c>
      <c r="L197" t="s">
        <v>63</v>
      </c>
      <c r="M197">
        <v>695001</v>
      </c>
      <c r="N197" t="s">
        <v>362</v>
      </c>
      <c r="O197" t="s">
        <v>138</v>
      </c>
      <c r="P197" t="s">
        <v>156</v>
      </c>
      <c r="Q197" t="s">
        <v>157</v>
      </c>
      <c r="R197" s="8">
        <v>614.73</v>
      </c>
      <c r="S197">
        <v>2</v>
      </c>
      <c r="T197">
        <v>0.25</v>
      </c>
      <c r="U197" s="8">
        <v>22.05</v>
      </c>
      <c r="V197" t="s">
        <v>1561</v>
      </c>
      <c r="W197" t="s">
        <v>1561</v>
      </c>
    </row>
    <row r="198" spans="1:23">
      <c r="A198">
        <v>1197</v>
      </c>
      <c r="B198" t="s">
        <v>323</v>
      </c>
      <c r="C198" s="7">
        <v>45602</v>
      </c>
      <c r="D198" s="7">
        <v>45605</v>
      </c>
      <c r="E198" t="s">
        <v>101</v>
      </c>
      <c r="F198" t="s">
        <v>324</v>
      </c>
      <c r="G198" t="s">
        <v>1568</v>
      </c>
      <c r="H198" t="s">
        <v>108</v>
      </c>
      <c r="I198" t="s">
        <v>26</v>
      </c>
      <c r="J198" t="s">
        <v>72</v>
      </c>
      <c r="K198" t="s">
        <v>73</v>
      </c>
      <c r="L198" t="s">
        <v>29</v>
      </c>
      <c r="M198">
        <v>110001</v>
      </c>
      <c r="N198" t="s">
        <v>325</v>
      </c>
      <c r="O198" t="s">
        <v>44</v>
      </c>
      <c r="P198" t="s">
        <v>211</v>
      </c>
      <c r="Q198" t="s">
        <v>223</v>
      </c>
      <c r="R198" s="8">
        <v>3702.6</v>
      </c>
      <c r="S198">
        <v>3</v>
      </c>
      <c r="T198">
        <v>0.3</v>
      </c>
      <c r="U198" s="8">
        <v>-358.22</v>
      </c>
      <c r="V198" t="s">
        <v>1561</v>
      </c>
      <c r="W198" t="s">
        <v>1561</v>
      </c>
    </row>
    <row r="199" spans="1:23">
      <c r="A199">
        <v>1198</v>
      </c>
      <c r="B199" t="s">
        <v>1231</v>
      </c>
      <c r="C199" s="7">
        <v>45561</v>
      </c>
      <c r="D199" s="7">
        <v>45565</v>
      </c>
      <c r="E199" t="s">
        <v>48</v>
      </c>
      <c r="F199" t="s">
        <v>482</v>
      </c>
      <c r="G199" t="s">
        <v>1567</v>
      </c>
      <c r="H199" t="s">
        <v>25</v>
      </c>
      <c r="I199" t="s">
        <v>26</v>
      </c>
      <c r="J199" t="s">
        <v>27</v>
      </c>
      <c r="K199" t="s">
        <v>28</v>
      </c>
      <c r="L199" t="s">
        <v>41</v>
      </c>
      <c r="M199">
        <v>673001</v>
      </c>
      <c r="N199" t="s">
        <v>1232</v>
      </c>
      <c r="O199" t="s">
        <v>138</v>
      </c>
      <c r="P199" t="s">
        <v>156</v>
      </c>
      <c r="Q199" t="s">
        <v>157</v>
      </c>
      <c r="R199" s="8">
        <v>1481.28</v>
      </c>
      <c r="S199">
        <v>4</v>
      </c>
      <c r="T199">
        <v>0</v>
      </c>
      <c r="U199" s="8">
        <v>360.06</v>
      </c>
      <c r="V199" t="s">
        <v>1561</v>
      </c>
      <c r="W199" t="s">
        <v>1561</v>
      </c>
    </row>
    <row r="200" spans="1:23">
      <c r="A200">
        <v>1199</v>
      </c>
      <c r="B200" t="s">
        <v>626</v>
      </c>
      <c r="C200" s="7">
        <v>45376</v>
      </c>
      <c r="D200" s="7">
        <v>45379</v>
      </c>
      <c r="E200" t="s">
        <v>101</v>
      </c>
      <c r="F200" t="s">
        <v>102</v>
      </c>
      <c r="G200" t="s">
        <v>1566</v>
      </c>
      <c r="H200" t="s">
        <v>51</v>
      </c>
      <c r="I200" t="s">
        <v>26</v>
      </c>
      <c r="J200" t="s">
        <v>52</v>
      </c>
      <c r="K200" t="s">
        <v>52</v>
      </c>
      <c r="L200" t="s">
        <v>92</v>
      </c>
      <c r="M200">
        <v>400001</v>
      </c>
      <c r="N200" t="s">
        <v>605</v>
      </c>
      <c r="O200" t="s">
        <v>188</v>
      </c>
      <c r="P200" t="s">
        <v>189</v>
      </c>
      <c r="Q200" t="s">
        <v>190</v>
      </c>
      <c r="R200" s="8">
        <v>17477.93</v>
      </c>
      <c r="S200">
        <v>3</v>
      </c>
      <c r="T200">
        <v>0.05</v>
      </c>
      <c r="U200" s="8">
        <v>1643.6</v>
      </c>
      <c r="V200" t="s">
        <v>1561</v>
      </c>
      <c r="W200" t="s">
        <v>1561</v>
      </c>
    </row>
    <row r="201" spans="1:23">
      <c r="A201">
        <v>1200</v>
      </c>
      <c r="B201" t="s">
        <v>257</v>
      </c>
      <c r="C201" s="7">
        <v>45524</v>
      </c>
      <c r="D201" s="7">
        <v>45526</v>
      </c>
      <c r="E201" t="s">
        <v>101</v>
      </c>
      <c r="F201" t="s">
        <v>192</v>
      </c>
      <c r="G201" t="s">
        <v>1574</v>
      </c>
      <c r="H201" t="s">
        <v>108</v>
      </c>
      <c r="I201" t="s">
        <v>26</v>
      </c>
      <c r="J201" t="s">
        <v>39</v>
      </c>
      <c r="K201" t="s">
        <v>40</v>
      </c>
      <c r="L201" t="s">
        <v>41</v>
      </c>
      <c r="M201">
        <v>600001</v>
      </c>
      <c r="N201" t="s">
        <v>258</v>
      </c>
      <c r="O201" t="s">
        <v>44</v>
      </c>
      <c r="P201" t="s">
        <v>45</v>
      </c>
      <c r="Q201" t="s">
        <v>46</v>
      </c>
      <c r="R201" s="8">
        <v>74890.03</v>
      </c>
      <c r="S201">
        <v>2</v>
      </c>
      <c r="T201">
        <v>0</v>
      </c>
      <c r="U201" s="8">
        <v>9286.35</v>
      </c>
      <c r="V201" t="s">
        <v>1561</v>
      </c>
      <c r="W201" t="s">
        <v>1561</v>
      </c>
    </row>
    <row r="202" spans="1:23">
      <c r="A202">
        <v>1201</v>
      </c>
      <c r="B202" t="s">
        <v>1358</v>
      </c>
      <c r="C202" s="7">
        <v>45293</v>
      </c>
      <c r="D202" s="7">
        <v>45299</v>
      </c>
      <c r="E202" t="s">
        <v>69</v>
      </c>
      <c r="F202" t="s">
        <v>1359</v>
      </c>
      <c r="G202" t="s">
        <v>1573</v>
      </c>
      <c r="H202" t="s">
        <v>51</v>
      </c>
      <c r="I202" t="s">
        <v>26</v>
      </c>
      <c r="J202" t="s">
        <v>90</v>
      </c>
      <c r="K202" t="s">
        <v>91</v>
      </c>
      <c r="L202" t="s">
        <v>41</v>
      </c>
      <c r="M202">
        <v>560001</v>
      </c>
      <c r="N202" t="s">
        <v>1164</v>
      </c>
      <c r="O202" t="s">
        <v>83</v>
      </c>
      <c r="P202" t="s">
        <v>84</v>
      </c>
      <c r="Q202" t="s">
        <v>85</v>
      </c>
      <c r="R202" s="8">
        <v>2547.2800000000002</v>
      </c>
      <c r="S202">
        <v>1</v>
      </c>
      <c r="T202">
        <v>0.15</v>
      </c>
      <c r="U202" s="8">
        <v>466.65</v>
      </c>
      <c r="V202" t="s">
        <v>1561</v>
      </c>
      <c r="W202" t="s">
        <v>1561</v>
      </c>
    </row>
    <row r="203" spans="1:23">
      <c r="A203">
        <v>1202</v>
      </c>
      <c r="B203" t="s">
        <v>1412</v>
      </c>
      <c r="C203" s="7">
        <v>45533</v>
      </c>
      <c r="D203" s="7">
        <v>45534</v>
      </c>
      <c r="E203" t="s">
        <v>48</v>
      </c>
      <c r="F203" t="s">
        <v>271</v>
      </c>
      <c r="G203" t="s">
        <v>1571</v>
      </c>
      <c r="H203" t="s">
        <v>51</v>
      </c>
      <c r="I203" t="s">
        <v>26</v>
      </c>
      <c r="J203" t="s">
        <v>160</v>
      </c>
      <c r="K203" t="s">
        <v>161</v>
      </c>
      <c r="L203" t="s">
        <v>92</v>
      </c>
      <c r="M203">
        <v>110001</v>
      </c>
      <c r="N203" t="s">
        <v>1413</v>
      </c>
      <c r="O203" t="s">
        <v>44</v>
      </c>
      <c r="P203" t="s">
        <v>45</v>
      </c>
      <c r="Q203" t="s">
        <v>46</v>
      </c>
      <c r="R203" s="8">
        <v>36030.25</v>
      </c>
      <c r="S203">
        <v>1</v>
      </c>
      <c r="T203">
        <v>0</v>
      </c>
      <c r="U203" s="8">
        <v>4610.26</v>
      </c>
      <c r="V203" t="s">
        <v>1561</v>
      </c>
      <c r="W203" t="s">
        <v>1561</v>
      </c>
    </row>
    <row r="204" spans="1:23">
      <c r="A204">
        <v>1203</v>
      </c>
      <c r="B204" t="s">
        <v>1242</v>
      </c>
      <c r="C204" s="7">
        <v>45521</v>
      </c>
      <c r="D204" s="7">
        <v>45525</v>
      </c>
      <c r="E204" t="s">
        <v>101</v>
      </c>
      <c r="F204" t="s">
        <v>285</v>
      </c>
      <c r="G204" t="s">
        <v>1566</v>
      </c>
      <c r="H204" t="s">
        <v>108</v>
      </c>
      <c r="I204" t="s">
        <v>26</v>
      </c>
      <c r="J204" t="s">
        <v>160</v>
      </c>
      <c r="K204" t="s">
        <v>161</v>
      </c>
      <c r="L204" t="s">
        <v>92</v>
      </c>
      <c r="M204">
        <v>400001</v>
      </c>
      <c r="N204" t="s">
        <v>1129</v>
      </c>
      <c r="O204" t="s">
        <v>138</v>
      </c>
      <c r="P204" t="s">
        <v>156</v>
      </c>
      <c r="Q204" t="s">
        <v>157</v>
      </c>
      <c r="R204" s="8">
        <v>553.59</v>
      </c>
      <c r="S204">
        <v>2</v>
      </c>
      <c r="T204">
        <v>0.25</v>
      </c>
      <c r="U204" s="8">
        <v>24.87</v>
      </c>
      <c r="V204" t="s">
        <v>1561</v>
      </c>
      <c r="W204" t="s">
        <v>1561</v>
      </c>
    </row>
    <row r="205" spans="1:23">
      <c r="A205">
        <v>1204</v>
      </c>
      <c r="B205" t="s">
        <v>821</v>
      </c>
      <c r="C205" s="7">
        <v>45406</v>
      </c>
      <c r="D205" s="7">
        <v>45407</v>
      </c>
      <c r="E205" t="s">
        <v>22</v>
      </c>
      <c r="F205" t="s">
        <v>520</v>
      </c>
      <c r="G205" t="s">
        <v>1562</v>
      </c>
      <c r="H205" t="s">
        <v>51</v>
      </c>
      <c r="I205" t="s">
        <v>26</v>
      </c>
      <c r="J205" t="s">
        <v>226</v>
      </c>
      <c r="K205" t="s">
        <v>110</v>
      </c>
      <c r="L205" t="s">
        <v>29</v>
      </c>
      <c r="M205">
        <v>600001</v>
      </c>
      <c r="N205" t="s">
        <v>822</v>
      </c>
      <c r="O205" t="s">
        <v>44</v>
      </c>
      <c r="P205" t="s">
        <v>45</v>
      </c>
      <c r="Q205" t="s">
        <v>46</v>
      </c>
      <c r="R205" s="8">
        <v>100781.13</v>
      </c>
      <c r="S205">
        <v>3</v>
      </c>
      <c r="T205">
        <v>0.05</v>
      </c>
      <c r="U205" s="8">
        <v>5900.23</v>
      </c>
      <c r="V205" t="s">
        <v>1561</v>
      </c>
      <c r="W205" t="s">
        <v>1561</v>
      </c>
    </row>
    <row r="206" spans="1:23">
      <c r="A206">
        <v>1205</v>
      </c>
      <c r="B206" t="s">
        <v>591</v>
      </c>
      <c r="C206" s="7">
        <v>45388</v>
      </c>
      <c r="D206" s="7">
        <v>45394</v>
      </c>
      <c r="E206" t="s">
        <v>22</v>
      </c>
      <c r="F206" t="s">
        <v>280</v>
      </c>
      <c r="G206" t="s">
        <v>1575</v>
      </c>
      <c r="H206" t="s">
        <v>51</v>
      </c>
      <c r="I206" t="s">
        <v>26</v>
      </c>
      <c r="J206" t="s">
        <v>61</v>
      </c>
      <c r="K206" t="s">
        <v>62</v>
      </c>
      <c r="L206" t="s">
        <v>29</v>
      </c>
      <c r="M206">
        <v>600001</v>
      </c>
      <c r="N206" t="s">
        <v>573</v>
      </c>
      <c r="O206" t="s">
        <v>44</v>
      </c>
      <c r="P206" t="s">
        <v>211</v>
      </c>
      <c r="Q206" t="s">
        <v>223</v>
      </c>
      <c r="R206" s="8">
        <v>3258.48</v>
      </c>
      <c r="S206">
        <v>2</v>
      </c>
      <c r="T206">
        <v>0.15</v>
      </c>
      <c r="U206" s="8">
        <v>32.409999999999997</v>
      </c>
      <c r="V206" t="s">
        <v>1561</v>
      </c>
      <c r="W206" t="s">
        <v>1561</v>
      </c>
    </row>
    <row r="207" spans="1:23">
      <c r="A207">
        <v>1206</v>
      </c>
      <c r="B207" t="s">
        <v>1432</v>
      </c>
      <c r="C207" s="7">
        <v>45520</v>
      </c>
      <c r="D207" s="7">
        <v>45525</v>
      </c>
      <c r="E207" t="s">
        <v>22</v>
      </c>
      <c r="F207" t="s">
        <v>1124</v>
      </c>
      <c r="G207" t="s">
        <v>1560</v>
      </c>
      <c r="H207" t="s">
        <v>51</v>
      </c>
      <c r="I207" t="s">
        <v>26</v>
      </c>
      <c r="J207" t="s">
        <v>346</v>
      </c>
      <c r="K207" t="s">
        <v>132</v>
      </c>
      <c r="L207" t="s">
        <v>41</v>
      </c>
      <c r="M207">
        <v>560001</v>
      </c>
      <c r="N207" t="s">
        <v>111</v>
      </c>
      <c r="O207" t="s">
        <v>44</v>
      </c>
      <c r="P207" t="s">
        <v>211</v>
      </c>
      <c r="Q207" t="s">
        <v>223</v>
      </c>
      <c r="R207" s="8">
        <v>1747.96</v>
      </c>
      <c r="S207">
        <v>1</v>
      </c>
      <c r="T207">
        <v>0</v>
      </c>
      <c r="U207" s="8">
        <v>235.54</v>
      </c>
      <c r="V207" t="s">
        <v>1561</v>
      </c>
      <c r="W207" t="s">
        <v>1561</v>
      </c>
    </row>
    <row r="208" spans="1:23">
      <c r="A208">
        <v>1207</v>
      </c>
      <c r="B208" t="s">
        <v>1334</v>
      </c>
      <c r="C208" s="7">
        <v>45363</v>
      </c>
      <c r="D208" s="7">
        <v>45368</v>
      </c>
      <c r="E208" t="s">
        <v>48</v>
      </c>
      <c r="F208" t="s">
        <v>926</v>
      </c>
      <c r="G208" t="s">
        <v>1572</v>
      </c>
      <c r="H208" t="s">
        <v>51</v>
      </c>
      <c r="I208" t="s">
        <v>26</v>
      </c>
      <c r="J208" t="s">
        <v>72</v>
      </c>
      <c r="K208" t="s">
        <v>73</v>
      </c>
      <c r="L208" t="s">
        <v>63</v>
      </c>
      <c r="M208">
        <v>600001</v>
      </c>
      <c r="N208" t="s">
        <v>347</v>
      </c>
      <c r="O208" t="s">
        <v>138</v>
      </c>
      <c r="P208" t="s">
        <v>121</v>
      </c>
      <c r="Q208" t="s">
        <v>122</v>
      </c>
      <c r="R208" s="8">
        <v>3484.32</v>
      </c>
      <c r="S208">
        <v>5</v>
      </c>
      <c r="T208">
        <v>0</v>
      </c>
      <c r="U208" s="8">
        <v>722.45</v>
      </c>
      <c r="V208" t="s">
        <v>1561</v>
      </c>
      <c r="W208" t="s">
        <v>1561</v>
      </c>
    </row>
    <row r="209" spans="1:23">
      <c r="A209">
        <v>1208</v>
      </c>
      <c r="B209" t="s">
        <v>1186</v>
      </c>
      <c r="C209" s="7">
        <v>45630</v>
      </c>
      <c r="D209" s="7">
        <v>45635</v>
      </c>
      <c r="E209" t="s">
        <v>69</v>
      </c>
      <c r="F209" t="s">
        <v>271</v>
      </c>
      <c r="G209" t="s">
        <v>1570</v>
      </c>
      <c r="H209" t="s">
        <v>25</v>
      </c>
      <c r="I209" t="s">
        <v>26</v>
      </c>
      <c r="J209" t="s">
        <v>27</v>
      </c>
      <c r="K209" t="s">
        <v>28</v>
      </c>
      <c r="L209" t="s">
        <v>63</v>
      </c>
      <c r="M209">
        <v>673001</v>
      </c>
      <c r="N209" t="s">
        <v>757</v>
      </c>
      <c r="O209" t="s">
        <v>138</v>
      </c>
      <c r="P209" t="s">
        <v>156</v>
      </c>
      <c r="Q209" t="s">
        <v>157</v>
      </c>
      <c r="R209" s="8">
        <v>368.61</v>
      </c>
      <c r="S209">
        <v>1</v>
      </c>
      <c r="T209">
        <v>0.05</v>
      </c>
      <c r="U209" s="8">
        <v>60.15</v>
      </c>
      <c r="V209" t="s">
        <v>1561</v>
      </c>
      <c r="W209" t="s">
        <v>1561</v>
      </c>
    </row>
    <row r="210" spans="1:23">
      <c r="A210">
        <v>1209</v>
      </c>
      <c r="B210" t="s">
        <v>474</v>
      </c>
      <c r="C210" s="7">
        <v>45576</v>
      </c>
      <c r="D210" s="7">
        <v>45580</v>
      </c>
      <c r="E210" t="s">
        <v>22</v>
      </c>
      <c r="F210" t="s">
        <v>378</v>
      </c>
      <c r="G210" t="s">
        <v>1566</v>
      </c>
      <c r="H210" t="s">
        <v>25</v>
      </c>
      <c r="I210" t="s">
        <v>26</v>
      </c>
      <c r="J210" t="s">
        <v>79</v>
      </c>
      <c r="K210" t="s">
        <v>80</v>
      </c>
      <c r="L210" t="s">
        <v>29</v>
      </c>
      <c r="M210">
        <v>110001</v>
      </c>
      <c r="N210" t="s">
        <v>475</v>
      </c>
      <c r="O210" t="s">
        <v>188</v>
      </c>
      <c r="P210" t="s">
        <v>189</v>
      </c>
      <c r="Q210" t="s">
        <v>190</v>
      </c>
      <c r="R210" s="8">
        <v>4206.07</v>
      </c>
      <c r="S210">
        <v>1</v>
      </c>
      <c r="T210">
        <v>0.25</v>
      </c>
      <c r="U210" s="8">
        <v>-124.99</v>
      </c>
      <c r="V210" t="s">
        <v>1561</v>
      </c>
      <c r="W210" t="s">
        <v>1561</v>
      </c>
    </row>
    <row r="211" spans="1:23">
      <c r="A211">
        <v>1210</v>
      </c>
      <c r="B211" t="s">
        <v>690</v>
      </c>
      <c r="C211" s="7">
        <v>45386</v>
      </c>
      <c r="D211" s="7">
        <v>45391</v>
      </c>
      <c r="E211" t="s">
        <v>101</v>
      </c>
      <c r="F211" t="s">
        <v>395</v>
      </c>
      <c r="G211" t="s">
        <v>1572</v>
      </c>
      <c r="H211" t="s">
        <v>51</v>
      </c>
      <c r="I211" t="s">
        <v>26</v>
      </c>
      <c r="J211" t="s">
        <v>226</v>
      </c>
      <c r="K211" t="s">
        <v>110</v>
      </c>
      <c r="L211" t="s">
        <v>92</v>
      </c>
      <c r="M211">
        <v>695001</v>
      </c>
      <c r="N211" t="s">
        <v>691</v>
      </c>
      <c r="O211" t="s">
        <v>83</v>
      </c>
      <c r="P211" t="s">
        <v>33</v>
      </c>
      <c r="Q211" t="s">
        <v>34</v>
      </c>
      <c r="R211" s="8">
        <v>1078.98</v>
      </c>
      <c r="S211">
        <v>1</v>
      </c>
      <c r="T211">
        <v>0.25</v>
      </c>
      <c r="U211" s="8">
        <v>106.32</v>
      </c>
      <c r="V211" t="s">
        <v>1561</v>
      </c>
      <c r="W211" t="s">
        <v>1561</v>
      </c>
    </row>
    <row r="212" spans="1:23">
      <c r="A212">
        <v>1211</v>
      </c>
      <c r="B212" t="s">
        <v>282</v>
      </c>
      <c r="C212" s="7">
        <v>45505</v>
      </c>
      <c r="D212" s="7">
        <v>45510</v>
      </c>
      <c r="E212" t="s">
        <v>69</v>
      </c>
      <c r="F212" t="s">
        <v>262</v>
      </c>
      <c r="G212" t="s">
        <v>1565</v>
      </c>
      <c r="H212" t="s">
        <v>25</v>
      </c>
      <c r="I212" t="s">
        <v>26</v>
      </c>
      <c r="J212" t="s">
        <v>160</v>
      </c>
      <c r="K212" t="s">
        <v>161</v>
      </c>
      <c r="L212" t="s">
        <v>63</v>
      </c>
      <c r="M212">
        <v>682001</v>
      </c>
      <c r="N212" t="s">
        <v>196</v>
      </c>
      <c r="O212" t="s">
        <v>44</v>
      </c>
      <c r="P212" t="s">
        <v>211</v>
      </c>
      <c r="Q212" t="s">
        <v>212</v>
      </c>
      <c r="R212" s="8">
        <v>5651.92</v>
      </c>
      <c r="S212">
        <v>6</v>
      </c>
      <c r="T212">
        <v>0.25</v>
      </c>
      <c r="U212" s="8">
        <v>-339.69</v>
      </c>
      <c r="V212" t="s">
        <v>1561</v>
      </c>
      <c r="W212" t="s">
        <v>1561</v>
      </c>
    </row>
    <row r="213" spans="1:23">
      <c r="A213">
        <v>1212</v>
      </c>
      <c r="B213" t="s">
        <v>431</v>
      </c>
      <c r="C213" s="7">
        <v>45566</v>
      </c>
      <c r="D213" s="7">
        <v>45572</v>
      </c>
      <c r="E213" t="s">
        <v>69</v>
      </c>
      <c r="F213" t="s">
        <v>337</v>
      </c>
      <c r="G213" t="s">
        <v>1570</v>
      </c>
      <c r="H213" t="s">
        <v>108</v>
      </c>
      <c r="I213" t="s">
        <v>26</v>
      </c>
      <c r="J213" t="s">
        <v>90</v>
      </c>
      <c r="K213" t="s">
        <v>91</v>
      </c>
      <c r="L213" t="s">
        <v>29</v>
      </c>
      <c r="M213">
        <v>400001</v>
      </c>
      <c r="N213" t="s">
        <v>432</v>
      </c>
      <c r="O213" t="s">
        <v>44</v>
      </c>
      <c r="P213" t="s">
        <v>45</v>
      </c>
      <c r="Q213" t="s">
        <v>46</v>
      </c>
      <c r="R213" s="8">
        <v>168226.74</v>
      </c>
      <c r="S213">
        <v>5</v>
      </c>
      <c r="T213">
        <v>0</v>
      </c>
      <c r="U213" s="8">
        <v>18453.32</v>
      </c>
      <c r="V213" t="s">
        <v>1561</v>
      </c>
      <c r="W213" t="s">
        <v>1561</v>
      </c>
    </row>
    <row r="214" spans="1:23">
      <c r="A214">
        <v>1213</v>
      </c>
      <c r="B214" t="s">
        <v>519</v>
      </c>
      <c r="C214" s="7">
        <v>45537</v>
      </c>
      <c r="D214" s="7">
        <v>45539</v>
      </c>
      <c r="E214" t="s">
        <v>48</v>
      </c>
      <c r="F214" t="s">
        <v>520</v>
      </c>
      <c r="G214" t="s">
        <v>1579</v>
      </c>
      <c r="H214" t="s">
        <v>108</v>
      </c>
      <c r="I214" t="s">
        <v>26</v>
      </c>
      <c r="J214" t="s">
        <v>79</v>
      </c>
      <c r="K214" t="s">
        <v>80</v>
      </c>
      <c r="L214" t="s">
        <v>41</v>
      </c>
      <c r="M214">
        <v>682001</v>
      </c>
      <c r="N214" t="s">
        <v>522</v>
      </c>
      <c r="O214" t="s">
        <v>44</v>
      </c>
      <c r="P214" t="s">
        <v>207</v>
      </c>
      <c r="Q214" t="s">
        <v>208</v>
      </c>
      <c r="R214" s="8">
        <v>43487</v>
      </c>
      <c r="S214">
        <v>2</v>
      </c>
      <c r="T214">
        <v>0.1</v>
      </c>
      <c r="U214" s="8">
        <v>2005.38</v>
      </c>
      <c r="V214" t="s">
        <v>1561</v>
      </c>
      <c r="W214" t="s">
        <v>1583</v>
      </c>
    </row>
    <row r="215" spans="1:23">
      <c r="A215">
        <v>1214</v>
      </c>
      <c r="B215" t="s">
        <v>507</v>
      </c>
      <c r="C215" s="7">
        <v>45648</v>
      </c>
      <c r="D215" s="7">
        <v>45653</v>
      </c>
      <c r="E215" t="s">
        <v>69</v>
      </c>
      <c r="F215" t="s">
        <v>238</v>
      </c>
      <c r="G215" t="s">
        <v>1567</v>
      </c>
      <c r="H215" t="s">
        <v>25</v>
      </c>
      <c r="I215" t="s">
        <v>26</v>
      </c>
      <c r="J215" t="s">
        <v>160</v>
      </c>
      <c r="K215" t="s">
        <v>161</v>
      </c>
      <c r="L215" t="s">
        <v>92</v>
      </c>
      <c r="M215">
        <v>600001</v>
      </c>
      <c r="N215" t="s">
        <v>508</v>
      </c>
      <c r="O215" t="s">
        <v>44</v>
      </c>
      <c r="P215" t="s">
        <v>45</v>
      </c>
      <c r="Q215" t="s">
        <v>46</v>
      </c>
      <c r="R215" s="8">
        <v>128387.58</v>
      </c>
      <c r="S215">
        <v>4</v>
      </c>
      <c r="T215">
        <v>0.1</v>
      </c>
      <c r="U215" s="8">
        <v>6897.41</v>
      </c>
      <c r="V215" t="s">
        <v>1561</v>
      </c>
      <c r="W215" t="s">
        <v>1561</v>
      </c>
    </row>
    <row r="216" spans="1:23">
      <c r="A216">
        <v>1215</v>
      </c>
      <c r="B216" t="s">
        <v>1514</v>
      </c>
      <c r="C216" s="7">
        <v>45449</v>
      </c>
      <c r="D216" s="7">
        <v>45452</v>
      </c>
      <c r="E216" t="s">
        <v>48</v>
      </c>
      <c r="F216" t="s">
        <v>541</v>
      </c>
      <c r="G216" t="s">
        <v>1567</v>
      </c>
      <c r="H216" t="s">
        <v>51</v>
      </c>
      <c r="I216" t="s">
        <v>26</v>
      </c>
      <c r="J216" t="s">
        <v>27</v>
      </c>
      <c r="K216" t="s">
        <v>28</v>
      </c>
      <c r="L216" t="s">
        <v>29</v>
      </c>
      <c r="M216">
        <v>560001</v>
      </c>
      <c r="N216" t="s">
        <v>1430</v>
      </c>
      <c r="O216" t="s">
        <v>55</v>
      </c>
      <c r="P216" t="s">
        <v>66</v>
      </c>
      <c r="Q216" t="s">
        <v>67</v>
      </c>
      <c r="R216" s="8">
        <v>19913.39</v>
      </c>
      <c r="S216">
        <v>3</v>
      </c>
      <c r="T216">
        <v>0.2</v>
      </c>
      <c r="U216" s="8">
        <v>483.02</v>
      </c>
      <c r="V216" t="s">
        <v>1561</v>
      </c>
      <c r="W216" t="s">
        <v>1561</v>
      </c>
    </row>
    <row r="217" spans="1:23">
      <c r="A217">
        <v>1216</v>
      </c>
      <c r="B217" t="s">
        <v>535</v>
      </c>
      <c r="C217" s="7">
        <v>45481</v>
      </c>
      <c r="D217" s="7">
        <v>45484</v>
      </c>
      <c r="E217" t="s">
        <v>101</v>
      </c>
      <c r="F217" t="s">
        <v>517</v>
      </c>
      <c r="G217" t="s">
        <v>1574</v>
      </c>
      <c r="H217" t="s">
        <v>51</v>
      </c>
      <c r="I217" t="s">
        <v>26</v>
      </c>
      <c r="J217" t="s">
        <v>27</v>
      </c>
      <c r="K217" t="s">
        <v>28</v>
      </c>
      <c r="L217" t="s">
        <v>92</v>
      </c>
      <c r="M217">
        <v>400001</v>
      </c>
      <c r="N217" t="s">
        <v>536</v>
      </c>
      <c r="O217" t="s">
        <v>83</v>
      </c>
      <c r="P217" t="s">
        <v>33</v>
      </c>
      <c r="Q217" t="s">
        <v>34</v>
      </c>
      <c r="R217" s="8">
        <v>5940.14</v>
      </c>
      <c r="S217">
        <v>5</v>
      </c>
      <c r="T217">
        <v>0.1</v>
      </c>
      <c r="U217" s="8">
        <v>1242.6199999999999</v>
      </c>
      <c r="V217" t="s">
        <v>1561</v>
      </c>
      <c r="W217" t="s">
        <v>1561</v>
      </c>
    </row>
    <row r="218" spans="1:23">
      <c r="A218">
        <v>1217</v>
      </c>
      <c r="B218" t="s">
        <v>1399</v>
      </c>
      <c r="C218" s="7">
        <v>45443</v>
      </c>
      <c r="D218" s="7">
        <v>45445</v>
      </c>
      <c r="E218" t="s">
        <v>69</v>
      </c>
      <c r="F218" t="s">
        <v>744</v>
      </c>
      <c r="G218" t="s">
        <v>1565</v>
      </c>
      <c r="H218" t="s">
        <v>25</v>
      </c>
      <c r="I218" t="s">
        <v>26</v>
      </c>
      <c r="J218" t="s">
        <v>346</v>
      </c>
      <c r="K218" t="s">
        <v>132</v>
      </c>
      <c r="L218" t="s">
        <v>29</v>
      </c>
      <c r="M218">
        <v>600001</v>
      </c>
      <c r="N218" t="s">
        <v>1400</v>
      </c>
      <c r="O218" t="s">
        <v>55</v>
      </c>
      <c r="P218" t="s">
        <v>66</v>
      </c>
      <c r="Q218" t="s">
        <v>67</v>
      </c>
      <c r="R218" s="8">
        <v>19486.75</v>
      </c>
      <c r="S218">
        <v>3</v>
      </c>
      <c r="T218">
        <v>0.25</v>
      </c>
      <c r="U218" s="8">
        <v>-39</v>
      </c>
      <c r="V218" t="s">
        <v>1561</v>
      </c>
      <c r="W218" t="s">
        <v>1561</v>
      </c>
    </row>
    <row r="219" spans="1:23">
      <c r="A219">
        <v>1218</v>
      </c>
      <c r="B219" t="s">
        <v>1338</v>
      </c>
      <c r="C219" s="7">
        <v>45423</v>
      </c>
      <c r="D219" s="7">
        <v>45427</v>
      </c>
      <c r="E219" t="s">
        <v>101</v>
      </c>
      <c r="F219" t="s">
        <v>192</v>
      </c>
      <c r="G219" t="s">
        <v>1571</v>
      </c>
      <c r="H219" t="s">
        <v>25</v>
      </c>
      <c r="I219" t="s">
        <v>26</v>
      </c>
      <c r="J219" t="s">
        <v>72</v>
      </c>
      <c r="K219" t="s">
        <v>73</v>
      </c>
      <c r="L219" t="s">
        <v>63</v>
      </c>
      <c r="M219">
        <v>682001</v>
      </c>
      <c r="N219" t="s">
        <v>1339</v>
      </c>
      <c r="O219" t="s">
        <v>138</v>
      </c>
      <c r="P219" t="s">
        <v>182</v>
      </c>
      <c r="Q219" t="s">
        <v>183</v>
      </c>
      <c r="R219" s="8">
        <v>2352.31</v>
      </c>
      <c r="S219">
        <v>7</v>
      </c>
      <c r="T219">
        <v>0.2</v>
      </c>
      <c r="U219" s="8">
        <v>181.21</v>
      </c>
      <c r="V219" t="s">
        <v>1561</v>
      </c>
      <c r="W219" t="s">
        <v>1561</v>
      </c>
    </row>
    <row r="220" spans="1:23">
      <c r="A220">
        <v>1219</v>
      </c>
      <c r="B220" t="s">
        <v>158</v>
      </c>
      <c r="C220" s="7">
        <v>45560</v>
      </c>
      <c r="D220" s="7">
        <v>45561</v>
      </c>
      <c r="E220" t="s">
        <v>22</v>
      </c>
      <c r="F220" t="s">
        <v>159</v>
      </c>
      <c r="G220" t="s">
        <v>1566</v>
      </c>
      <c r="H220" t="s">
        <v>51</v>
      </c>
      <c r="I220" t="s">
        <v>26</v>
      </c>
      <c r="J220" t="s">
        <v>160</v>
      </c>
      <c r="K220" t="s">
        <v>161</v>
      </c>
      <c r="L220" t="s">
        <v>41</v>
      </c>
      <c r="M220">
        <v>110001</v>
      </c>
      <c r="N220" t="s">
        <v>162</v>
      </c>
      <c r="O220" t="s">
        <v>138</v>
      </c>
      <c r="P220" t="s">
        <v>121</v>
      </c>
      <c r="Q220" t="s">
        <v>122</v>
      </c>
      <c r="R220" s="8">
        <v>3633.4</v>
      </c>
      <c r="S220">
        <v>6</v>
      </c>
      <c r="T220">
        <v>0</v>
      </c>
      <c r="U220" s="8">
        <v>843.62</v>
      </c>
      <c r="V220" t="s">
        <v>1561</v>
      </c>
      <c r="W220" t="s">
        <v>1561</v>
      </c>
    </row>
    <row r="221" spans="1:23">
      <c r="A221">
        <v>1220</v>
      </c>
      <c r="B221" t="s">
        <v>1254</v>
      </c>
      <c r="C221" s="7">
        <v>45296</v>
      </c>
      <c r="D221" s="7">
        <v>45298</v>
      </c>
      <c r="E221" t="s">
        <v>101</v>
      </c>
      <c r="F221" t="s">
        <v>446</v>
      </c>
      <c r="G221" t="s">
        <v>1569</v>
      </c>
      <c r="H221" t="s">
        <v>25</v>
      </c>
      <c r="I221" t="s">
        <v>26</v>
      </c>
      <c r="J221" t="s">
        <v>109</v>
      </c>
      <c r="K221" t="s">
        <v>110</v>
      </c>
      <c r="L221" t="s">
        <v>29</v>
      </c>
      <c r="M221">
        <v>400001</v>
      </c>
      <c r="N221" t="s">
        <v>327</v>
      </c>
      <c r="O221" t="s">
        <v>44</v>
      </c>
      <c r="P221" t="s">
        <v>211</v>
      </c>
      <c r="Q221" t="s">
        <v>212</v>
      </c>
      <c r="R221" s="8">
        <v>1177.6199999999999</v>
      </c>
      <c r="S221">
        <v>1</v>
      </c>
      <c r="T221">
        <v>0.05</v>
      </c>
      <c r="U221" s="8">
        <v>72.16</v>
      </c>
      <c r="V221" t="s">
        <v>1561</v>
      </c>
      <c r="W221" t="s">
        <v>1561</v>
      </c>
    </row>
    <row r="222" spans="1:23">
      <c r="A222">
        <v>1221</v>
      </c>
      <c r="B222" t="s">
        <v>484</v>
      </c>
      <c r="C222" s="7">
        <v>45563</v>
      </c>
      <c r="D222" s="7">
        <v>45569</v>
      </c>
      <c r="E222" t="s">
        <v>48</v>
      </c>
      <c r="F222" t="s">
        <v>420</v>
      </c>
      <c r="G222" t="s">
        <v>1570</v>
      </c>
      <c r="H222" t="s">
        <v>51</v>
      </c>
      <c r="I222" t="s">
        <v>26</v>
      </c>
      <c r="J222" t="s">
        <v>346</v>
      </c>
      <c r="K222" t="s">
        <v>132</v>
      </c>
      <c r="L222" t="s">
        <v>41</v>
      </c>
      <c r="M222">
        <v>600001</v>
      </c>
      <c r="N222" t="s">
        <v>485</v>
      </c>
      <c r="O222" t="s">
        <v>44</v>
      </c>
      <c r="P222" t="s">
        <v>207</v>
      </c>
      <c r="Q222" t="s">
        <v>208</v>
      </c>
      <c r="R222" s="8">
        <v>97091.7</v>
      </c>
      <c r="S222">
        <v>2</v>
      </c>
      <c r="T222">
        <v>0</v>
      </c>
      <c r="U222" s="8">
        <v>13278.76</v>
      </c>
      <c r="V222" t="s">
        <v>1561</v>
      </c>
      <c r="W222" t="s">
        <v>1561</v>
      </c>
    </row>
    <row r="223" spans="1:23">
      <c r="A223">
        <v>1222</v>
      </c>
      <c r="B223" t="s">
        <v>394</v>
      </c>
      <c r="C223" s="7">
        <v>45346</v>
      </c>
      <c r="D223" s="7">
        <v>45347</v>
      </c>
      <c r="E223" t="s">
        <v>69</v>
      </c>
      <c r="F223" t="s">
        <v>395</v>
      </c>
      <c r="G223" t="s">
        <v>1565</v>
      </c>
      <c r="H223" t="s">
        <v>51</v>
      </c>
      <c r="I223" t="s">
        <v>26</v>
      </c>
      <c r="J223" t="s">
        <v>160</v>
      </c>
      <c r="K223" t="s">
        <v>161</v>
      </c>
      <c r="L223" t="s">
        <v>63</v>
      </c>
      <c r="M223">
        <v>110001</v>
      </c>
      <c r="N223" t="s">
        <v>396</v>
      </c>
      <c r="O223" t="s">
        <v>138</v>
      </c>
      <c r="P223" t="s">
        <v>156</v>
      </c>
      <c r="Q223" t="s">
        <v>157</v>
      </c>
      <c r="R223" s="8">
        <v>2476.17</v>
      </c>
      <c r="S223">
        <v>7</v>
      </c>
      <c r="T223">
        <v>0.05</v>
      </c>
      <c r="U223" s="8">
        <v>387.93</v>
      </c>
      <c r="V223" t="s">
        <v>1561</v>
      </c>
      <c r="W223" t="s">
        <v>1561</v>
      </c>
    </row>
    <row r="224" spans="1:23">
      <c r="A224">
        <v>1223</v>
      </c>
      <c r="B224" t="s">
        <v>1019</v>
      </c>
      <c r="C224" s="7">
        <v>45527</v>
      </c>
      <c r="D224" s="7">
        <v>45532</v>
      </c>
      <c r="E224" t="s">
        <v>69</v>
      </c>
      <c r="F224" t="s">
        <v>324</v>
      </c>
      <c r="G224" t="s">
        <v>1565</v>
      </c>
      <c r="H224" t="s">
        <v>51</v>
      </c>
      <c r="I224" t="s">
        <v>26</v>
      </c>
      <c r="J224" t="s">
        <v>115</v>
      </c>
      <c r="K224" t="s">
        <v>116</v>
      </c>
      <c r="L224" t="s">
        <v>63</v>
      </c>
      <c r="M224">
        <v>400001</v>
      </c>
      <c r="N224" t="s">
        <v>949</v>
      </c>
      <c r="O224" t="s">
        <v>83</v>
      </c>
      <c r="P224" t="s">
        <v>84</v>
      </c>
      <c r="Q224" t="s">
        <v>85</v>
      </c>
      <c r="R224" s="8">
        <v>5040.2299999999996</v>
      </c>
      <c r="S224">
        <v>2</v>
      </c>
      <c r="T224">
        <v>0.25</v>
      </c>
      <c r="U224" s="8">
        <v>539.64</v>
      </c>
      <c r="V224" t="s">
        <v>1561</v>
      </c>
      <c r="W224" t="s">
        <v>1561</v>
      </c>
    </row>
    <row r="225" spans="1:23">
      <c r="A225">
        <v>1224</v>
      </c>
      <c r="B225" t="s">
        <v>677</v>
      </c>
      <c r="C225" s="7">
        <v>45339</v>
      </c>
      <c r="D225" s="7">
        <v>45343</v>
      </c>
      <c r="E225" t="s">
        <v>101</v>
      </c>
      <c r="F225" t="s">
        <v>678</v>
      </c>
      <c r="G225" t="s">
        <v>1568</v>
      </c>
      <c r="H225" t="s">
        <v>25</v>
      </c>
      <c r="I225" t="s">
        <v>26</v>
      </c>
      <c r="J225" t="s">
        <v>61</v>
      </c>
      <c r="K225" t="s">
        <v>62</v>
      </c>
      <c r="L225" t="s">
        <v>29</v>
      </c>
      <c r="M225">
        <v>673001</v>
      </c>
      <c r="N225" t="s">
        <v>679</v>
      </c>
      <c r="O225" t="s">
        <v>44</v>
      </c>
      <c r="P225" t="s">
        <v>45</v>
      </c>
      <c r="Q225" t="s">
        <v>46</v>
      </c>
      <c r="R225" s="8">
        <v>193996.83</v>
      </c>
      <c r="S225">
        <v>5</v>
      </c>
      <c r="T225">
        <v>0</v>
      </c>
      <c r="U225" s="8">
        <v>24043.15</v>
      </c>
      <c r="V225" t="s">
        <v>1561</v>
      </c>
      <c r="W225" t="s">
        <v>1561</v>
      </c>
    </row>
    <row r="226" spans="1:23">
      <c r="A226">
        <v>1225</v>
      </c>
      <c r="B226" t="s">
        <v>1292</v>
      </c>
      <c r="C226" s="7">
        <v>45622</v>
      </c>
      <c r="D226" s="7">
        <v>45625</v>
      </c>
      <c r="E226" t="s">
        <v>22</v>
      </c>
      <c r="F226" t="s">
        <v>177</v>
      </c>
      <c r="G226" t="s">
        <v>1568</v>
      </c>
      <c r="H226" t="s">
        <v>51</v>
      </c>
      <c r="I226" t="s">
        <v>26</v>
      </c>
      <c r="J226" t="s">
        <v>346</v>
      </c>
      <c r="K226" t="s">
        <v>132</v>
      </c>
      <c r="L226" t="s">
        <v>41</v>
      </c>
      <c r="M226">
        <v>682001</v>
      </c>
      <c r="N226" t="s">
        <v>1293</v>
      </c>
      <c r="O226" t="s">
        <v>83</v>
      </c>
      <c r="P226" t="s">
        <v>33</v>
      </c>
      <c r="Q226" t="s">
        <v>34</v>
      </c>
      <c r="R226" s="8">
        <v>3087.63</v>
      </c>
      <c r="S226">
        <v>3</v>
      </c>
      <c r="T226">
        <v>0.25</v>
      </c>
      <c r="U226" s="8">
        <v>213.91</v>
      </c>
      <c r="V226" t="s">
        <v>1561</v>
      </c>
      <c r="W226" t="s">
        <v>1561</v>
      </c>
    </row>
    <row r="227" spans="1:23">
      <c r="A227">
        <v>1226</v>
      </c>
      <c r="B227" t="s">
        <v>1085</v>
      </c>
      <c r="C227" s="7">
        <v>45330</v>
      </c>
      <c r="D227" s="7">
        <v>45336</v>
      </c>
      <c r="E227" t="s">
        <v>48</v>
      </c>
      <c r="F227" t="s">
        <v>315</v>
      </c>
      <c r="G227" t="s">
        <v>1568</v>
      </c>
      <c r="H227" t="s">
        <v>108</v>
      </c>
      <c r="I227" t="s">
        <v>26</v>
      </c>
      <c r="J227" t="s">
        <v>61</v>
      </c>
      <c r="K227" t="s">
        <v>62</v>
      </c>
      <c r="L227" t="s">
        <v>41</v>
      </c>
      <c r="M227">
        <v>682001</v>
      </c>
      <c r="N227" t="s">
        <v>1086</v>
      </c>
      <c r="O227" t="s">
        <v>83</v>
      </c>
      <c r="P227" t="s">
        <v>33</v>
      </c>
      <c r="Q227" t="s">
        <v>34</v>
      </c>
      <c r="R227" s="8">
        <v>4386.24</v>
      </c>
      <c r="S227">
        <v>3</v>
      </c>
      <c r="T227">
        <v>0</v>
      </c>
      <c r="U227" s="8">
        <v>1128.58</v>
      </c>
      <c r="V227" t="s">
        <v>1561</v>
      </c>
      <c r="W227" t="s">
        <v>1561</v>
      </c>
    </row>
    <row r="228" spans="1:23">
      <c r="A228">
        <v>1227</v>
      </c>
      <c r="B228" t="s">
        <v>1168</v>
      </c>
      <c r="C228" s="7">
        <v>45331</v>
      </c>
      <c r="D228" s="7">
        <v>45334</v>
      </c>
      <c r="E228" t="s">
        <v>69</v>
      </c>
      <c r="F228" t="s">
        <v>931</v>
      </c>
      <c r="G228" t="s">
        <v>1565</v>
      </c>
      <c r="H228" t="s">
        <v>108</v>
      </c>
      <c r="I228" t="s">
        <v>26</v>
      </c>
      <c r="J228" t="s">
        <v>226</v>
      </c>
      <c r="K228" t="s">
        <v>110</v>
      </c>
      <c r="L228" t="s">
        <v>29</v>
      </c>
      <c r="M228">
        <v>400001</v>
      </c>
      <c r="N228" t="s">
        <v>893</v>
      </c>
      <c r="O228" t="s">
        <v>44</v>
      </c>
      <c r="P228" t="s">
        <v>207</v>
      </c>
      <c r="Q228" t="s">
        <v>208</v>
      </c>
      <c r="R228" s="8">
        <v>115581.44</v>
      </c>
      <c r="S228">
        <v>3</v>
      </c>
      <c r="T228">
        <v>0.25</v>
      </c>
      <c r="U228" s="8">
        <v>-7300.91</v>
      </c>
      <c r="V228" t="s">
        <v>1561</v>
      </c>
      <c r="W228" t="s">
        <v>1561</v>
      </c>
    </row>
    <row r="229" spans="1:23">
      <c r="A229">
        <v>1228</v>
      </c>
      <c r="B229" t="s">
        <v>336</v>
      </c>
      <c r="C229" s="7">
        <v>45548</v>
      </c>
      <c r="D229" s="7">
        <v>45554</v>
      </c>
      <c r="E229" t="s">
        <v>48</v>
      </c>
      <c r="F229" t="s">
        <v>337</v>
      </c>
      <c r="G229" t="s">
        <v>1573</v>
      </c>
      <c r="H229" t="s">
        <v>25</v>
      </c>
      <c r="I229" t="s">
        <v>26</v>
      </c>
      <c r="J229" t="s">
        <v>226</v>
      </c>
      <c r="K229" t="s">
        <v>110</v>
      </c>
      <c r="L229" t="s">
        <v>29</v>
      </c>
      <c r="M229">
        <v>682001</v>
      </c>
      <c r="N229" t="s">
        <v>338</v>
      </c>
      <c r="O229" t="s">
        <v>55</v>
      </c>
      <c r="P229" t="s">
        <v>98</v>
      </c>
      <c r="Q229" t="s">
        <v>99</v>
      </c>
      <c r="R229" s="8">
        <v>6001.87</v>
      </c>
      <c r="S229">
        <v>1</v>
      </c>
      <c r="T229">
        <v>0</v>
      </c>
      <c r="U229" s="8">
        <v>956.76</v>
      </c>
      <c r="V229" t="s">
        <v>1561</v>
      </c>
      <c r="W229" t="s">
        <v>1561</v>
      </c>
    </row>
    <row r="230" spans="1:23">
      <c r="A230">
        <v>1229</v>
      </c>
      <c r="B230" t="s">
        <v>876</v>
      </c>
      <c r="C230" s="7">
        <v>45459</v>
      </c>
      <c r="D230" s="7">
        <v>45460</v>
      </c>
      <c r="E230" t="s">
        <v>48</v>
      </c>
      <c r="F230" t="s">
        <v>274</v>
      </c>
      <c r="G230" t="s">
        <v>1562</v>
      </c>
      <c r="H230" t="s">
        <v>25</v>
      </c>
      <c r="I230" t="s">
        <v>26</v>
      </c>
      <c r="J230" t="s">
        <v>131</v>
      </c>
      <c r="K230" t="s">
        <v>132</v>
      </c>
      <c r="L230" t="s">
        <v>29</v>
      </c>
      <c r="M230">
        <v>682001</v>
      </c>
      <c r="N230" t="s">
        <v>877</v>
      </c>
      <c r="O230" t="s">
        <v>55</v>
      </c>
      <c r="P230" t="s">
        <v>56</v>
      </c>
      <c r="Q230" t="s">
        <v>57</v>
      </c>
      <c r="R230" s="8">
        <v>14933.43</v>
      </c>
      <c r="S230">
        <v>3</v>
      </c>
      <c r="T230">
        <v>0.25</v>
      </c>
      <c r="U230" s="8">
        <v>-36.75</v>
      </c>
      <c r="V230" t="s">
        <v>1561</v>
      </c>
      <c r="W230" t="s">
        <v>1561</v>
      </c>
    </row>
    <row r="231" spans="1:23">
      <c r="A231">
        <v>1230</v>
      </c>
      <c r="B231" t="s">
        <v>1098</v>
      </c>
      <c r="C231" s="7">
        <v>45335</v>
      </c>
      <c r="D231" s="7">
        <v>45340</v>
      </c>
      <c r="E231" t="s">
        <v>48</v>
      </c>
      <c r="F231" t="s">
        <v>398</v>
      </c>
      <c r="G231" t="s">
        <v>1565</v>
      </c>
      <c r="H231" t="s">
        <v>51</v>
      </c>
      <c r="I231" t="s">
        <v>26</v>
      </c>
      <c r="J231" t="s">
        <v>52</v>
      </c>
      <c r="K231" t="s">
        <v>52</v>
      </c>
      <c r="L231" t="s">
        <v>41</v>
      </c>
      <c r="M231">
        <v>673001</v>
      </c>
      <c r="N231" t="s">
        <v>1099</v>
      </c>
      <c r="O231" t="s">
        <v>55</v>
      </c>
      <c r="P231" t="s">
        <v>98</v>
      </c>
      <c r="Q231" t="s">
        <v>99</v>
      </c>
      <c r="R231" s="8">
        <v>17836.96</v>
      </c>
      <c r="S231">
        <v>4</v>
      </c>
      <c r="T231">
        <v>0.25</v>
      </c>
      <c r="U231" s="8">
        <v>-36.090000000000003</v>
      </c>
      <c r="V231" t="s">
        <v>1561</v>
      </c>
      <c r="W231" t="s">
        <v>1561</v>
      </c>
    </row>
    <row r="232" spans="1:23">
      <c r="A232">
        <v>1231</v>
      </c>
      <c r="B232" t="s">
        <v>1365</v>
      </c>
      <c r="C232" s="7">
        <v>45454</v>
      </c>
      <c r="D232" s="7">
        <v>45457</v>
      </c>
      <c r="E232" t="s">
        <v>22</v>
      </c>
      <c r="F232" t="s">
        <v>185</v>
      </c>
      <c r="G232" t="s">
        <v>1569</v>
      </c>
      <c r="H232" t="s">
        <v>25</v>
      </c>
      <c r="I232" t="s">
        <v>26</v>
      </c>
      <c r="J232" t="s">
        <v>166</v>
      </c>
      <c r="K232" t="s">
        <v>132</v>
      </c>
      <c r="L232" t="s">
        <v>63</v>
      </c>
      <c r="M232">
        <v>560001</v>
      </c>
      <c r="N232" t="s">
        <v>1347</v>
      </c>
      <c r="O232" t="s">
        <v>55</v>
      </c>
      <c r="P232" t="s">
        <v>98</v>
      </c>
      <c r="Q232" t="s">
        <v>99</v>
      </c>
      <c r="R232" s="8">
        <v>13518.78</v>
      </c>
      <c r="S232">
        <v>3</v>
      </c>
      <c r="T232">
        <v>0.25</v>
      </c>
      <c r="U232" s="8">
        <v>-36.32</v>
      </c>
      <c r="V232" t="s">
        <v>1561</v>
      </c>
      <c r="W232" t="s">
        <v>1561</v>
      </c>
    </row>
    <row r="233" spans="1:23">
      <c r="A233">
        <v>1232</v>
      </c>
      <c r="B233" t="s">
        <v>228</v>
      </c>
      <c r="C233" s="7">
        <v>45521</v>
      </c>
      <c r="D233" s="7">
        <v>45526</v>
      </c>
      <c r="E233" t="s">
        <v>101</v>
      </c>
      <c r="F233" t="s">
        <v>173</v>
      </c>
      <c r="G233" t="s">
        <v>1569</v>
      </c>
      <c r="H233" t="s">
        <v>51</v>
      </c>
      <c r="I233" t="s">
        <v>26</v>
      </c>
      <c r="J233" t="s">
        <v>27</v>
      </c>
      <c r="K233" t="s">
        <v>28</v>
      </c>
      <c r="L233" t="s">
        <v>41</v>
      </c>
      <c r="M233">
        <v>695001</v>
      </c>
      <c r="N233" t="s">
        <v>230</v>
      </c>
      <c r="O233" t="s">
        <v>55</v>
      </c>
      <c r="P233" t="s">
        <v>66</v>
      </c>
      <c r="Q233" t="s">
        <v>67</v>
      </c>
      <c r="R233" s="8">
        <v>6625.97</v>
      </c>
      <c r="S233">
        <v>1</v>
      </c>
      <c r="T233">
        <v>0.25</v>
      </c>
      <c r="U233" s="8">
        <v>-17.260000000000002</v>
      </c>
      <c r="V233" t="s">
        <v>1561</v>
      </c>
      <c r="W233" t="s">
        <v>1561</v>
      </c>
    </row>
    <row r="234" spans="1:23">
      <c r="A234">
        <v>1233</v>
      </c>
      <c r="B234" t="s">
        <v>261</v>
      </c>
      <c r="C234" s="7">
        <v>45298</v>
      </c>
      <c r="D234" s="7">
        <v>45301</v>
      </c>
      <c r="E234" t="s">
        <v>101</v>
      </c>
      <c r="F234" t="s">
        <v>262</v>
      </c>
      <c r="G234" t="s">
        <v>1575</v>
      </c>
      <c r="H234" t="s">
        <v>25</v>
      </c>
      <c r="I234" t="s">
        <v>26</v>
      </c>
      <c r="J234" t="s">
        <v>131</v>
      </c>
      <c r="K234" t="s">
        <v>132</v>
      </c>
      <c r="L234" t="s">
        <v>41</v>
      </c>
      <c r="M234">
        <v>400001</v>
      </c>
      <c r="N234" t="s">
        <v>264</v>
      </c>
      <c r="O234" t="s">
        <v>138</v>
      </c>
      <c r="P234" t="s">
        <v>139</v>
      </c>
      <c r="Q234" t="s">
        <v>140</v>
      </c>
      <c r="R234" s="8">
        <v>1530.38</v>
      </c>
      <c r="S234">
        <v>2</v>
      </c>
      <c r="T234">
        <v>0.25</v>
      </c>
      <c r="U234" s="8">
        <v>53.8</v>
      </c>
      <c r="V234" t="s">
        <v>1561</v>
      </c>
      <c r="W234" t="s">
        <v>1561</v>
      </c>
    </row>
    <row r="235" spans="1:23">
      <c r="A235">
        <v>1234</v>
      </c>
      <c r="B235" t="s">
        <v>1278</v>
      </c>
      <c r="C235" s="7">
        <v>45363</v>
      </c>
      <c r="D235" s="7">
        <v>45366</v>
      </c>
      <c r="E235" t="s">
        <v>48</v>
      </c>
      <c r="F235" t="s">
        <v>266</v>
      </c>
      <c r="G235" t="s">
        <v>1562</v>
      </c>
      <c r="H235" t="s">
        <v>51</v>
      </c>
      <c r="I235" t="s">
        <v>26</v>
      </c>
      <c r="J235" t="s">
        <v>72</v>
      </c>
      <c r="K235" t="s">
        <v>73</v>
      </c>
      <c r="L235" t="s">
        <v>92</v>
      </c>
      <c r="M235">
        <v>673001</v>
      </c>
      <c r="N235" t="s">
        <v>1279</v>
      </c>
      <c r="O235" t="s">
        <v>138</v>
      </c>
      <c r="P235" t="s">
        <v>139</v>
      </c>
      <c r="Q235" t="s">
        <v>140</v>
      </c>
      <c r="R235" s="8">
        <v>3486.23</v>
      </c>
      <c r="S235">
        <v>4</v>
      </c>
      <c r="T235">
        <v>0.05</v>
      </c>
      <c r="U235" s="8">
        <v>691.56</v>
      </c>
      <c r="V235" t="s">
        <v>1561</v>
      </c>
      <c r="W235" t="s">
        <v>1561</v>
      </c>
    </row>
    <row r="236" spans="1:23">
      <c r="A236">
        <v>1235</v>
      </c>
      <c r="B236" t="s">
        <v>592</v>
      </c>
      <c r="C236" s="7">
        <v>45476</v>
      </c>
      <c r="D236" s="7">
        <v>45479</v>
      </c>
      <c r="E236" t="s">
        <v>69</v>
      </c>
      <c r="F236" t="s">
        <v>593</v>
      </c>
      <c r="G236" t="s">
        <v>1566</v>
      </c>
      <c r="H236" t="s">
        <v>51</v>
      </c>
      <c r="I236" t="s">
        <v>26</v>
      </c>
      <c r="J236" t="s">
        <v>109</v>
      </c>
      <c r="K236" t="s">
        <v>110</v>
      </c>
      <c r="L236" t="s">
        <v>29</v>
      </c>
      <c r="M236">
        <v>600001</v>
      </c>
      <c r="N236" t="s">
        <v>594</v>
      </c>
      <c r="O236" t="s">
        <v>55</v>
      </c>
      <c r="P236" t="s">
        <v>66</v>
      </c>
      <c r="Q236" t="s">
        <v>67</v>
      </c>
      <c r="R236" s="8">
        <v>24372.27</v>
      </c>
      <c r="S236">
        <v>3</v>
      </c>
      <c r="T236">
        <v>0</v>
      </c>
      <c r="U236" s="8">
        <v>4802.75</v>
      </c>
      <c r="V236" t="s">
        <v>1561</v>
      </c>
      <c r="W236" t="s">
        <v>1561</v>
      </c>
    </row>
    <row r="237" spans="1:23">
      <c r="A237">
        <v>1236</v>
      </c>
      <c r="B237" t="s">
        <v>397</v>
      </c>
      <c r="C237" s="7">
        <v>45462</v>
      </c>
      <c r="D237" s="7">
        <v>45467</v>
      </c>
      <c r="E237" t="s">
        <v>101</v>
      </c>
      <c r="F237" t="s">
        <v>398</v>
      </c>
      <c r="G237" t="s">
        <v>1572</v>
      </c>
      <c r="H237" t="s">
        <v>51</v>
      </c>
      <c r="I237" t="s">
        <v>26</v>
      </c>
      <c r="J237" t="s">
        <v>72</v>
      </c>
      <c r="K237" t="s">
        <v>73</v>
      </c>
      <c r="L237" t="s">
        <v>63</v>
      </c>
      <c r="M237">
        <v>560001</v>
      </c>
      <c r="N237" t="s">
        <v>143</v>
      </c>
      <c r="O237" t="s">
        <v>138</v>
      </c>
      <c r="P237" t="s">
        <v>182</v>
      </c>
      <c r="Q237" t="s">
        <v>183</v>
      </c>
      <c r="R237" s="8">
        <v>622.30999999999995</v>
      </c>
      <c r="S237">
        <v>2</v>
      </c>
      <c r="T237">
        <v>0.25</v>
      </c>
      <c r="U237" s="8">
        <v>28.82</v>
      </c>
      <c r="V237" t="s">
        <v>1561</v>
      </c>
      <c r="W237" t="s">
        <v>1561</v>
      </c>
    </row>
    <row r="238" spans="1:23">
      <c r="A238">
        <v>1237</v>
      </c>
      <c r="B238" t="s">
        <v>852</v>
      </c>
      <c r="C238" s="7">
        <v>45445</v>
      </c>
      <c r="D238" s="7">
        <v>45448</v>
      </c>
      <c r="E238" t="s">
        <v>69</v>
      </c>
      <c r="F238" t="s">
        <v>434</v>
      </c>
      <c r="G238" t="s">
        <v>1563</v>
      </c>
      <c r="H238" t="s">
        <v>25</v>
      </c>
      <c r="I238" t="s">
        <v>26</v>
      </c>
      <c r="J238" t="s">
        <v>109</v>
      </c>
      <c r="K238" t="s">
        <v>110</v>
      </c>
      <c r="L238" t="s">
        <v>92</v>
      </c>
      <c r="M238">
        <v>560001</v>
      </c>
      <c r="N238" t="s">
        <v>853</v>
      </c>
      <c r="O238" t="s">
        <v>188</v>
      </c>
      <c r="P238" t="s">
        <v>189</v>
      </c>
      <c r="Q238" t="s">
        <v>386</v>
      </c>
      <c r="R238" s="8">
        <v>7748.93</v>
      </c>
      <c r="S238">
        <v>4</v>
      </c>
      <c r="T238">
        <v>0.05</v>
      </c>
      <c r="U238" s="8">
        <v>903.28</v>
      </c>
      <c r="V238" t="s">
        <v>1561</v>
      </c>
      <c r="W238" t="s">
        <v>1561</v>
      </c>
    </row>
    <row r="239" spans="1:23">
      <c r="A239">
        <v>1238</v>
      </c>
      <c r="B239" t="s">
        <v>1104</v>
      </c>
      <c r="C239" s="7">
        <v>45458</v>
      </c>
      <c r="D239" s="7">
        <v>45462</v>
      </c>
      <c r="E239" t="s">
        <v>48</v>
      </c>
      <c r="F239" t="s">
        <v>159</v>
      </c>
      <c r="G239" t="s">
        <v>1575</v>
      </c>
      <c r="H239" t="s">
        <v>25</v>
      </c>
      <c r="I239" t="s">
        <v>26</v>
      </c>
      <c r="J239" t="s">
        <v>115</v>
      </c>
      <c r="K239" t="s">
        <v>116</v>
      </c>
      <c r="L239" t="s">
        <v>29</v>
      </c>
      <c r="M239">
        <v>695001</v>
      </c>
      <c r="N239" t="s">
        <v>407</v>
      </c>
      <c r="O239" t="s">
        <v>83</v>
      </c>
      <c r="P239" t="s">
        <v>33</v>
      </c>
      <c r="Q239" t="s">
        <v>34</v>
      </c>
      <c r="R239" s="8">
        <v>3796.75</v>
      </c>
      <c r="S239">
        <v>3</v>
      </c>
      <c r="T239">
        <v>0.1</v>
      </c>
      <c r="U239" s="8">
        <v>875.53</v>
      </c>
      <c r="V239" t="s">
        <v>1561</v>
      </c>
      <c r="W239" t="s">
        <v>1561</v>
      </c>
    </row>
    <row r="240" spans="1:23">
      <c r="A240">
        <v>1239</v>
      </c>
      <c r="B240" t="s">
        <v>863</v>
      </c>
      <c r="C240" s="7">
        <v>45528</v>
      </c>
      <c r="D240" s="7">
        <v>45534</v>
      </c>
      <c r="E240" t="s">
        <v>69</v>
      </c>
      <c r="F240" t="s">
        <v>560</v>
      </c>
      <c r="G240" t="s">
        <v>1575</v>
      </c>
      <c r="H240" t="s">
        <v>25</v>
      </c>
      <c r="I240" t="s">
        <v>26</v>
      </c>
      <c r="J240" t="s">
        <v>79</v>
      </c>
      <c r="K240" t="s">
        <v>80</v>
      </c>
      <c r="L240" t="s">
        <v>63</v>
      </c>
      <c r="M240">
        <v>110001</v>
      </c>
      <c r="N240" t="s">
        <v>710</v>
      </c>
      <c r="O240" t="s">
        <v>44</v>
      </c>
      <c r="P240" t="s">
        <v>211</v>
      </c>
      <c r="Q240" t="s">
        <v>223</v>
      </c>
      <c r="R240" s="8">
        <v>5031.76</v>
      </c>
      <c r="S240">
        <v>3</v>
      </c>
      <c r="T240">
        <v>0</v>
      </c>
      <c r="U240" s="8">
        <v>568.4</v>
      </c>
      <c r="V240" t="s">
        <v>1561</v>
      </c>
      <c r="W240" t="s">
        <v>1561</v>
      </c>
    </row>
    <row r="241" spans="1:23">
      <c r="A241">
        <v>1240</v>
      </c>
      <c r="B241" t="s">
        <v>694</v>
      </c>
      <c r="C241" s="7">
        <v>45363</v>
      </c>
      <c r="D241" s="7">
        <v>45369</v>
      </c>
      <c r="E241" t="s">
        <v>48</v>
      </c>
      <c r="F241" t="s">
        <v>395</v>
      </c>
      <c r="G241" t="s">
        <v>1570</v>
      </c>
      <c r="H241" t="s">
        <v>25</v>
      </c>
      <c r="I241" t="s">
        <v>26</v>
      </c>
      <c r="J241" t="s">
        <v>131</v>
      </c>
      <c r="K241" t="s">
        <v>132</v>
      </c>
      <c r="L241" t="s">
        <v>92</v>
      </c>
      <c r="M241">
        <v>400001</v>
      </c>
      <c r="N241" t="s">
        <v>695</v>
      </c>
      <c r="O241" t="s">
        <v>188</v>
      </c>
      <c r="P241" t="s">
        <v>189</v>
      </c>
      <c r="Q241" t="s">
        <v>386</v>
      </c>
      <c r="R241" s="8">
        <v>8278.18</v>
      </c>
      <c r="S241">
        <v>4</v>
      </c>
      <c r="T241">
        <v>0.3</v>
      </c>
      <c r="U241" s="8">
        <v>-544.29999999999995</v>
      </c>
      <c r="V241" t="s">
        <v>1561</v>
      </c>
      <c r="W241" t="s">
        <v>1583</v>
      </c>
    </row>
    <row r="242" spans="1:23">
      <c r="A242">
        <v>1241</v>
      </c>
      <c r="B242" t="s">
        <v>1327</v>
      </c>
      <c r="C242" s="7">
        <v>45590</v>
      </c>
      <c r="D242" s="7">
        <v>45594</v>
      </c>
      <c r="E242" t="s">
        <v>101</v>
      </c>
      <c r="F242" t="s">
        <v>130</v>
      </c>
      <c r="G242" t="s">
        <v>1569</v>
      </c>
      <c r="H242" t="s">
        <v>51</v>
      </c>
      <c r="I242" t="s">
        <v>26</v>
      </c>
      <c r="J242" t="s">
        <v>27</v>
      </c>
      <c r="K242" t="s">
        <v>28</v>
      </c>
      <c r="L242" t="s">
        <v>63</v>
      </c>
      <c r="M242">
        <v>400001</v>
      </c>
      <c r="N242" t="s">
        <v>1328</v>
      </c>
      <c r="O242" t="s">
        <v>55</v>
      </c>
      <c r="P242" t="s">
        <v>98</v>
      </c>
      <c r="Q242" t="s">
        <v>99</v>
      </c>
      <c r="R242" s="8">
        <v>36582.019999999997</v>
      </c>
      <c r="S242">
        <v>8</v>
      </c>
      <c r="T242">
        <v>0.3</v>
      </c>
      <c r="U242" s="8">
        <v>-1405.69</v>
      </c>
      <c r="V242" t="s">
        <v>1561</v>
      </c>
      <c r="W242" t="s">
        <v>1561</v>
      </c>
    </row>
    <row r="243" spans="1:23">
      <c r="A243">
        <v>1242</v>
      </c>
      <c r="B243" t="s">
        <v>1445</v>
      </c>
      <c r="C243" s="7">
        <v>45628</v>
      </c>
      <c r="D243" s="7">
        <v>45634</v>
      </c>
      <c r="E243" t="s">
        <v>48</v>
      </c>
      <c r="F243" t="s">
        <v>633</v>
      </c>
      <c r="G243" t="s">
        <v>1566</v>
      </c>
      <c r="H243" t="s">
        <v>25</v>
      </c>
      <c r="I243" t="s">
        <v>26</v>
      </c>
      <c r="J243" t="s">
        <v>52</v>
      </c>
      <c r="K243" t="s">
        <v>52</v>
      </c>
      <c r="L243" t="s">
        <v>41</v>
      </c>
      <c r="M243">
        <v>600001</v>
      </c>
      <c r="N243" t="s">
        <v>75</v>
      </c>
      <c r="O243" t="s">
        <v>138</v>
      </c>
      <c r="P243" t="s">
        <v>139</v>
      </c>
      <c r="Q243" t="s">
        <v>140</v>
      </c>
      <c r="R243" s="8">
        <v>848.78</v>
      </c>
      <c r="S243">
        <v>1</v>
      </c>
      <c r="T243">
        <v>0.1</v>
      </c>
      <c r="U243" s="8">
        <v>121.89</v>
      </c>
      <c r="V243" t="s">
        <v>1561</v>
      </c>
      <c r="W243" t="s">
        <v>1561</v>
      </c>
    </row>
    <row r="244" spans="1:23">
      <c r="A244">
        <v>1243</v>
      </c>
      <c r="B244" t="s">
        <v>1309</v>
      </c>
      <c r="C244" s="7">
        <v>45346</v>
      </c>
      <c r="D244" s="7">
        <v>45347</v>
      </c>
      <c r="E244" t="s">
        <v>22</v>
      </c>
      <c r="F244" t="s">
        <v>601</v>
      </c>
      <c r="G244" t="s">
        <v>1565</v>
      </c>
      <c r="H244" t="s">
        <v>51</v>
      </c>
      <c r="I244" t="s">
        <v>26</v>
      </c>
      <c r="J244" t="s">
        <v>90</v>
      </c>
      <c r="K244" t="s">
        <v>91</v>
      </c>
      <c r="L244" t="s">
        <v>92</v>
      </c>
      <c r="M244">
        <v>560001</v>
      </c>
      <c r="N244" t="s">
        <v>1310</v>
      </c>
      <c r="O244" t="s">
        <v>138</v>
      </c>
      <c r="P244" t="s">
        <v>156</v>
      </c>
      <c r="Q244" t="s">
        <v>157</v>
      </c>
      <c r="R244" s="8">
        <v>1155.3800000000001</v>
      </c>
      <c r="S244">
        <v>4</v>
      </c>
      <c r="T244">
        <v>0.25</v>
      </c>
      <c r="U244" s="8">
        <v>52.02</v>
      </c>
      <c r="V244" t="s">
        <v>1561</v>
      </c>
      <c r="W244" t="s">
        <v>1561</v>
      </c>
    </row>
    <row r="245" spans="1:23">
      <c r="A245">
        <v>1244</v>
      </c>
      <c r="B245" t="s">
        <v>1462</v>
      </c>
      <c r="C245" s="7">
        <v>45468</v>
      </c>
      <c r="D245" s="7">
        <v>45469</v>
      </c>
      <c r="E245" t="s">
        <v>101</v>
      </c>
      <c r="F245" t="s">
        <v>173</v>
      </c>
      <c r="G245" t="s">
        <v>1570</v>
      </c>
      <c r="H245" t="s">
        <v>25</v>
      </c>
      <c r="I245" t="s">
        <v>26</v>
      </c>
      <c r="J245" t="s">
        <v>109</v>
      </c>
      <c r="K245" t="s">
        <v>110</v>
      </c>
      <c r="L245" t="s">
        <v>29</v>
      </c>
      <c r="M245">
        <v>673001</v>
      </c>
      <c r="N245" t="s">
        <v>343</v>
      </c>
      <c r="O245" t="s">
        <v>138</v>
      </c>
      <c r="P245" t="s">
        <v>182</v>
      </c>
      <c r="Q245" t="s">
        <v>183</v>
      </c>
      <c r="R245" s="8">
        <v>1189.23</v>
      </c>
      <c r="S245">
        <v>3</v>
      </c>
      <c r="T245">
        <v>0.05</v>
      </c>
      <c r="U245" s="8">
        <v>177.38</v>
      </c>
      <c r="V245" t="s">
        <v>1561</v>
      </c>
      <c r="W245" t="s">
        <v>1561</v>
      </c>
    </row>
    <row r="246" spans="1:23">
      <c r="A246">
        <v>1245</v>
      </c>
      <c r="B246" t="s">
        <v>377</v>
      </c>
      <c r="C246" s="7">
        <v>45397</v>
      </c>
      <c r="D246" s="7">
        <v>45402</v>
      </c>
      <c r="E246" t="s">
        <v>101</v>
      </c>
      <c r="F246" t="s">
        <v>378</v>
      </c>
      <c r="G246" t="s">
        <v>1562</v>
      </c>
      <c r="H246" t="s">
        <v>51</v>
      </c>
      <c r="I246" t="s">
        <v>26</v>
      </c>
      <c r="J246" t="s">
        <v>61</v>
      </c>
      <c r="K246" t="s">
        <v>62</v>
      </c>
      <c r="L246" t="s">
        <v>41</v>
      </c>
      <c r="M246">
        <v>560001</v>
      </c>
      <c r="N246" t="s">
        <v>379</v>
      </c>
      <c r="O246" t="s">
        <v>83</v>
      </c>
      <c r="P246" t="s">
        <v>33</v>
      </c>
      <c r="Q246" t="s">
        <v>34</v>
      </c>
      <c r="R246" s="8">
        <v>2101.25</v>
      </c>
      <c r="S246">
        <v>2</v>
      </c>
      <c r="T246">
        <v>0.3</v>
      </c>
      <c r="U246" s="8">
        <v>138.12</v>
      </c>
      <c r="V246" t="s">
        <v>1561</v>
      </c>
      <c r="W246" t="s">
        <v>1561</v>
      </c>
    </row>
    <row r="247" spans="1:23">
      <c r="A247">
        <v>1246</v>
      </c>
      <c r="B247" t="s">
        <v>988</v>
      </c>
      <c r="C247" s="7">
        <v>45303</v>
      </c>
      <c r="D247" s="7">
        <v>45306</v>
      </c>
      <c r="E247" t="s">
        <v>22</v>
      </c>
      <c r="F247" t="s">
        <v>375</v>
      </c>
      <c r="G247" t="s">
        <v>1575</v>
      </c>
      <c r="H247" t="s">
        <v>51</v>
      </c>
      <c r="I247" t="s">
        <v>26</v>
      </c>
      <c r="J247" t="s">
        <v>160</v>
      </c>
      <c r="K247" t="s">
        <v>161</v>
      </c>
      <c r="L247" t="s">
        <v>92</v>
      </c>
      <c r="M247">
        <v>400001</v>
      </c>
      <c r="N247" t="s">
        <v>989</v>
      </c>
      <c r="O247" t="s">
        <v>138</v>
      </c>
      <c r="P247" t="s">
        <v>182</v>
      </c>
      <c r="Q247" t="s">
        <v>183</v>
      </c>
      <c r="R247" s="8">
        <v>893.61</v>
      </c>
      <c r="S247">
        <v>2</v>
      </c>
      <c r="T247">
        <v>0</v>
      </c>
      <c r="U247" s="8">
        <v>189.46</v>
      </c>
      <c r="V247" t="s">
        <v>1561</v>
      </c>
      <c r="W247" t="s">
        <v>1561</v>
      </c>
    </row>
    <row r="248" spans="1:23">
      <c r="A248">
        <v>1247</v>
      </c>
      <c r="B248" t="s">
        <v>1244</v>
      </c>
      <c r="C248" s="7">
        <v>45528</v>
      </c>
      <c r="D248" s="7">
        <v>45530</v>
      </c>
      <c r="E248" t="s">
        <v>101</v>
      </c>
      <c r="F248" t="s">
        <v>708</v>
      </c>
      <c r="G248" t="s">
        <v>1571</v>
      </c>
      <c r="H248" t="s">
        <v>25</v>
      </c>
      <c r="I248" t="s">
        <v>26</v>
      </c>
      <c r="J248" t="s">
        <v>52</v>
      </c>
      <c r="K248" t="s">
        <v>52</v>
      </c>
      <c r="L248" t="s">
        <v>92</v>
      </c>
      <c r="M248">
        <v>400001</v>
      </c>
      <c r="N248" t="s">
        <v>430</v>
      </c>
      <c r="O248" t="s">
        <v>44</v>
      </c>
      <c r="P248" t="s">
        <v>211</v>
      </c>
      <c r="Q248" t="s">
        <v>212</v>
      </c>
      <c r="R248" s="8">
        <v>1735.89</v>
      </c>
      <c r="S248">
        <v>2</v>
      </c>
      <c r="T248">
        <v>0.25</v>
      </c>
      <c r="U248" s="8">
        <v>-76.92</v>
      </c>
      <c r="V248" t="s">
        <v>1561</v>
      </c>
      <c r="W248" t="s">
        <v>1561</v>
      </c>
    </row>
    <row r="249" spans="1:23">
      <c r="A249">
        <v>1248</v>
      </c>
      <c r="B249" t="s">
        <v>454</v>
      </c>
      <c r="C249" s="7">
        <v>45522</v>
      </c>
      <c r="D249" s="7">
        <v>45527</v>
      </c>
      <c r="E249" t="s">
        <v>101</v>
      </c>
      <c r="F249" t="s">
        <v>262</v>
      </c>
      <c r="G249" t="s">
        <v>1569</v>
      </c>
      <c r="H249" t="s">
        <v>51</v>
      </c>
      <c r="I249" t="s">
        <v>26</v>
      </c>
      <c r="J249" t="s">
        <v>109</v>
      </c>
      <c r="K249" t="s">
        <v>110</v>
      </c>
      <c r="L249" t="s">
        <v>92</v>
      </c>
      <c r="M249">
        <v>682001</v>
      </c>
      <c r="N249" t="s">
        <v>455</v>
      </c>
      <c r="O249" t="s">
        <v>55</v>
      </c>
      <c r="P249" t="s">
        <v>98</v>
      </c>
      <c r="Q249" t="s">
        <v>99</v>
      </c>
      <c r="R249" s="8">
        <v>17179.63</v>
      </c>
      <c r="S249">
        <v>3</v>
      </c>
      <c r="T249">
        <v>0.1</v>
      </c>
      <c r="U249" s="8">
        <v>1512.4</v>
      </c>
      <c r="V249" t="s">
        <v>1561</v>
      </c>
      <c r="W249" t="s">
        <v>1561</v>
      </c>
    </row>
    <row r="250" spans="1:23">
      <c r="A250">
        <v>1249</v>
      </c>
      <c r="B250" t="s">
        <v>713</v>
      </c>
      <c r="C250" s="7">
        <v>45566</v>
      </c>
      <c r="D250" s="7">
        <v>45568</v>
      </c>
      <c r="E250" t="s">
        <v>48</v>
      </c>
      <c r="F250" t="s">
        <v>553</v>
      </c>
      <c r="G250" t="s">
        <v>1565</v>
      </c>
      <c r="H250" t="s">
        <v>25</v>
      </c>
      <c r="I250" t="s">
        <v>26</v>
      </c>
      <c r="J250" t="s">
        <v>27</v>
      </c>
      <c r="K250" t="s">
        <v>28</v>
      </c>
      <c r="L250" t="s">
        <v>29</v>
      </c>
      <c r="M250">
        <v>673001</v>
      </c>
      <c r="N250" t="s">
        <v>714</v>
      </c>
      <c r="O250" t="s">
        <v>83</v>
      </c>
      <c r="P250" t="s">
        <v>33</v>
      </c>
      <c r="Q250" t="s">
        <v>34</v>
      </c>
      <c r="R250" s="8">
        <v>1418.74</v>
      </c>
      <c r="S250">
        <v>1</v>
      </c>
      <c r="T250">
        <v>0</v>
      </c>
      <c r="U250" s="8">
        <v>279.8</v>
      </c>
      <c r="V250" t="s">
        <v>1561</v>
      </c>
      <c r="W250" t="s">
        <v>1561</v>
      </c>
    </row>
    <row r="251" spans="1:23">
      <c r="A251">
        <v>1250</v>
      </c>
      <c r="B251" t="s">
        <v>807</v>
      </c>
      <c r="C251" s="7">
        <v>45597</v>
      </c>
      <c r="D251" s="7">
        <v>45601</v>
      </c>
      <c r="E251" t="s">
        <v>101</v>
      </c>
      <c r="F251" t="s">
        <v>774</v>
      </c>
      <c r="G251" t="s">
        <v>1573</v>
      </c>
      <c r="H251" t="s">
        <v>51</v>
      </c>
      <c r="I251" t="s">
        <v>26</v>
      </c>
      <c r="J251" t="s">
        <v>90</v>
      </c>
      <c r="K251" t="s">
        <v>91</v>
      </c>
      <c r="L251" t="s">
        <v>63</v>
      </c>
      <c r="M251">
        <v>695001</v>
      </c>
      <c r="N251" t="s">
        <v>808</v>
      </c>
      <c r="O251" t="s">
        <v>188</v>
      </c>
      <c r="P251" t="s">
        <v>189</v>
      </c>
      <c r="Q251" t="s">
        <v>386</v>
      </c>
      <c r="R251" s="8">
        <v>13255.13</v>
      </c>
      <c r="S251">
        <v>7</v>
      </c>
      <c r="T251">
        <v>0.2</v>
      </c>
      <c r="U251" s="8">
        <v>-530.21</v>
      </c>
      <c r="V251" t="s">
        <v>1561</v>
      </c>
      <c r="W251" t="s">
        <v>1561</v>
      </c>
    </row>
    <row r="252" spans="1:23">
      <c r="A252">
        <v>1251</v>
      </c>
      <c r="B252" t="s">
        <v>380</v>
      </c>
      <c r="C252" s="7">
        <v>45606</v>
      </c>
      <c r="D252" s="7">
        <v>45611</v>
      </c>
      <c r="E252" t="s">
        <v>22</v>
      </c>
      <c r="F252" t="s">
        <v>375</v>
      </c>
      <c r="G252" t="s">
        <v>1571</v>
      </c>
      <c r="H252" t="s">
        <v>51</v>
      </c>
      <c r="I252" t="s">
        <v>26</v>
      </c>
      <c r="J252" t="s">
        <v>39</v>
      </c>
      <c r="K252" t="s">
        <v>40</v>
      </c>
      <c r="L252" t="s">
        <v>63</v>
      </c>
      <c r="M252">
        <v>673001</v>
      </c>
      <c r="N252" t="s">
        <v>381</v>
      </c>
      <c r="O252" t="s">
        <v>138</v>
      </c>
      <c r="P252" t="s">
        <v>139</v>
      </c>
      <c r="Q252" t="s">
        <v>140</v>
      </c>
      <c r="R252" s="8">
        <v>3332.41</v>
      </c>
      <c r="S252">
        <v>4</v>
      </c>
      <c r="T252">
        <v>0.15</v>
      </c>
      <c r="U252" s="8">
        <v>347.74</v>
      </c>
      <c r="V252" t="s">
        <v>1561</v>
      </c>
      <c r="W252" t="s">
        <v>1561</v>
      </c>
    </row>
    <row r="253" spans="1:23">
      <c r="A253">
        <v>1252</v>
      </c>
      <c r="B253" t="s">
        <v>1406</v>
      </c>
      <c r="C253" s="7">
        <v>45506</v>
      </c>
      <c r="D253" s="7">
        <v>45511</v>
      </c>
      <c r="E253" t="s">
        <v>69</v>
      </c>
      <c r="F253" t="s">
        <v>649</v>
      </c>
      <c r="G253" t="s">
        <v>1564</v>
      </c>
      <c r="H253" t="s">
        <v>51</v>
      </c>
      <c r="I253" t="s">
        <v>26</v>
      </c>
      <c r="J253" t="s">
        <v>115</v>
      </c>
      <c r="K253" t="s">
        <v>116</v>
      </c>
      <c r="L253" t="s">
        <v>41</v>
      </c>
      <c r="M253">
        <v>682001</v>
      </c>
      <c r="N253" t="s">
        <v>1067</v>
      </c>
      <c r="O253" t="s">
        <v>44</v>
      </c>
      <c r="P253" t="s">
        <v>45</v>
      </c>
      <c r="Q253" t="s">
        <v>46</v>
      </c>
      <c r="R253" s="8">
        <v>104708.64</v>
      </c>
      <c r="S253">
        <v>4</v>
      </c>
      <c r="T253">
        <v>0.25</v>
      </c>
      <c r="U253" s="8">
        <v>-6359.7</v>
      </c>
      <c r="V253" t="s">
        <v>1561</v>
      </c>
      <c r="W253" t="s">
        <v>1561</v>
      </c>
    </row>
    <row r="254" spans="1:23">
      <c r="A254">
        <v>1253</v>
      </c>
      <c r="B254" t="s">
        <v>1484</v>
      </c>
      <c r="C254" s="7">
        <v>45576</v>
      </c>
      <c r="D254" s="7">
        <v>45578</v>
      </c>
      <c r="E254" t="s">
        <v>101</v>
      </c>
      <c r="F254" t="s">
        <v>1014</v>
      </c>
      <c r="G254" t="s">
        <v>1571</v>
      </c>
      <c r="H254" t="s">
        <v>25</v>
      </c>
      <c r="I254" t="s">
        <v>26</v>
      </c>
      <c r="J254" t="s">
        <v>90</v>
      </c>
      <c r="K254" t="s">
        <v>91</v>
      </c>
      <c r="L254" t="s">
        <v>92</v>
      </c>
      <c r="M254">
        <v>695001</v>
      </c>
      <c r="N254" t="s">
        <v>1472</v>
      </c>
      <c r="O254" t="s">
        <v>138</v>
      </c>
      <c r="P254" t="s">
        <v>121</v>
      </c>
      <c r="Q254" t="s">
        <v>122</v>
      </c>
      <c r="R254" s="8">
        <v>1907.25</v>
      </c>
      <c r="S254">
        <v>3</v>
      </c>
      <c r="T254">
        <v>0.05</v>
      </c>
      <c r="U254" s="8">
        <v>265.57</v>
      </c>
      <c r="V254" t="s">
        <v>1561</v>
      </c>
      <c r="W254" t="s">
        <v>1561</v>
      </c>
    </row>
    <row r="255" spans="1:23">
      <c r="A255">
        <v>1254</v>
      </c>
      <c r="B255" t="s">
        <v>1197</v>
      </c>
      <c r="C255" s="7">
        <v>45540</v>
      </c>
      <c r="D255" s="7">
        <v>45542</v>
      </c>
      <c r="E255" t="s">
        <v>69</v>
      </c>
      <c r="F255" t="s">
        <v>159</v>
      </c>
      <c r="G255" t="s">
        <v>1564</v>
      </c>
      <c r="H255" t="s">
        <v>51</v>
      </c>
      <c r="I255" t="s">
        <v>26</v>
      </c>
      <c r="J255" t="s">
        <v>39</v>
      </c>
      <c r="K255" t="s">
        <v>40</v>
      </c>
      <c r="L255" t="s">
        <v>29</v>
      </c>
      <c r="M255">
        <v>560001</v>
      </c>
      <c r="N255" t="s">
        <v>128</v>
      </c>
      <c r="O255" t="s">
        <v>138</v>
      </c>
      <c r="P255" t="s">
        <v>139</v>
      </c>
      <c r="Q255" t="s">
        <v>140</v>
      </c>
      <c r="R255" s="8">
        <v>2024.92</v>
      </c>
      <c r="S255">
        <v>2</v>
      </c>
      <c r="T255">
        <v>0</v>
      </c>
      <c r="U255" s="8">
        <v>470.3</v>
      </c>
      <c r="V255" t="s">
        <v>1561</v>
      </c>
      <c r="W255" t="s">
        <v>1561</v>
      </c>
    </row>
    <row r="256" spans="1:23">
      <c r="A256">
        <v>1255</v>
      </c>
      <c r="B256" t="s">
        <v>149</v>
      </c>
      <c r="C256" s="7">
        <v>45334</v>
      </c>
      <c r="D256" s="7">
        <v>45339</v>
      </c>
      <c r="E256" t="s">
        <v>22</v>
      </c>
      <c r="F256" t="s">
        <v>36</v>
      </c>
      <c r="G256" t="s">
        <v>1575</v>
      </c>
      <c r="H256" t="s">
        <v>25</v>
      </c>
      <c r="I256" t="s">
        <v>26</v>
      </c>
      <c r="J256" t="s">
        <v>39</v>
      </c>
      <c r="K256" t="s">
        <v>40</v>
      </c>
      <c r="L256" t="s">
        <v>92</v>
      </c>
      <c r="M256">
        <v>695001</v>
      </c>
      <c r="N256" t="s">
        <v>150</v>
      </c>
      <c r="O256" t="s">
        <v>55</v>
      </c>
      <c r="P256" t="s">
        <v>98</v>
      </c>
      <c r="Q256" t="s">
        <v>99</v>
      </c>
      <c r="R256" s="8">
        <v>13035.13</v>
      </c>
      <c r="S256">
        <v>2</v>
      </c>
      <c r="T256">
        <v>0.05</v>
      </c>
      <c r="U256" s="8">
        <v>1849.55</v>
      </c>
      <c r="V256" t="s">
        <v>1561</v>
      </c>
      <c r="W256" t="s">
        <v>1561</v>
      </c>
    </row>
    <row r="257" spans="1:23">
      <c r="A257">
        <v>1256</v>
      </c>
      <c r="B257" t="s">
        <v>1028</v>
      </c>
      <c r="C257" s="7">
        <v>45581</v>
      </c>
      <c r="D257" s="7">
        <v>45587</v>
      </c>
      <c r="E257" t="s">
        <v>101</v>
      </c>
      <c r="F257" t="s">
        <v>198</v>
      </c>
      <c r="G257" t="s">
        <v>1568</v>
      </c>
      <c r="H257" t="s">
        <v>51</v>
      </c>
      <c r="I257" t="s">
        <v>26</v>
      </c>
      <c r="J257" t="s">
        <v>115</v>
      </c>
      <c r="K257" t="s">
        <v>116</v>
      </c>
      <c r="L257" t="s">
        <v>41</v>
      </c>
      <c r="M257">
        <v>600001</v>
      </c>
      <c r="N257" t="s">
        <v>407</v>
      </c>
      <c r="O257" t="s">
        <v>44</v>
      </c>
      <c r="P257" t="s">
        <v>211</v>
      </c>
      <c r="Q257" t="s">
        <v>223</v>
      </c>
      <c r="R257" s="8">
        <v>1282.8599999999999</v>
      </c>
      <c r="S257">
        <v>1</v>
      </c>
      <c r="T257">
        <v>0.3</v>
      </c>
      <c r="U257" s="8">
        <v>-104.59</v>
      </c>
      <c r="V257" t="s">
        <v>1561</v>
      </c>
      <c r="W257" t="s">
        <v>1561</v>
      </c>
    </row>
    <row r="258" spans="1:23">
      <c r="A258">
        <v>1257</v>
      </c>
      <c r="B258" t="s">
        <v>790</v>
      </c>
      <c r="C258" s="7">
        <v>45517</v>
      </c>
      <c r="D258" s="7">
        <v>45522</v>
      </c>
      <c r="E258" t="s">
        <v>69</v>
      </c>
      <c r="F258" t="s">
        <v>791</v>
      </c>
      <c r="G258" t="s">
        <v>1573</v>
      </c>
      <c r="H258" t="s">
        <v>51</v>
      </c>
      <c r="I258" t="s">
        <v>26</v>
      </c>
      <c r="J258" t="s">
        <v>115</v>
      </c>
      <c r="K258" t="s">
        <v>116</v>
      </c>
      <c r="L258" t="s">
        <v>92</v>
      </c>
      <c r="M258">
        <v>695001</v>
      </c>
      <c r="N258" t="s">
        <v>792</v>
      </c>
      <c r="O258" t="s">
        <v>83</v>
      </c>
      <c r="P258" t="s">
        <v>84</v>
      </c>
      <c r="Q258" t="s">
        <v>85</v>
      </c>
      <c r="R258" s="8">
        <v>27372.46</v>
      </c>
      <c r="S258">
        <v>8</v>
      </c>
      <c r="T258">
        <v>0</v>
      </c>
      <c r="U258" s="8">
        <v>8095.62</v>
      </c>
      <c r="V258" t="s">
        <v>1561</v>
      </c>
      <c r="W258" t="s">
        <v>1561</v>
      </c>
    </row>
    <row r="259" spans="1:23">
      <c r="A259">
        <v>1258</v>
      </c>
      <c r="B259" t="s">
        <v>780</v>
      </c>
      <c r="C259" s="7">
        <v>45516</v>
      </c>
      <c r="D259" s="7">
        <v>45517</v>
      </c>
      <c r="E259" t="s">
        <v>69</v>
      </c>
      <c r="F259" t="s">
        <v>781</v>
      </c>
      <c r="G259" t="s">
        <v>1575</v>
      </c>
      <c r="H259" t="s">
        <v>51</v>
      </c>
      <c r="I259" t="s">
        <v>26</v>
      </c>
      <c r="J259" t="s">
        <v>346</v>
      </c>
      <c r="K259" t="s">
        <v>132</v>
      </c>
      <c r="L259" t="s">
        <v>63</v>
      </c>
      <c r="M259">
        <v>110001</v>
      </c>
      <c r="N259" t="s">
        <v>782</v>
      </c>
      <c r="O259" t="s">
        <v>138</v>
      </c>
      <c r="P259" t="s">
        <v>182</v>
      </c>
      <c r="Q259" t="s">
        <v>183</v>
      </c>
      <c r="R259" s="8">
        <v>2086.2800000000002</v>
      </c>
      <c r="S259">
        <v>5</v>
      </c>
      <c r="T259">
        <v>0</v>
      </c>
      <c r="U259" s="8">
        <v>318.44</v>
      </c>
      <c r="V259" t="s">
        <v>1561</v>
      </c>
      <c r="W259" t="s">
        <v>1561</v>
      </c>
    </row>
    <row r="260" spans="1:23">
      <c r="A260">
        <v>1259</v>
      </c>
      <c r="B260" t="s">
        <v>1287</v>
      </c>
      <c r="C260" s="7">
        <v>45397</v>
      </c>
      <c r="D260" s="7">
        <v>45398</v>
      </c>
      <c r="E260" t="s">
        <v>48</v>
      </c>
      <c r="F260" t="s">
        <v>420</v>
      </c>
      <c r="G260" t="s">
        <v>1570</v>
      </c>
      <c r="H260" t="s">
        <v>51</v>
      </c>
      <c r="I260" t="s">
        <v>26</v>
      </c>
      <c r="J260" t="s">
        <v>79</v>
      </c>
      <c r="K260" t="s">
        <v>80</v>
      </c>
      <c r="L260" t="s">
        <v>92</v>
      </c>
      <c r="M260">
        <v>695001</v>
      </c>
      <c r="N260" t="s">
        <v>1153</v>
      </c>
      <c r="O260" t="s">
        <v>138</v>
      </c>
      <c r="P260" t="s">
        <v>156</v>
      </c>
      <c r="Q260" t="s">
        <v>157</v>
      </c>
      <c r="R260" s="8">
        <v>1005.72</v>
      </c>
      <c r="S260">
        <v>3</v>
      </c>
      <c r="T260">
        <v>0.1</v>
      </c>
      <c r="U260" s="8">
        <v>156.85</v>
      </c>
      <c r="V260" t="s">
        <v>1561</v>
      </c>
      <c r="W260" t="s">
        <v>1561</v>
      </c>
    </row>
    <row r="261" spans="1:23">
      <c r="A261">
        <v>1260</v>
      </c>
      <c r="B261" t="s">
        <v>659</v>
      </c>
      <c r="C261" s="7">
        <v>45361</v>
      </c>
      <c r="D261" s="7">
        <v>45365</v>
      </c>
      <c r="E261" t="s">
        <v>22</v>
      </c>
      <c r="F261" t="s">
        <v>660</v>
      </c>
      <c r="G261" t="s">
        <v>1572</v>
      </c>
      <c r="H261" t="s">
        <v>25</v>
      </c>
      <c r="I261" t="s">
        <v>26</v>
      </c>
      <c r="J261" t="s">
        <v>115</v>
      </c>
      <c r="K261" t="s">
        <v>116</v>
      </c>
      <c r="L261" t="s">
        <v>92</v>
      </c>
      <c r="M261">
        <v>400001</v>
      </c>
      <c r="N261" t="s">
        <v>661</v>
      </c>
      <c r="O261" t="s">
        <v>55</v>
      </c>
      <c r="P261" t="s">
        <v>66</v>
      </c>
      <c r="Q261" t="s">
        <v>67</v>
      </c>
      <c r="R261" s="8">
        <v>64138.87</v>
      </c>
      <c r="S261">
        <v>7</v>
      </c>
      <c r="T261">
        <v>0</v>
      </c>
      <c r="U261" s="8">
        <v>8468.4699999999993</v>
      </c>
      <c r="V261" t="s">
        <v>1561</v>
      </c>
      <c r="W261" t="s">
        <v>1561</v>
      </c>
    </row>
    <row r="262" spans="1:23">
      <c r="A262">
        <v>1261</v>
      </c>
      <c r="B262" t="s">
        <v>290</v>
      </c>
      <c r="C262" s="7">
        <v>45638</v>
      </c>
      <c r="D262" s="7">
        <v>45642</v>
      </c>
      <c r="E262" t="s">
        <v>101</v>
      </c>
      <c r="F262" t="s">
        <v>291</v>
      </c>
      <c r="G262" t="s">
        <v>1574</v>
      </c>
      <c r="H262" t="s">
        <v>51</v>
      </c>
      <c r="I262" t="s">
        <v>26</v>
      </c>
      <c r="J262" t="s">
        <v>166</v>
      </c>
      <c r="K262" t="s">
        <v>132</v>
      </c>
      <c r="L262" t="s">
        <v>63</v>
      </c>
      <c r="M262">
        <v>400001</v>
      </c>
      <c r="N262" t="s">
        <v>292</v>
      </c>
      <c r="O262" t="s">
        <v>44</v>
      </c>
      <c r="P262" t="s">
        <v>211</v>
      </c>
      <c r="Q262" t="s">
        <v>223</v>
      </c>
      <c r="R262" s="8">
        <v>3288.8</v>
      </c>
      <c r="S262">
        <v>2</v>
      </c>
      <c r="T262">
        <v>0.1</v>
      </c>
      <c r="U262" s="8">
        <v>139.18</v>
      </c>
      <c r="V262" t="s">
        <v>1561</v>
      </c>
      <c r="W262" t="s">
        <v>1561</v>
      </c>
    </row>
    <row r="263" spans="1:23">
      <c r="A263">
        <v>1262</v>
      </c>
      <c r="B263" t="s">
        <v>910</v>
      </c>
      <c r="C263" s="7">
        <v>45498</v>
      </c>
      <c r="D263" s="7">
        <v>45503</v>
      </c>
      <c r="E263" t="s">
        <v>48</v>
      </c>
      <c r="F263" t="s">
        <v>23</v>
      </c>
      <c r="G263" t="s">
        <v>1567</v>
      </c>
      <c r="H263" t="s">
        <v>51</v>
      </c>
      <c r="I263" t="s">
        <v>26</v>
      </c>
      <c r="J263" t="s">
        <v>109</v>
      </c>
      <c r="K263" t="s">
        <v>110</v>
      </c>
      <c r="L263" t="s">
        <v>63</v>
      </c>
      <c r="M263">
        <v>560001</v>
      </c>
      <c r="N263" t="s">
        <v>327</v>
      </c>
      <c r="O263" t="s">
        <v>138</v>
      </c>
      <c r="P263" t="s">
        <v>182</v>
      </c>
      <c r="Q263" t="s">
        <v>183</v>
      </c>
      <c r="R263" s="8">
        <v>2419.17</v>
      </c>
      <c r="S263">
        <v>5</v>
      </c>
      <c r="T263">
        <v>0</v>
      </c>
      <c r="U263" s="8">
        <v>566.6</v>
      </c>
      <c r="V263" t="s">
        <v>1561</v>
      </c>
      <c r="W263" t="s">
        <v>1561</v>
      </c>
    </row>
    <row r="264" spans="1:23">
      <c r="A264">
        <v>1263</v>
      </c>
      <c r="B264" t="s">
        <v>1204</v>
      </c>
      <c r="C264" s="7">
        <v>45526</v>
      </c>
      <c r="D264" s="7">
        <v>45532</v>
      </c>
      <c r="E264" t="s">
        <v>48</v>
      </c>
      <c r="F264" t="s">
        <v>388</v>
      </c>
      <c r="G264" t="s">
        <v>1573</v>
      </c>
      <c r="H264" t="s">
        <v>51</v>
      </c>
      <c r="I264" t="s">
        <v>26</v>
      </c>
      <c r="J264" t="s">
        <v>226</v>
      </c>
      <c r="K264" t="s">
        <v>110</v>
      </c>
      <c r="L264" t="s">
        <v>29</v>
      </c>
      <c r="M264">
        <v>682001</v>
      </c>
      <c r="N264" t="s">
        <v>1205</v>
      </c>
      <c r="O264" t="s">
        <v>138</v>
      </c>
      <c r="P264" t="s">
        <v>139</v>
      </c>
      <c r="Q264" t="s">
        <v>140</v>
      </c>
      <c r="R264" s="8">
        <v>4005.7</v>
      </c>
      <c r="S264">
        <v>4</v>
      </c>
      <c r="T264">
        <v>0</v>
      </c>
      <c r="U264" s="8">
        <v>788.6</v>
      </c>
      <c r="V264" t="s">
        <v>1561</v>
      </c>
      <c r="W264" t="s">
        <v>1561</v>
      </c>
    </row>
    <row r="265" spans="1:23">
      <c r="A265">
        <v>1264</v>
      </c>
      <c r="B265" t="s">
        <v>1092</v>
      </c>
      <c r="C265" s="7">
        <v>45464</v>
      </c>
      <c r="D265" s="7">
        <v>45469</v>
      </c>
      <c r="E265" t="s">
        <v>69</v>
      </c>
      <c r="F265" t="s">
        <v>931</v>
      </c>
      <c r="G265" t="s">
        <v>1572</v>
      </c>
      <c r="H265" t="s">
        <v>51</v>
      </c>
      <c r="I265" t="s">
        <v>26</v>
      </c>
      <c r="J265" t="s">
        <v>61</v>
      </c>
      <c r="K265" t="s">
        <v>62</v>
      </c>
      <c r="L265" t="s">
        <v>29</v>
      </c>
      <c r="M265">
        <v>110001</v>
      </c>
      <c r="N265" t="s">
        <v>879</v>
      </c>
      <c r="O265" t="s">
        <v>44</v>
      </c>
      <c r="P265" t="s">
        <v>211</v>
      </c>
      <c r="Q265" t="s">
        <v>223</v>
      </c>
      <c r="R265" s="8">
        <v>3018.3</v>
      </c>
      <c r="S265">
        <v>2</v>
      </c>
      <c r="T265">
        <v>0.15</v>
      </c>
      <c r="U265" s="8">
        <v>33.450000000000003</v>
      </c>
      <c r="V265" t="s">
        <v>1561</v>
      </c>
      <c r="W265" t="s">
        <v>1561</v>
      </c>
    </row>
    <row r="266" spans="1:23">
      <c r="A266">
        <v>1265</v>
      </c>
      <c r="B266" t="s">
        <v>559</v>
      </c>
      <c r="C266" s="7">
        <v>45300</v>
      </c>
      <c r="D266" s="7">
        <v>45301</v>
      </c>
      <c r="E266" t="s">
        <v>69</v>
      </c>
      <c r="F266" t="s">
        <v>560</v>
      </c>
      <c r="G266" t="s">
        <v>1562</v>
      </c>
      <c r="H266" t="s">
        <v>51</v>
      </c>
      <c r="I266" t="s">
        <v>26</v>
      </c>
      <c r="J266" t="s">
        <v>90</v>
      </c>
      <c r="K266" t="s">
        <v>91</v>
      </c>
      <c r="L266" t="s">
        <v>41</v>
      </c>
      <c r="M266">
        <v>560001</v>
      </c>
      <c r="N266" t="s">
        <v>303</v>
      </c>
      <c r="O266" t="s">
        <v>83</v>
      </c>
      <c r="P266" t="s">
        <v>84</v>
      </c>
      <c r="Q266" t="s">
        <v>85</v>
      </c>
      <c r="R266" s="8">
        <v>2081</v>
      </c>
      <c r="S266">
        <v>1</v>
      </c>
      <c r="T266">
        <v>0.3</v>
      </c>
      <c r="U266" s="8">
        <v>135.33000000000001</v>
      </c>
      <c r="V266" t="s">
        <v>1561</v>
      </c>
      <c r="W266" t="s">
        <v>1561</v>
      </c>
    </row>
    <row r="267" spans="1:23">
      <c r="A267">
        <v>1266</v>
      </c>
      <c r="B267" t="s">
        <v>329</v>
      </c>
      <c r="C267" s="7">
        <v>45432</v>
      </c>
      <c r="D267" s="7">
        <v>45433</v>
      </c>
      <c r="E267" t="s">
        <v>48</v>
      </c>
      <c r="F267" t="s">
        <v>330</v>
      </c>
      <c r="G267" t="s">
        <v>1573</v>
      </c>
      <c r="H267" t="s">
        <v>51</v>
      </c>
      <c r="I267" t="s">
        <v>26</v>
      </c>
      <c r="J267" t="s">
        <v>160</v>
      </c>
      <c r="K267" t="s">
        <v>161</v>
      </c>
      <c r="L267" t="s">
        <v>63</v>
      </c>
      <c r="M267">
        <v>400001</v>
      </c>
      <c r="N267" t="s">
        <v>331</v>
      </c>
      <c r="O267" t="s">
        <v>188</v>
      </c>
      <c r="P267" t="s">
        <v>189</v>
      </c>
      <c r="Q267" t="s">
        <v>190</v>
      </c>
      <c r="R267" s="8">
        <v>17357.560000000001</v>
      </c>
      <c r="S267">
        <v>3</v>
      </c>
      <c r="T267">
        <v>0.05</v>
      </c>
      <c r="U267" s="8">
        <v>2115.21</v>
      </c>
      <c r="V267" t="s">
        <v>1561</v>
      </c>
      <c r="W267" t="s">
        <v>1561</v>
      </c>
    </row>
    <row r="268" spans="1:23">
      <c r="A268">
        <v>1267</v>
      </c>
      <c r="B268" t="s">
        <v>662</v>
      </c>
      <c r="C268" s="7">
        <v>45511</v>
      </c>
      <c r="D268" s="7">
        <v>45517</v>
      </c>
      <c r="E268" t="s">
        <v>22</v>
      </c>
      <c r="F268" t="s">
        <v>663</v>
      </c>
      <c r="G268" t="s">
        <v>1573</v>
      </c>
      <c r="H268" t="s">
        <v>51</v>
      </c>
      <c r="I268" t="s">
        <v>26</v>
      </c>
      <c r="J268" t="s">
        <v>166</v>
      </c>
      <c r="K268" t="s">
        <v>132</v>
      </c>
      <c r="L268" t="s">
        <v>41</v>
      </c>
      <c r="M268">
        <v>682001</v>
      </c>
      <c r="N268" t="s">
        <v>664</v>
      </c>
      <c r="O268" t="s">
        <v>44</v>
      </c>
      <c r="P268" t="s">
        <v>207</v>
      </c>
      <c r="Q268" t="s">
        <v>208</v>
      </c>
      <c r="R268" s="8">
        <v>101037.63</v>
      </c>
      <c r="S268">
        <v>2</v>
      </c>
      <c r="T268">
        <v>0.1</v>
      </c>
      <c r="U268" s="8">
        <v>4672.71</v>
      </c>
      <c r="V268" t="s">
        <v>1561</v>
      </c>
      <c r="W268" t="s">
        <v>1561</v>
      </c>
    </row>
    <row r="269" spans="1:23">
      <c r="A269">
        <v>1268</v>
      </c>
      <c r="B269" t="s">
        <v>1266</v>
      </c>
      <c r="C269" s="7">
        <v>45296</v>
      </c>
      <c r="D269" s="7">
        <v>45297</v>
      </c>
      <c r="E269" t="s">
        <v>48</v>
      </c>
      <c r="F269" t="s">
        <v>159</v>
      </c>
      <c r="G269" t="s">
        <v>1573</v>
      </c>
      <c r="H269" t="s">
        <v>25</v>
      </c>
      <c r="I269" t="s">
        <v>26</v>
      </c>
      <c r="J269" t="s">
        <v>131</v>
      </c>
      <c r="K269" t="s">
        <v>132</v>
      </c>
      <c r="L269" t="s">
        <v>29</v>
      </c>
      <c r="M269">
        <v>400001</v>
      </c>
      <c r="N269" t="s">
        <v>31</v>
      </c>
      <c r="O269" t="s">
        <v>44</v>
      </c>
      <c r="P269" t="s">
        <v>211</v>
      </c>
      <c r="Q269" t="s">
        <v>212</v>
      </c>
      <c r="R269" s="8">
        <v>2628.46</v>
      </c>
      <c r="S269">
        <v>3</v>
      </c>
      <c r="T269">
        <v>0.3</v>
      </c>
      <c r="U269" s="8">
        <v>-273.10000000000002</v>
      </c>
      <c r="V269" t="s">
        <v>1561</v>
      </c>
      <c r="W269" t="s">
        <v>1561</v>
      </c>
    </row>
    <row r="270" spans="1:23">
      <c r="A270">
        <v>1269</v>
      </c>
      <c r="B270" t="s">
        <v>896</v>
      </c>
      <c r="C270" s="7">
        <v>45344</v>
      </c>
      <c r="D270" s="7">
        <v>45347</v>
      </c>
      <c r="E270" t="s">
        <v>48</v>
      </c>
      <c r="F270" t="s">
        <v>765</v>
      </c>
      <c r="G270" t="s">
        <v>1570</v>
      </c>
      <c r="H270" t="s">
        <v>51</v>
      </c>
      <c r="I270" t="s">
        <v>26</v>
      </c>
      <c r="J270" t="s">
        <v>39</v>
      </c>
      <c r="K270" t="s">
        <v>40</v>
      </c>
      <c r="L270" t="s">
        <v>92</v>
      </c>
      <c r="M270">
        <v>560001</v>
      </c>
      <c r="N270" t="s">
        <v>897</v>
      </c>
      <c r="O270" t="s">
        <v>44</v>
      </c>
      <c r="P270" t="s">
        <v>45</v>
      </c>
      <c r="Q270" t="s">
        <v>46</v>
      </c>
      <c r="R270" s="8">
        <v>38013.97</v>
      </c>
      <c r="S270">
        <v>1</v>
      </c>
      <c r="T270">
        <v>0</v>
      </c>
      <c r="U270" s="8">
        <v>3653.3</v>
      </c>
      <c r="V270" t="s">
        <v>1561</v>
      </c>
      <c r="W270" t="s">
        <v>1561</v>
      </c>
    </row>
    <row r="271" spans="1:23">
      <c r="A271">
        <v>1270</v>
      </c>
      <c r="B271" t="s">
        <v>1411</v>
      </c>
      <c r="C271" s="7">
        <v>45327</v>
      </c>
      <c r="D271" s="7">
        <v>45332</v>
      </c>
      <c r="E271" t="s">
        <v>22</v>
      </c>
      <c r="F271" t="s">
        <v>113</v>
      </c>
      <c r="G271" t="s">
        <v>1566</v>
      </c>
      <c r="H271" t="s">
        <v>108</v>
      </c>
      <c r="I271" t="s">
        <v>26</v>
      </c>
      <c r="J271" t="s">
        <v>61</v>
      </c>
      <c r="K271" t="s">
        <v>62</v>
      </c>
      <c r="L271" t="s">
        <v>92</v>
      </c>
      <c r="M271">
        <v>560001</v>
      </c>
      <c r="N271" t="s">
        <v>687</v>
      </c>
      <c r="O271" t="s">
        <v>83</v>
      </c>
      <c r="P271" t="s">
        <v>84</v>
      </c>
      <c r="Q271" t="s">
        <v>85</v>
      </c>
      <c r="R271" s="8">
        <v>9047.83</v>
      </c>
      <c r="S271">
        <v>3</v>
      </c>
      <c r="T271">
        <v>0.05</v>
      </c>
      <c r="U271" s="8">
        <v>1603.01</v>
      </c>
      <c r="V271" t="s">
        <v>1561</v>
      </c>
      <c r="W271" t="s">
        <v>1561</v>
      </c>
    </row>
    <row r="272" spans="1:23">
      <c r="A272">
        <v>1271</v>
      </c>
      <c r="B272" t="s">
        <v>1523</v>
      </c>
      <c r="C272" s="7">
        <v>45607</v>
      </c>
      <c r="D272" s="7">
        <v>45613</v>
      </c>
      <c r="E272" t="s">
        <v>101</v>
      </c>
      <c r="F272" t="s">
        <v>295</v>
      </c>
      <c r="G272" t="s">
        <v>1565</v>
      </c>
      <c r="H272" t="s">
        <v>25</v>
      </c>
      <c r="I272" t="s">
        <v>26</v>
      </c>
      <c r="J272" t="s">
        <v>160</v>
      </c>
      <c r="K272" t="s">
        <v>161</v>
      </c>
      <c r="L272" t="s">
        <v>41</v>
      </c>
      <c r="M272">
        <v>673001</v>
      </c>
      <c r="N272" t="s">
        <v>1339</v>
      </c>
      <c r="O272" t="s">
        <v>44</v>
      </c>
      <c r="P272" t="s">
        <v>211</v>
      </c>
      <c r="Q272" t="s">
        <v>223</v>
      </c>
      <c r="R272" s="8">
        <v>1448.08</v>
      </c>
      <c r="S272">
        <v>1</v>
      </c>
      <c r="T272">
        <v>0.25</v>
      </c>
      <c r="U272" s="8">
        <v>-80.06</v>
      </c>
      <c r="V272" t="s">
        <v>1561</v>
      </c>
      <c r="W272" t="s">
        <v>1561</v>
      </c>
    </row>
    <row r="273" spans="1:23">
      <c r="A273">
        <v>1272</v>
      </c>
      <c r="B273" t="s">
        <v>850</v>
      </c>
      <c r="C273" s="7">
        <v>45453</v>
      </c>
      <c r="D273" s="7">
        <v>45455</v>
      </c>
      <c r="E273" t="s">
        <v>69</v>
      </c>
      <c r="F273" t="s">
        <v>660</v>
      </c>
      <c r="G273" t="s">
        <v>1566</v>
      </c>
      <c r="H273" t="s">
        <v>25</v>
      </c>
      <c r="I273" t="s">
        <v>26</v>
      </c>
      <c r="J273" t="s">
        <v>27</v>
      </c>
      <c r="K273" t="s">
        <v>28</v>
      </c>
      <c r="L273" t="s">
        <v>41</v>
      </c>
      <c r="M273">
        <v>682001</v>
      </c>
      <c r="N273" t="s">
        <v>851</v>
      </c>
      <c r="O273" t="s">
        <v>44</v>
      </c>
      <c r="P273" t="s">
        <v>45</v>
      </c>
      <c r="Q273" t="s">
        <v>46</v>
      </c>
      <c r="R273" s="8">
        <v>51655.47</v>
      </c>
      <c r="S273">
        <v>2</v>
      </c>
      <c r="T273">
        <v>0</v>
      </c>
      <c r="U273" s="8">
        <v>-2944.73</v>
      </c>
      <c r="V273" t="s">
        <v>1561</v>
      </c>
      <c r="W273" t="s">
        <v>1561</v>
      </c>
    </row>
    <row r="274" spans="1:23">
      <c r="A274">
        <v>1273</v>
      </c>
      <c r="B274" t="s">
        <v>995</v>
      </c>
      <c r="C274" s="7">
        <v>45629</v>
      </c>
      <c r="D274" s="7">
        <v>45632</v>
      </c>
      <c r="E274" t="s">
        <v>69</v>
      </c>
      <c r="F274" t="s">
        <v>277</v>
      </c>
      <c r="G274" t="s">
        <v>1574</v>
      </c>
      <c r="H274" t="s">
        <v>25</v>
      </c>
      <c r="I274" t="s">
        <v>26</v>
      </c>
      <c r="J274" t="s">
        <v>79</v>
      </c>
      <c r="K274" t="s">
        <v>80</v>
      </c>
      <c r="L274" t="s">
        <v>92</v>
      </c>
      <c r="M274">
        <v>400001</v>
      </c>
      <c r="N274" t="s">
        <v>996</v>
      </c>
      <c r="O274" t="s">
        <v>138</v>
      </c>
      <c r="P274" t="s">
        <v>139</v>
      </c>
      <c r="Q274" t="s">
        <v>140</v>
      </c>
      <c r="R274" s="8">
        <v>1935.91</v>
      </c>
      <c r="S274">
        <v>2</v>
      </c>
      <c r="T274">
        <v>0</v>
      </c>
      <c r="U274" s="8">
        <v>359.72</v>
      </c>
      <c r="V274" t="s">
        <v>1561</v>
      </c>
      <c r="W274" t="s">
        <v>1561</v>
      </c>
    </row>
    <row r="275" spans="1:23">
      <c r="A275">
        <v>1274</v>
      </c>
      <c r="B275" t="s">
        <v>1453</v>
      </c>
      <c r="C275" s="7">
        <v>45545</v>
      </c>
      <c r="D275" s="7">
        <v>45549</v>
      </c>
      <c r="E275" t="s">
        <v>22</v>
      </c>
      <c r="F275" t="s">
        <v>395</v>
      </c>
      <c r="G275" t="s">
        <v>1562</v>
      </c>
      <c r="H275" t="s">
        <v>51</v>
      </c>
      <c r="I275" t="s">
        <v>26</v>
      </c>
      <c r="J275" t="s">
        <v>115</v>
      </c>
      <c r="K275" t="s">
        <v>116</v>
      </c>
      <c r="L275" t="s">
        <v>41</v>
      </c>
      <c r="M275">
        <v>600001</v>
      </c>
      <c r="N275" t="s">
        <v>1454</v>
      </c>
      <c r="O275" t="s">
        <v>138</v>
      </c>
      <c r="P275" t="s">
        <v>156</v>
      </c>
      <c r="Q275" t="s">
        <v>157</v>
      </c>
      <c r="R275" s="8">
        <v>1925.12</v>
      </c>
      <c r="S275">
        <v>6</v>
      </c>
      <c r="T275">
        <v>0.1</v>
      </c>
      <c r="U275" s="8">
        <v>282.19</v>
      </c>
      <c r="V275" t="s">
        <v>1561</v>
      </c>
      <c r="W275" t="s">
        <v>1561</v>
      </c>
    </row>
    <row r="276" spans="1:23">
      <c r="A276">
        <v>1275</v>
      </c>
      <c r="B276" t="s">
        <v>882</v>
      </c>
      <c r="C276" s="7">
        <v>45479</v>
      </c>
      <c r="D276" s="7">
        <v>45484</v>
      </c>
      <c r="E276" t="s">
        <v>69</v>
      </c>
      <c r="F276" t="s">
        <v>417</v>
      </c>
      <c r="G276" t="s">
        <v>1562</v>
      </c>
      <c r="H276" t="s">
        <v>51</v>
      </c>
      <c r="I276" t="s">
        <v>26</v>
      </c>
      <c r="J276" t="s">
        <v>226</v>
      </c>
      <c r="K276" t="s">
        <v>110</v>
      </c>
      <c r="L276" t="s">
        <v>41</v>
      </c>
      <c r="M276">
        <v>673001</v>
      </c>
      <c r="N276" t="s">
        <v>766</v>
      </c>
      <c r="O276" t="s">
        <v>188</v>
      </c>
      <c r="P276" t="s">
        <v>189</v>
      </c>
      <c r="Q276" t="s">
        <v>190</v>
      </c>
      <c r="R276" s="8">
        <v>8728.27</v>
      </c>
      <c r="S276">
        <v>2</v>
      </c>
      <c r="T276">
        <v>0.25</v>
      </c>
      <c r="U276" s="8">
        <v>-322.29000000000002</v>
      </c>
      <c r="V276" t="s">
        <v>1561</v>
      </c>
      <c r="W276" t="s">
        <v>1561</v>
      </c>
    </row>
    <row r="277" spans="1:23">
      <c r="A277">
        <v>1276</v>
      </c>
      <c r="B277" t="s">
        <v>707</v>
      </c>
      <c r="C277" s="7">
        <v>45495</v>
      </c>
      <c r="D277" s="7">
        <v>45500</v>
      </c>
      <c r="E277" t="s">
        <v>48</v>
      </c>
      <c r="F277" t="s">
        <v>708</v>
      </c>
      <c r="G277" t="s">
        <v>1560</v>
      </c>
      <c r="H277" t="s">
        <v>51</v>
      </c>
      <c r="I277" t="s">
        <v>26</v>
      </c>
      <c r="J277" t="s">
        <v>131</v>
      </c>
      <c r="K277" t="s">
        <v>132</v>
      </c>
      <c r="L277" t="s">
        <v>29</v>
      </c>
      <c r="M277">
        <v>560001</v>
      </c>
      <c r="N277" t="s">
        <v>624</v>
      </c>
      <c r="O277" t="s">
        <v>44</v>
      </c>
      <c r="P277" t="s">
        <v>207</v>
      </c>
      <c r="Q277" t="s">
        <v>208</v>
      </c>
      <c r="R277" s="8">
        <v>52167.76</v>
      </c>
      <c r="S277">
        <v>1</v>
      </c>
      <c r="T277">
        <v>0</v>
      </c>
      <c r="U277" s="8">
        <v>6748.94</v>
      </c>
      <c r="V277" t="s">
        <v>1561</v>
      </c>
      <c r="W277" t="s">
        <v>1561</v>
      </c>
    </row>
    <row r="278" spans="1:23">
      <c r="A278">
        <v>1277</v>
      </c>
      <c r="B278" t="s">
        <v>1491</v>
      </c>
      <c r="C278" s="7">
        <v>45434</v>
      </c>
      <c r="D278" s="7">
        <v>45435</v>
      </c>
      <c r="E278" t="s">
        <v>48</v>
      </c>
      <c r="F278" t="s">
        <v>285</v>
      </c>
      <c r="G278" t="s">
        <v>1568</v>
      </c>
      <c r="H278" t="s">
        <v>25</v>
      </c>
      <c r="I278" t="s">
        <v>26</v>
      </c>
      <c r="J278" t="s">
        <v>109</v>
      </c>
      <c r="K278" t="s">
        <v>110</v>
      </c>
      <c r="L278" t="s">
        <v>92</v>
      </c>
      <c r="M278">
        <v>110001</v>
      </c>
      <c r="N278" t="s">
        <v>1492</v>
      </c>
      <c r="O278" t="s">
        <v>44</v>
      </c>
      <c r="P278" t="s">
        <v>45</v>
      </c>
      <c r="Q278" t="s">
        <v>46</v>
      </c>
      <c r="R278" s="8">
        <v>103452.1</v>
      </c>
      <c r="S278">
        <v>3</v>
      </c>
      <c r="T278">
        <v>0.05</v>
      </c>
      <c r="U278" s="8">
        <v>8261.82</v>
      </c>
      <c r="V278" t="s">
        <v>1561</v>
      </c>
      <c r="W278" t="s">
        <v>1561</v>
      </c>
    </row>
    <row r="279" spans="1:23">
      <c r="A279">
        <v>1278</v>
      </c>
      <c r="B279" t="s">
        <v>843</v>
      </c>
      <c r="C279" s="7">
        <v>45450</v>
      </c>
      <c r="D279" s="7">
        <v>45456</v>
      </c>
      <c r="E279" t="s">
        <v>101</v>
      </c>
      <c r="F279" t="s">
        <v>214</v>
      </c>
      <c r="G279" t="s">
        <v>1572</v>
      </c>
      <c r="H279" t="s">
        <v>51</v>
      </c>
      <c r="I279" t="s">
        <v>26</v>
      </c>
      <c r="J279" t="s">
        <v>52</v>
      </c>
      <c r="K279" t="s">
        <v>52</v>
      </c>
      <c r="L279" t="s">
        <v>92</v>
      </c>
      <c r="M279">
        <v>673001</v>
      </c>
      <c r="N279" t="s">
        <v>844</v>
      </c>
      <c r="O279" t="s">
        <v>55</v>
      </c>
      <c r="P279" t="s">
        <v>56</v>
      </c>
      <c r="Q279" t="s">
        <v>57</v>
      </c>
      <c r="R279" s="8">
        <v>22901.71</v>
      </c>
      <c r="S279">
        <v>3</v>
      </c>
      <c r="T279">
        <v>0</v>
      </c>
      <c r="U279" s="8">
        <v>3487.44</v>
      </c>
      <c r="V279" t="s">
        <v>1561</v>
      </c>
      <c r="W279" t="s">
        <v>1561</v>
      </c>
    </row>
    <row r="280" spans="1:23">
      <c r="A280">
        <v>1279</v>
      </c>
      <c r="B280" t="s">
        <v>871</v>
      </c>
      <c r="C280" s="7">
        <v>45450</v>
      </c>
      <c r="D280" s="7">
        <v>45456</v>
      </c>
      <c r="E280" t="s">
        <v>69</v>
      </c>
      <c r="F280" t="s">
        <v>442</v>
      </c>
      <c r="G280" t="s">
        <v>1569</v>
      </c>
      <c r="H280" t="s">
        <v>51</v>
      </c>
      <c r="I280" t="s">
        <v>26</v>
      </c>
      <c r="J280" t="s">
        <v>131</v>
      </c>
      <c r="K280" t="s">
        <v>132</v>
      </c>
      <c r="L280" t="s">
        <v>92</v>
      </c>
      <c r="M280">
        <v>400001</v>
      </c>
      <c r="N280" t="s">
        <v>872</v>
      </c>
      <c r="O280" t="s">
        <v>188</v>
      </c>
      <c r="P280" t="s">
        <v>189</v>
      </c>
      <c r="Q280" t="s">
        <v>190</v>
      </c>
      <c r="R280" s="8">
        <v>10920.73</v>
      </c>
      <c r="S280">
        <v>2</v>
      </c>
      <c r="T280">
        <v>0</v>
      </c>
      <c r="U280" s="8">
        <v>1085.2</v>
      </c>
      <c r="V280" t="s">
        <v>1561</v>
      </c>
      <c r="W280" t="s">
        <v>1561</v>
      </c>
    </row>
    <row r="281" spans="1:23">
      <c r="A281">
        <v>1280</v>
      </c>
      <c r="B281" t="s">
        <v>1233</v>
      </c>
      <c r="C281" s="7">
        <v>45377</v>
      </c>
      <c r="D281" s="7">
        <v>45380</v>
      </c>
      <c r="E281" t="s">
        <v>69</v>
      </c>
      <c r="F281" t="s">
        <v>645</v>
      </c>
      <c r="G281" t="s">
        <v>1575</v>
      </c>
      <c r="H281" t="s">
        <v>108</v>
      </c>
      <c r="I281" t="s">
        <v>26</v>
      </c>
      <c r="J281" t="s">
        <v>166</v>
      </c>
      <c r="K281" t="s">
        <v>132</v>
      </c>
      <c r="L281" t="s">
        <v>63</v>
      </c>
      <c r="M281">
        <v>400001</v>
      </c>
      <c r="N281" t="s">
        <v>628</v>
      </c>
      <c r="O281" t="s">
        <v>138</v>
      </c>
      <c r="P281" t="s">
        <v>182</v>
      </c>
      <c r="Q281" t="s">
        <v>183</v>
      </c>
      <c r="R281" s="8">
        <v>1194.3399999999999</v>
      </c>
      <c r="S281">
        <v>3</v>
      </c>
      <c r="T281">
        <v>0.15</v>
      </c>
      <c r="U281" s="8">
        <v>129.78</v>
      </c>
      <c r="V281" t="s">
        <v>1561</v>
      </c>
      <c r="W281" t="s">
        <v>1561</v>
      </c>
    </row>
    <row r="282" spans="1:23">
      <c r="A282">
        <v>1281</v>
      </c>
      <c r="B282" t="s">
        <v>1020</v>
      </c>
      <c r="C282" s="7">
        <v>45560</v>
      </c>
      <c r="D282" s="7">
        <v>45561</v>
      </c>
      <c r="E282" t="s">
        <v>48</v>
      </c>
      <c r="F282" t="s">
        <v>225</v>
      </c>
      <c r="G282" t="s">
        <v>1574</v>
      </c>
      <c r="H282" t="s">
        <v>51</v>
      </c>
      <c r="I282" t="s">
        <v>26</v>
      </c>
      <c r="J282" t="s">
        <v>27</v>
      </c>
      <c r="K282" t="s">
        <v>28</v>
      </c>
      <c r="L282" t="s">
        <v>41</v>
      </c>
      <c r="M282">
        <v>560001</v>
      </c>
      <c r="N282" t="s">
        <v>1021</v>
      </c>
      <c r="O282" t="s">
        <v>188</v>
      </c>
      <c r="P282" t="s">
        <v>189</v>
      </c>
      <c r="Q282" t="s">
        <v>190</v>
      </c>
      <c r="R282" s="8">
        <v>25454.89</v>
      </c>
      <c r="S282">
        <v>5</v>
      </c>
      <c r="T282">
        <v>0.15</v>
      </c>
      <c r="U282" s="8">
        <v>708.55</v>
      </c>
      <c r="V282" t="s">
        <v>1561</v>
      </c>
      <c r="W282" t="s">
        <v>1561</v>
      </c>
    </row>
    <row r="283" spans="1:23">
      <c r="A283">
        <v>1282</v>
      </c>
      <c r="B283" t="s">
        <v>47</v>
      </c>
      <c r="C283" s="7">
        <v>45480</v>
      </c>
      <c r="D283" s="7">
        <v>45482</v>
      </c>
      <c r="E283" t="s">
        <v>48</v>
      </c>
      <c r="F283" t="s">
        <v>49</v>
      </c>
      <c r="G283" t="s">
        <v>1573</v>
      </c>
      <c r="H283" t="s">
        <v>51</v>
      </c>
      <c r="I283" t="s">
        <v>26</v>
      </c>
      <c r="J283" t="s">
        <v>52</v>
      </c>
      <c r="K283" t="s">
        <v>52</v>
      </c>
      <c r="L283" t="s">
        <v>41</v>
      </c>
      <c r="M283">
        <v>682001</v>
      </c>
      <c r="N283" t="s">
        <v>54</v>
      </c>
      <c r="O283" t="s">
        <v>55</v>
      </c>
      <c r="P283" t="s">
        <v>56</v>
      </c>
      <c r="Q283" t="s">
        <v>57</v>
      </c>
      <c r="R283" s="8">
        <v>32210.22</v>
      </c>
      <c r="S283">
        <v>5</v>
      </c>
      <c r="T283">
        <v>0.05</v>
      </c>
      <c r="U283" s="8">
        <v>3109.97</v>
      </c>
      <c r="V283" t="s">
        <v>1561</v>
      </c>
      <c r="W283" t="s">
        <v>1561</v>
      </c>
    </row>
    <row r="284" spans="1:23">
      <c r="A284">
        <v>1283</v>
      </c>
      <c r="B284" t="s">
        <v>1288</v>
      </c>
      <c r="C284" s="7">
        <v>45315</v>
      </c>
      <c r="D284" s="7">
        <v>45319</v>
      </c>
      <c r="E284" t="s">
        <v>48</v>
      </c>
      <c r="F284" t="s">
        <v>262</v>
      </c>
      <c r="G284" t="s">
        <v>1567</v>
      </c>
      <c r="H284" t="s">
        <v>51</v>
      </c>
      <c r="I284" t="s">
        <v>26</v>
      </c>
      <c r="J284" t="s">
        <v>52</v>
      </c>
      <c r="K284" t="s">
        <v>52</v>
      </c>
      <c r="L284" t="s">
        <v>92</v>
      </c>
      <c r="M284">
        <v>682001</v>
      </c>
      <c r="N284" t="s">
        <v>691</v>
      </c>
      <c r="O284" t="s">
        <v>44</v>
      </c>
      <c r="P284" t="s">
        <v>207</v>
      </c>
      <c r="Q284" t="s">
        <v>208</v>
      </c>
      <c r="R284" s="8">
        <v>228406</v>
      </c>
      <c r="S284">
        <v>5</v>
      </c>
      <c r="T284">
        <v>0.1</v>
      </c>
      <c r="U284" s="8">
        <v>10740.37</v>
      </c>
      <c r="V284" t="s">
        <v>1561</v>
      </c>
      <c r="W284" t="s">
        <v>1561</v>
      </c>
    </row>
    <row r="285" spans="1:23">
      <c r="A285">
        <v>1284</v>
      </c>
      <c r="B285" t="s">
        <v>1076</v>
      </c>
      <c r="C285" s="7">
        <v>45406</v>
      </c>
      <c r="D285" s="7">
        <v>45409</v>
      </c>
      <c r="E285" t="s">
        <v>69</v>
      </c>
      <c r="F285" t="s">
        <v>751</v>
      </c>
      <c r="G285" t="s">
        <v>1567</v>
      </c>
      <c r="H285" t="s">
        <v>25</v>
      </c>
      <c r="I285" t="s">
        <v>26</v>
      </c>
      <c r="J285" t="s">
        <v>346</v>
      </c>
      <c r="K285" t="s">
        <v>132</v>
      </c>
      <c r="L285" t="s">
        <v>63</v>
      </c>
      <c r="M285">
        <v>695001</v>
      </c>
      <c r="N285" t="s">
        <v>1077</v>
      </c>
      <c r="O285" t="s">
        <v>138</v>
      </c>
      <c r="P285" t="s">
        <v>121</v>
      </c>
      <c r="Q285" t="s">
        <v>122</v>
      </c>
      <c r="R285" s="8">
        <v>1916.38</v>
      </c>
      <c r="S285">
        <v>4</v>
      </c>
      <c r="T285">
        <v>0.25</v>
      </c>
      <c r="U285" s="8">
        <v>69.62</v>
      </c>
      <c r="V285" t="s">
        <v>1561</v>
      </c>
      <c r="W285" t="s">
        <v>1561</v>
      </c>
    </row>
    <row r="286" spans="1:23">
      <c r="A286">
        <v>1285</v>
      </c>
      <c r="B286" t="s">
        <v>832</v>
      </c>
      <c r="C286" s="7">
        <v>45383</v>
      </c>
      <c r="D286" s="7">
        <v>45385</v>
      </c>
      <c r="E286" t="s">
        <v>22</v>
      </c>
      <c r="F286" t="s">
        <v>232</v>
      </c>
      <c r="G286" t="s">
        <v>1573</v>
      </c>
      <c r="H286" t="s">
        <v>51</v>
      </c>
      <c r="I286" t="s">
        <v>26</v>
      </c>
      <c r="J286" t="s">
        <v>131</v>
      </c>
      <c r="K286" t="s">
        <v>132</v>
      </c>
      <c r="L286" t="s">
        <v>29</v>
      </c>
      <c r="M286">
        <v>110001</v>
      </c>
      <c r="N286" t="s">
        <v>313</v>
      </c>
      <c r="O286" t="s">
        <v>138</v>
      </c>
      <c r="P286" t="s">
        <v>139</v>
      </c>
      <c r="Q286" t="s">
        <v>140</v>
      </c>
      <c r="R286" s="8">
        <v>3034.3</v>
      </c>
      <c r="S286">
        <v>3</v>
      </c>
      <c r="T286">
        <v>0</v>
      </c>
      <c r="U286" s="8">
        <v>560.82000000000005</v>
      </c>
      <c r="V286" t="s">
        <v>1561</v>
      </c>
      <c r="W286" t="s">
        <v>1561</v>
      </c>
    </row>
    <row r="287" spans="1:23">
      <c r="A287">
        <v>1286</v>
      </c>
      <c r="B287" t="s">
        <v>1080</v>
      </c>
      <c r="C287" s="7">
        <v>45296</v>
      </c>
      <c r="D287" s="7">
        <v>45299</v>
      </c>
      <c r="E287" t="s">
        <v>69</v>
      </c>
      <c r="F287" t="s">
        <v>449</v>
      </c>
      <c r="G287" t="s">
        <v>1574</v>
      </c>
      <c r="H287" t="s">
        <v>51</v>
      </c>
      <c r="I287" t="s">
        <v>26</v>
      </c>
      <c r="J287" t="s">
        <v>27</v>
      </c>
      <c r="K287" t="s">
        <v>28</v>
      </c>
      <c r="L287" t="s">
        <v>29</v>
      </c>
      <c r="M287">
        <v>400001</v>
      </c>
      <c r="N287" t="s">
        <v>1081</v>
      </c>
      <c r="O287" t="s">
        <v>188</v>
      </c>
      <c r="P287" t="s">
        <v>189</v>
      </c>
      <c r="Q287" t="s">
        <v>386</v>
      </c>
      <c r="R287" s="8">
        <v>1543.45</v>
      </c>
      <c r="S287">
        <v>1</v>
      </c>
      <c r="T287">
        <v>0.3</v>
      </c>
      <c r="U287" s="8">
        <v>-114.55</v>
      </c>
      <c r="V287" t="s">
        <v>1561</v>
      </c>
      <c r="W287" t="s">
        <v>1561</v>
      </c>
    </row>
    <row r="288" spans="1:23">
      <c r="A288">
        <v>1287</v>
      </c>
      <c r="B288" t="s">
        <v>179</v>
      </c>
      <c r="C288" s="7">
        <v>45571</v>
      </c>
      <c r="D288" s="7">
        <v>45573</v>
      </c>
      <c r="E288" t="s">
        <v>69</v>
      </c>
      <c r="F288" t="s">
        <v>180</v>
      </c>
      <c r="G288" t="s">
        <v>1567</v>
      </c>
      <c r="H288" t="s">
        <v>51</v>
      </c>
      <c r="I288" t="s">
        <v>26</v>
      </c>
      <c r="J288" t="s">
        <v>72</v>
      </c>
      <c r="K288" t="s">
        <v>73</v>
      </c>
      <c r="L288" t="s">
        <v>29</v>
      </c>
      <c r="M288">
        <v>673001</v>
      </c>
      <c r="N288" t="s">
        <v>181</v>
      </c>
      <c r="O288" t="s">
        <v>138</v>
      </c>
      <c r="P288" t="s">
        <v>182</v>
      </c>
      <c r="Q288" t="s">
        <v>183</v>
      </c>
      <c r="R288" s="8">
        <v>3186.37</v>
      </c>
      <c r="S288">
        <v>8</v>
      </c>
      <c r="T288">
        <v>0.1</v>
      </c>
      <c r="U288" s="8">
        <v>456.42</v>
      </c>
      <c r="V288" t="s">
        <v>1561</v>
      </c>
      <c r="W288" t="s">
        <v>1561</v>
      </c>
    </row>
    <row r="289" spans="1:23">
      <c r="A289">
        <v>1288</v>
      </c>
      <c r="B289" t="s">
        <v>1004</v>
      </c>
      <c r="C289" s="7">
        <v>45463</v>
      </c>
      <c r="D289" s="7">
        <v>45464</v>
      </c>
      <c r="E289" t="s">
        <v>101</v>
      </c>
      <c r="F289" t="s">
        <v>388</v>
      </c>
      <c r="G289" t="s">
        <v>1560</v>
      </c>
      <c r="H289" t="s">
        <v>25</v>
      </c>
      <c r="I289" t="s">
        <v>26</v>
      </c>
      <c r="J289" t="s">
        <v>52</v>
      </c>
      <c r="K289" t="s">
        <v>52</v>
      </c>
      <c r="L289" t="s">
        <v>63</v>
      </c>
      <c r="M289">
        <v>673001</v>
      </c>
      <c r="N289" t="s">
        <v>1005</v>
      </c>
      <c r="O289" t="s">
        <v>55</v>
      </c>
      <c r="P289" t="s">
        <v>56</v>
      </c>
      <c r="Q289" t="s">
        <v>57</v>
      </c>
      <c r="R289" s="8">
        <v>30469.77</v>
      </c>
      <c r="S289">
        <v>4</v>
      </c>
      <c r="T289">
        <v>0</v>
      </c>
      <c r="U289" s="8">
        <v>5970.91</v>
      </c>
      <c r="V289" t="s">
        <v>1561</v>
      </c>
      <c r="W289" t="s">
        <v>1561</v>
      </c>
    </row>
    <row r="290" spans="1:23">
      <c r="A290">
        <v>1289</v>
      </c>
      <c r="B290" t="s">
        <v>1371</v>
      </c>
      <c r="C290" s="7">
        <v>45656</v>
      </c>
      <c r="D290" s="7">
        <v>45659</v>
      </c>
      <c r="E290" t="s">
        <v>22</v>
      </c>
      <c r="F290" t="s">
        <v>517</v>
      </c>
      <c r="G290" t="s">
        <v>1567</v>
      </c>
      <c r="H290" t="s">
        <v>51</v>
      </c>
      <c r="I290" t="s">
        <v>26</v>
      </c>
      <c r="J290" t="s">
        <v>52</v>
      </c>
      <c r="K290" t="s">
        <v>52</v>
      </c>
      <c r="L290" t="s">
        <v>92</v>
      </c>
      <c r="M290">
        <v>110001</v>
      </c>
      <c r="N290" t="s">
        <v>1372</v>
      </c>
      <c r="O290" t="s">
        <v>44</v>
      </c>
      <c r="P290" t="s">
        <v>211</v>
      </c>
      <c r="Q290" t="s">
        <v>223</v>
      </c>
      <c r="R290" s="8">
        <v>11294.08</v>
      </c>
      <c r="S290">
        <v>7</v>
      </c>
      <c r="T290">
        <v>0.05</v>
      </c>
      <c r="U290" s="8">
        <v>1061.99</v>
      </c>
      <c r="V290" t="s">
        <v>1561</v>
      </c>
      <c r="W290" t="s">
        <v>1561</v>
      </c>
    </row>
    <row r="291" spans="1:23">
      <c r="A291">
        <v>1290</v>
      </c>
      <c r="B291" t="s">
        <v>861</v>
      </c>
      <c r="C291" s="7">
        <v>45589</v>
      </c>
      <c r="D291" s="7">
        <v>45590</v>
      </c>
      <c r="E291" t="s">
        <v>69</v>
      </c>
      <c r="F291" t="s">
        <v>255</v>
      </c>
      <c r="G291" t="s">
        <v>1572</v>
      </c>
      <c r="H291" t="s">
        <v>108</v>
      </c>
      <c r="I291" t="s">
        <v>26</v>
      </c>
      <c r="J291" t="s">
        <v>109</v>
      </c>
      <c r="K291" t="s">
        <v>110</v>
      </c>
      <c r="L291" t="s">
        <v>29</v>
      </c>
      <c r="M291">
        <v>673001</v>
      </c>
      <c r="N291" t="s">
        <v>862</v>
      </c>
      <c r="O291" t="s">
        <v>83</v>
      </c>
      <c r="P291" t="s">
        <v>33</v>
      </c>
      <c r="Q291" t="s">
        <v>34</v>
      </c>
      <c r="R291" s="8">
        <v>2796.47</v>
      </c>
      <c r="S291">
        <v>2</v>
      </c>
      <c r="T291">
        <v>0</v>
      </c>
      <c r="U291" s="8">
        <v>614.61</v>
      </c>
      <c r="V291" t="s">
        <v>1561</v>
      </c>
      <c r="W291" t="s">
        <v>1561</v>
      </c>
    </row>
    <row r="292" spans="1:23">
      <c r="A292">
        <v>1291</v>
      </c>
      <c r="B292" t="s">
        <v>249</v>
      </c>
      <c r="C292" s="7">
        <v>45441</v>
      </c>
      <c r="D292" s="7">
        <v>45444</v>
      </c>
      <c r="E292" t="s">
        <v>48</v>
      </c>
      <c r="F292" t="s">
        <v>77</v>
      </c>
      <c r="G292" t="s">
        <v>1575</v>
      </c>
      <c r="H292" t="s">
        <v>51</v>
      </c>
      <c r="I292" t="s">
        <v>26</v>
      </c>
      <c r="J292" t="s">
        <v>79</v>
      </c>
      <c r="K292" t="s">
        <v>80</v>
      </c>
      <c r="L292" t="s">
        <v>29</v>
      </c>
      <c r="M292">
        <v>400001</v>
      </c>
      <c r="N292" t="s">
        <v>250</v>
      </c>
      <c r="O292" t="s">
        <v>44</v>
      </c>
      <c r="P292" t="s">
        <v>207</v>
      </c>
      <c r="Q292" t="s">
        <v>208</v>
      </c>
      <c r="R292" s="8">
        <v>325458.06</v>
      </c>
      <c r="S292">
        <v>7</v>
      </c>
      <c r="T292">
        <v>0.1</v>
      </c>
      <c r="U292" s="8">
        <v>18160.8</v>
      </c>
      <c r="V292" t="s">
        <v>1561</v>
      </c>
      <c r="W292" t="s">
        <v>1561</v>
      </c>
    </row>
    <row r="293" spans="1:23">
      <c r="A293">
        <v>1292</v>
      </c>
      <c r="B293" t="s">
        <v>308</v>
      </c>
      <c r="C293" s="7">
        <v>45395</v>
      </c>
      <c r="D293" s="7">
        <v>45397</v>
      </c>
      <c r="E293" t="s">
        <v>22</v>
      </c>
      <c r="F293" t="s">
        <v>309</v>
      </c>
      <c r="G293" t="s">
        <v>1573</v>
      </c>
      <c r="H293" t="s">
        <v>51</v>
      </c>
      <c r="I293" t="s">
        <v>26</v>
      </c>
      <c r="J293" t="s">
        <v>160</v>
      </c>
      <c r="K293" t="s">
        <v>161</v>
      </c>
      <c r="L293" t="s">
        <v>92</v>
      </c>
      <c r="M293">
        <v>560001</v>
      </c>
      <c r="N293" t="s">
        <v>311</v>
      </c>
      <c r="O293" t="s">
        <v>55</v>
      </c>
      <c r="P293" t="s">
        <v>56</v>
      </c>
      <c r="Q293" t="s">
        <v>57</v>
      </c>
      <c r="R293" s="8">
        <v>14382.99</v>
      </c>
      <c r="S293">
        <v>2</v>
      </c>
      <c r="T293">
        <v>0</v>
      </c>
      <c r="U293" s="8">
        <v>2104.23</v>
      </c>
      <c r="V293" t="s">
        <v>1561</v>
      </c>
      <c r="W293" t="s">
        <v>1561</v>
      </c>
    </row>
    <row r="294" spans="1:23">
      <c r="A294">
        <v>1293</v>
      </c>
      <c r="B294" t="s">
        <v>600</v>
      </c>
      <c r="C294" s="7">
        <v>45523</v>
      </c>
      <c r="D294" s="7">
        <v>45526</v>
      </c>
      <c r="E294" t="s">
        <v>101</v>
      </c>
      <c r="F294" t="s">
        <v>601</v>
      </c>
      <c r="G294" t="s">
        <v>1572</v>
      </c>
      <c r="H294" t="s">
        <v>51</v>
      </c>
      <c r="I294" t="s">
        <v>26</v>
      </c>
      <c r="J294" t="s">
        <v>226</v>
      </c>
      <c r="K294" t="s">
        <v>110</v>
      </c>
      <c r="L294" t="s">
        <v>41</v>
      </c>
      <c r="M294">
        <v>673001</v>
      </c>
      <c r="N294" t="s">
        <v>602</v>
      </c>
      <c r="O294" t="s">
        <v>55</v>
      </c>
      <c r="P294" t="s">
        <v>98</v>
      </c>
      <c r="Q294" t="s">
        <v>99</v>
      </c>
      <c r="R294" s="8">
        <v>11765.88</v>
      </c>
      <c r="S294">
        <v>2</v>
      </c>
      <c r="T294">
        <v>0.1</v>
      </c>
      <c r="U294" s="8">
        <v>972.53</v>
      </c>
      <c r="V294" t="s">
        <v>1561</v>
      </c>
      <c r="W294" t="s">
        <v>1561</v>
      </c>
    </row>
    <row r="295" spans="1:23">
      <c r="A295">
        <v>1294</v>
      </c>
      <c r="B295" t="s">
        <v>1234</v>
      </c>
      <c r="C295" s="7">
        <v>45402</v>
      </c>
      <c r="D295" s="7">
        <v>45405</v>
      </c>
      <c r="E295" t="s">
        <v>69</v>
      </c>
      <c r="F295" t="s">
        <v>185</v>
      </c>
      <c r="G295" t="s">
        <v>1560</v>
      </c>
      <c r="H295" t="s">
        <v>51</v>
      </c>
      <c r="I295" t="s">
        <v>26</v>
      </c>
      <c r="J295" t="s">
        <v>27</v>
      </c>
      <c r="K295" t="s">
        <v>28</v>
      </c>
      <c r="L295" t="s">
        <v>92</v>
      </c>
      <c r="M295">
        <v>695001</v>
      </c>
      <c r="N295" t="s">
        <v>464</v>
      </c>
      <c r="O295" t="s">
        <v>138</v>
      </c>
      <c r="P295" t="s">
        <v>156</v>
      </c>
      <c r="Q295" t="s">
        <v>157</v>
      </c>
      <c r="R295" s="8">
        <v>1416.85</v>
      </c>
      <c r="S295">
        <v>4</v>
      </c>
      <c r="T295">
        <v>0</v>
      </c>
      <c r="U295" s="8">
        <v>230.79</v>
      </c>
      <c r="V295" t="s">
        <v>1561</v>
      </c>
      <c r="W295" t="s">
        <v>1561</v>
      </c>
    </row>
    <row r="296" spans="1:23">
      <c r="A296">
        <v>1295</v>
      </c>
      <c r="B296" t="s">
        <v>636</v>
      </c>
      <c r="C296" s="7">
        <v>45307</v>
      </c>
      <c r="D296" s="7">
        <v>45311</v>
      </c>
      <c r="E296" t="s">
        <v>101</v>
      </c>
      <c r="F296" t="s">
        <v>142</v>
      </c>
      <c r="G296" t="s">
        <v>1560</v>
      </c>
      <c r="H296" t="s">
        <v>25</v>
      </c>
      <c r="I296" t="s">
        <v>26</v>
      </c>
      <c r="J296" t="s">
        <v>52</v>
      </c>
      <c r="K296" t="s">
        <v>52</v>
      </c>
      <c r="L296" t="s">
        <v>92</v>
      </c>
      <c r="M296">
        <v>673001</v>
      </c>
      <c r="N296" t="s">
        <v>258</v>
      </c>
      <c r="O296" t="s">
        <v>44</v>
      </c>
      <c r="P296" t="s">
        <v>207</v>
      </c>
      <c r="Q296" t="s">
        <v>208</v>
      </c>
      <c r="R296" s="8">
        <v>92920.15</v>
      </c>
      <c r="S296">
        <v>2</v>
      </c>
      <c r="T296">
        <v>0.05</v>
      </c>
      <c r="U296" s="8">
        <v>5947.93</v>
      </c>
      <c r="V296" t="s">
        <v>1561</v>
      </c>
      <c r="W296" t="s">
        <v>1561</v>
      </c>
    </row>
    <row r="297" spans="1:23">
      <c r="A297">
        <v>1296</v>
      </c>
      <c r="B297" t="s">
        <v>1405</v>
      </c>
      <c r="C297" s="7">
        <v>45405</v>
      </c>
      <c r="D297" s="7">
        <v>45407</v>
      </c>
      <c r="E297" t="s">
        <v>69</v>
      </c>
      <c r="F297" t="s">
        <v>247</v>
      </c>
      <c r="G297" t="s">
        <v>1564</v>
      </c>
      <c r="H297" t="s">
        <v>25</v>
      </c>
      <c r="I297" t="s">
        <v>26</v>
      </c>
      <c r="J297" t="s">
        <v>131</v>
      </c>
      <c r="K297" t="s">
        <v>132</v>
      </c>
      <c r="L297" t="s">
        <v>63</v>
      </c>
      <c r="M297">
        <v>400001</v>
      </c>
      <c r="N297" t="s">
        <v>1139</v>
      </c>
      <c r="O297" t="s">
        <v>83</v>
      </c>
      <c r="P297" t="s">
        <v>84</v>
      </c>
      <c r="Q297" t="s">
        <v>85</v>
      </c>
      <c r="R297" s="8">
        <v>3015.08</v>
      </c>
      <c r="S297">
        <v>1</v>
      </c>
      <c r="T297">
        <v>0</v>
      </c>
      <c r="U297" s="8">
        <v>806.86</v>
      </c>
      <c r="V297" t="s">
        <v>1561</v>
      </c>
      <c r="W297" t="s">
        <v>1561</v>
      </c>
    </row>
    <row r="298" spans="1:23">
      <c r="A298">
        <v>1297</v>
      </c>
      <c r="B298" t="s">
        <v>314</v>
      </c>
      <c r="C298" s="7">
        <v>45303</v>
      </c>
      <c r="D298" s="7">
        <v>45304</v>
      </c>
      <c r="E298" t="s">
        <v>69</v>
      </c>
      <c r="F298" t="s">
        <v>315</v>
      </c>
      <c r="G298" t="s">
        <v>1566</v>
      </c>
      <c r="H298" t="s">
        <v>25</v>
      </c>
      <c r="I298" t="s">
        <v>26</v>
      </c>
      <c r="J298" t="s">
        <v>90</v>
      </c>
      <c r="K298" t="s">
        <v>91</v>
      </c>
      <c r="L298" t="s">
        <v>29</v>
      </c>
      <c r="M298">
        <v>110001</v>
      </c>
      <c r="N298" t="s">
        <v>316</v>
      </c>
      <c r="O298" t="s">
        <v>44</v>
      </c>
      <c r="P298" t="s">
        <v>45</v>
      </c>
      <c r="Q298" t="s">
        <v>46</v>
      </c>
      <c r="R298" s="8">
        <v>68335.259999999995</v>
      </c>
      <c r="S298">
        <v>2</v>
      </c>
      <c r="T298">
        <v>0</v>
      </c>
      <c r="U298" s="8">
        <v>6936.83</v>
      </c>
      <c r="V298" t="s">
        <v>1561</v>
      </c>
      <c r="W298" t="s">
        <v>1561</v>
      </c>
    </row>
    <row r="299" spans="1:23">
      <c r="A299">
        <v>1298</v>
      </c>
      <c r="B299" t="s">
        <v>1206</v>
      </c>
      <c r="C299" s="7">
        <v>45313</v>
      </c>
      <c r="D299" s="7">
        <v>45317</v>
      </c>
      <c r="E299" t="s">
        <v>22</v>
      </c>
      <c r="F299" t="s">
        <v>633</v>
      </c>
      <c r="G299" t="s">
        <v>1567</v>
      </c>
      <c r="H299" t="s">
        <v>25</v>
      </c>
      <c r="I299" t="s">
        <v>26</v>
      </c>
      <c r="J299" t="s">
        <v>131</v>
      </c>
      <c r="K299" t="s">
        <v>132</v>
      </c>
      <c r="L299" t="s">
        <v>29</v>
      </c>
      <c r="M299">
        <v>110001</v>
      </c>
      <c r="N299" t="s">
        <v>359</v>
      </c>
      <c r="O299" t="s">
        <v>188</v>
      </c>
      <c r="P299" t="s">
        <v>189</v>
      </c>
      <c r="Q299" t="s">
        <v>190</v>
      </c>
      <c r="R299" s="8">
        <v>30841.1</v>
      </c>
      <c r="S299">
        <v>5</v>
      </c>
      <c r="T299">
        <v>0</v>
      </c>
      <c r="U299" s="8">
        <v>3957.14</v>
      </c>
      <c r="V299" t="s">
        <v>1561</v>
      </c>
      <c r="W299" t="s">
        <v>1561</v>
      </c>
    </row>
    <row r="300" spans="1:23">
      <c r="A300">
        <v>1299</v>
      </c>
      <c r="B300" t="s">
        <v>990</v>
      </c>
      <c r="C300" s="7">
        <v>45473</v>
      </c>
      <c r="D300" s="7">
        <v>45475</v>
      </c>
      <c r="E300" t="s">
        <v>69</v>
      </c>
      <c r="F300" t="s">
        <v>660</v>
      </c>
      <c r="G300" t="s">
        <v>1570</v>
      </c>
      <c r="H300" t="s">
        <v>51</v>
      </c>
      <c r="I300" t="s">
        <v>26</v>
      </c>
      <c r="J300" t="s">
        <v>109</v>
      </c>
      <c r="K300" t="s">
        <v>110</v>
      </c>
      <c r="L300" t="s">
        <v>29</v>
      </c>
      <c r="M300">
        <v>682001</v>
      </c>
      <c r="N300" t="s">
        <v>991</v>
      </c>
      <c r="O300" t="s">
        <v>138</v>
      </c>
      <c r="P300" t="s">
        <v>182</v>
      </c>
      <c r="Q300" t="s">
        <v>183</v>
      </c>
      <c r="R300" s="8">
        <v>1755.84</v>
      </c>
      <c r="S300">
        <v>4</v>
      </c>
      <c r="T300">
        <v>0.05</v>
      </c>
      <c r="U300" s="8">
        <v>245.92</v>
      </c>
      <c r="V300" t="s">
        <v>1561</v>
      </c>
      <c r="W300" t="s">
        <v>1561</v>
      </c>
    </row>
    <row r="301" spans="1:23">
      <c r="A301">
        <v>1300</v>
      </c>
      <c r="B301" t="s">
        <v>350</v>
      </c>
      <c r="C301" s="7">
        <v>45502</v>
      </c>
      <c r="D301" s="7">
        <v>45507</v>
      </c>
      <c r="E301" t="s">
        <v>101</v>
      </c>
      <c r="F301" t="s">
        <v>345</v>
      </c>
      <c r="G301" t="s">
        <v>1573</v>
      </c>
      <c r="H301" t="s">
        <v>25</v>
      </c>
      <c r="I301" t="s">
        <v>26</v>
      </c>
      <c r="J301" t="s">
        <v>79</v>
      </c>
      <c r="K301" t="s">
        <v>80</v>
      </c>
      <c r="L301" t="s">
        <v>63</v>
      </c>
      <c r="M301">
        <v>560001</v>
      </c>
      <c r="N301" t="s">
        <v>351</v>
      </c>
      <c r="O301" t="s">
        <v>138</v>
      </c>
      <c r="P301" t="s">
        <v>139</v>
      </c>
      <c r="Q301" t="s">
        <v>140</v>
      </c>
      <c r="R301" s="8">
        <v>1896.78</v>
      </c>
      <c r="S301">
        <v>3</v>
      </c>
      <c r="T301">
        <v>0.3</v>
      </c>
      <c r="U301" s="8">
        <v>7.31</v>
      </c>
      <c r="V301" t="s">
        <v>1561</v>
      </c>
      <c r="W301" t="s">
        <v>1561</v>
      </c>
    </row>
    <row r="302" spans="1:23">
      <c r="A302">
        <v>1301</v>
      </c>
      <c r="B302" t="s">
        <v>711</v>
      </c>
      <c r="C302" s="7">
        <v>45614</v>
      </c>
      <c r="D302" s="7">
        <v>45619</v>
      </c>
      <c r="E302" t="s">
        <v>22</v>
      </c>
      <c r="F302" t="s">
        <v>678</v>
      </c>
      <c r="G302" t="s">
        <v>1575</v>
      </c>
      <c r="H302" t="s">
        <v>25</v>
      </c>
      <c r="I302" t="s">
        <v>26</v>
      </c>
      <c r="J302" t="s">
        <v>109</v>
      </c>
      <c r="K302" t="s">
        <v>110</v>
      </c>
      <c r="L302" t="s">
        <v>63</v>
      </c>
      <c r="M302">
        <v>560001</v>
      </c>
      <c r="N302" t="s">
        <v>712</v>
      </c>
      <c r="O302" t="s">
        <v>44</v>
      </c>
      <c r="P302" t="s">
        <v>211</v>
      </c>
      <c r="Q302" t="s">
        <v>223</v>
      </c>
      <c r="R302" s="8">
        <v>7670.94</v>
      </c>
      <c r="S302">
        <v>5</v>
      </c>
      <c r="T302">
        <v>0.1</v>
      </c>
      <c r="U302" s="8">
        <v>306.98</v>
      </c>
      <c r="V302" t="s">
        <v>1561</v>
      </c>
      <c r="W302" t="s">
        <v>1561</v>
      </c>
    </row>
    <row r="303" spans="1:23">
      <c r="A303">
        <v>1302</v>
      </c>
      <c r="B303" t="s">
        <v>1040</v>
      </c>
      <c r="C303" s="7">
        <v>45490</v>
      </c>
      <c r="D303" s="7">
        <v>45493</v>
      </c>
      <c r="E303" t="s">
        <v>69</v>
      </c>
      <c r="F303" t="s">
        <v>426</v>
      </c>
      <c r="G303" t="s">
        <v>1563</v>
      </c>
      <c r="H303" t="s">
        <v>51</v>
      </c>
      <c r="I303" t="s">
        <v>26</v>
      </c>
      <c r="J303" t="s">
        <v>27</v>
      </c>
      <c r="K303" t="s">
        <v>28</v>
      </c>
      <c r="L303" t="s">
        <v>92</v>
      </c>
      <c r="M303">
        <v>673001</v>
      </c>
      <c r="N303" t="s">
        <v>1041</v>
      </c>
      <c r="O303" t="s">
        <v>138</v>
      </c>
      <c r="P303" t="s">
        <v>182</v>
      </c>
      <c r="Q303" t="s">
        <v>183</v>
      </c>
      <c r="R303" s="8">
        <v>1024.19</v>
      </c>
      <c r="S303">
        <v>3</v>
      </c>
      <c r="T303">
        <v>0.2</v>
      </c>
      <c r="U303" s="8">
        <v>56.95</v>
      </c>
      <c r="V303" t="s">
        <v>1561</v>
      </c>
      <c r="W303" t="s">
        <v>1561</v>
      </c>
    </row>
    <row r="304" spans="1:23">
      <c r="A304">
        <v>1303</v>
      </c>
      <c r="B304" t="s">
        <v>802</v>
      </c>
      <c r="C304" s="7">
        <v>45591</v>
      </c>
      <c r="D304" s="7">
        <v>45593</v>
      </c>
      <c r="E304" t="s">
        <v>69</v>
      </c>
      <c r="F304" t="s">
        <v>452</v>
      </c>
      <c r="G304" t="s">
        <v>1565</v>
      </c>
      <c r="H304" t="s">
        <v>51</v>
      </c>
      <c r="I304" t="s">
        <v>26</v>
      </c>
      <c r="J304" t="s">
        <v>27</v>
      </c>
      <c r="K304" t="s">
        <v>28</v>
      </c>
      <c r="L304" t="s">
        <v>92</v>
      </c>
      <c r="M304">
        <v>695001</v>
      </c>
      <c r="N304" t="s">
        <v>803</v>
      </c>
      <c r="O304" t="s">
        <v>55</v>
      </c>
      <c r="P304" t="s">
        <v>66</v>
      </c>
      <c r="Q304" t="s">
        <v>67</v>
      </c>
      <c r="R304" s="8">
        <v>51098.01</v>
      </c>
      <c r="S304">
        <v>8</v>
      </c>
      <c r="T304">
        <v>0.2</v>
      </c>
      <c r="U304" s="8">
        <v>1502.88</v>
      </c>
      <c r="V304" t="s">
        <v>1561</v>
      </c>
      <c r="W304" t="s">
        <v>1561</v>
      </c>
    </row>
    <row r="305" spans="1:23">
      <c r="A305">
        <v>1304</v>
      </c>
      <c r="B305" t="s">
        <v>1198</v>
      </c>
      <c r="C305" s="7">
        <v>45586</v>
      </c>
      <c r="D305" s="7">
        <v>45590</v>
      </c>
      <c r="E305" t="s">
        <v>48</v>
      </c>
      <c r="F305" t="s">
        <v>242</v>
      </c>
      <c r="G305" t="s">
        <v>1572</v>
      </c>
      <c r="H305" t="s">
        <v>108</v>
      </c>
      <c r="I305" t="s">
        <v>26</v>
      </c>
      <c r="J305" t="s">
        <v>61</v>
      </c>
      <c r="K305" t="s">
        <v>62</v>
      </c>
      <c r="L305" t="s">
        <v>92</v>
      </c>
      <c r="M305">
        <v>682001</v>
      </c>
      <c r="N305" t="s">
        <v>1199</v>
      </c>
      <c r="O305" t="s">
        <v>83</v>
      </c>
      <c r="P305" t="s">
        <v>84</v>
      </c>
      <c r="Q305" t="s">
        <v>85</v>
      </c>
      <c r="R305" s="8">
        <v>2744.68</v>
      </c>
      <c r="S305">
        <v>1</v>
      </c>
      <c r="T305">
        <v>0.1</v>
      </c>
      <c r="U305" s="8">
        <v>473.31</v>
      </c>
      <c r="V305" t="s">
        <v>1561</v>
      </c>
      <c r="W305" t="s">
        <v>1561</v>
      </c>
    </row>
    <row r="306" spans="1:23">
      <c r="A306">
        <v>1305</v>
      </c>
      <c r="B306" t="s">
        <v>930</v>
      </c>
      <c r="C306" s="7">
        <v>45652</v>
      </c>
      <c r="D306" s="7">
        <v>45658</v>
      </c>
      <c r="E306" t="s">
        <v>48</v>
      </c>
      <c r="F306" t="s">
        <v>931</v>
      </c>
      <c r="G306" t="s">
        <v>1574</v>
      </c>
      <c r="H306" t="s">
        <v>25</v>
      </c>
      <c r="I306" t="s">
        <v>26</v>
      </c>
      <c r="J306" t="s">
        <v>79</v>
      </c>
      <c r="K306" t="s">
        <v>80</v>
      </c>
      <c r="L306" t="s">
        <v>92</v>
      </c>
      <c r="M306">
        <v>600001</v>
      </c>
      <c r="N306" t="s">
        <v>932</v>
      </c>
      <c r="O306" t="s">
        <v>55</v>
      </c>
      <c r="P306" t="s">
        <v>56</v>
      </c>
      <c r="Q306" t="s">
        <v>57</v>
      </c>
      <c r="R306" s="8">
        <v>28815.75</v>
      </c>
      <c r="S306">
        <v>4</v>
      </c>
      <c r="T306">
        <v>0</v>
      </c>
      <c r="U306" s="8">
        <v>5049.43</v>
      </c>
      <c r="V306" t="s">
        <v>1561</v>
      </c>
      <c r="W306" t="s">
        <v>1561</v>
      </c>
    </row>
    <row r="307" spans="1:23">
      <c r="A307">
        <v>1306</v>
      </c>
      <c r="B307" t="s">
        <v>980</v>
      </c>
      <c r="C307" s="7">
        <v>45381</v>
      </c>
      <c r="D307" s="7">
        <v>45385</v>
      </c>
      <c r="E307" t="s">
        <v>22</v>
      </c>
      <c r="F307" t="s">
        <v>185</v>
      </c>
      <c r="G307" t="s">
        <v>1569</v>
      </c>
      <c r="H307" t="s">
        <v>108</v>
      </c>
      <c r="I307" t="s">
        <v>26</v>
      </c>
      <c r="J307" t="s">
        <v>61</v>
      </c>
      <c r="K307" t="s">
        <v>62</v>
      </c>
      <c r="L307" t="s">
        <v>41</v>
      </c>
      <c r="M307">
        <v>600001</v>
      </c>
      <c r="N307" t="s">
        <v>558</v>
      </c>
      <c r="O307" t="s">
        <v>83</v>
      </c>
      <c r="P307" t="s">
        <v>84</v>
      </c>
      <c r="Q307" t="s">
        <v>85</v>
      </c>
      <c r="R307" s="8">
        <v>7558.53</v>
      </c>
      <c r="S307">
        <v>3</v>
      </c>
      <c r="T307">
        <v>0.15</v>
      </c>
      <c r="U307" s="8">
        <v>1325.24</v>
      </c>
      <c r="V307" t="s">
        <v>1561</v>
      </c>
      <c r="W307" t="s">
        <v>1561</v>
      </c>
    </row>
    <row r="308" spans="1:23">
      <c r="A308">
        <v>1307</v>
      </c>
      <c r="B308" t="s">
        <v>403</v>
      </c>
      <c r="C308" s="7">
        <v>45358</v>
      </c>
      <c r="D308" s="7">
        <v>45361</v>
      </c>
      <c r="E308" t="s">
        <v>69</v>
      </c>
      <c r="F308" t="s">
        <v>404</v>
      </c>
      <c r="G308" t="s">
        <v>1575</v>
      </c>
      <c r="H308" t="s">
        <v>51</v>
      </c>
      <c r="I308" t="s">
        <v>26</v>
      </c>
      <c r="J308" t="s">
        <v>346</v>
      </c>
      <c r="K308" t="s">
        <v>132</v>
      </c>
      <c r="L308" t="s">
        <v>63</v>
      </c>
      <c r="M308">
        <v>673001</v>
      </c>
      <c r="N308" t="s">
        <v>405</v>
      </c>
      <c r="O308" t="s">
        <v>138</v>
      </c>
      <c r="P308" t="s">
        <v>121</v>
      </c>
      <c r="Q308" t="s">
        <v>122</v>
      </c>
      <c r="R308" s="8">
        <v>1193.94</v>
      </c>
      <c r="S308">
        <v>2</v>
      </c>
      <c r="T308">
        <v>0.1</v>
      </c>
      <c r="U308" s="8">
        <v>127.48</v>
      </c>
      <c r="V308" t="s">
        <v>1561</v>
      </c>
      <c r="W308" t="s">
        <v>1561</v>
      </c>
    </row>
    <row r="309" spans="1:23">
      <c r="A309">
        <v>1308</v>
      </c>
      <c r="B309" t="s">
        <v>900</v>
      </c>
      <c r="C309" s="7">
        <v>45561</v>
      </c>
      <c r="D309" s="7">
        <v>45564</v>
      </c>
      <c r="E309" t="s">
        <v>22</v>
      </c>
      <c r="F309" t="s">
        <v>446</v>
      </c>
      <c r="G309" t="s">
        <v>1560</v>
      </c>
      <c r="H309" t="s">
        <v>25</v>
      </c>
      <c r="I309" t="s">
        <v>26</v>
      </c>
      <c r="J309" t="s">
        <v>166</v>
      </c>
      <c r="K309" t="s">
        <v>132</v>
      </c>
      <c r="L309" t="s">
        <v>29</v>
      </c>
      <c r="M309">
        <v>600001</v>
      </c>
      <c r="N309" t="s">
        <v>901</v>
      </c>
      <c r="O309" t="s">
        <v>138</v>
      </c>
      <c r="P309" t="s">
        <v>139</v>
      </c>
      <c r="Q309" t="s">
        <v>140</v>
      </c>
      <c r="R309" s="8">
        <v>1006.78</v>
      </c>
      <c r="S309">
        <v>1</v>
      </c>
      <c r="T309">
        <v>0</v>
      </c>
      <c r="U309" s="8">
        <v>243.73</v>
      </c>
      <c r="V309" t="s">
        <v>1561</v>
      </c>
      <c r="W309" t="s">
        <v>1561</v>
      </c>
    </row>
    <row r="310" spans="1:23">
      <c r="A310">
        <v>1309</v>
      </c>
      <c r="B310" t="s">
        <v>1500</v>
      </c>
      <c r="C310" s="7">
        <v>45619</v>
      </c>
      <c r="D310" s="7">
        <v>45623</v>
      </c>
      <c r="E310" t="s">
        <v>48</v>
      </c>
      <c r="F310" t="s">
        <v>370</v>
      </c>
      <c r="G310" t="s">
        <v>1560</v>
      </c>
      <c r="H310" t="s">
        <v>51</v>
      </c>
      <c r="I310" t="s">
        <v>26</v>
      </c>
      <c r="J310" t="s">
        <v>226</v>
      </c>
      <c r="K310" t="s">
        <v>110</v>
      </c>
      <c r="L310" t="s">
        <v>63</v>
      </c>
      <c r="M310">
        <v>682001</v>
      </c>
      <c r="N310" t="s">
        <v>1501</v>
      </c>
      <c r="O310" t="s">
        <v>55</v>
      </c>
      <c r="P310" t="s">
        <v>66</v>
      </c>
      <c r="Q310" t="s">
        <v>67</v>
      </c>
      <c r="R310" s="8">
        <v>47418.400000000001</v>
      </c>
      <c r="S310">
        <v>8</v>
      </c>
      <c r="T310">
        <v>0.25</v>
      </c>
      <c r="U310" s="8">
        <v>-105.32</v>
      </c>
      <c r="V310" t="s">
        <v>1561</v>
      </c>
      <c r="W310" t="s">
        <v>1561</v>
      </c>
    </row>
    <row r="311" spans="1:23">
      <c r="A311">
        <v>1310</v>
      </c>
      <c r="B311" t="s">
        <v>1149</v>
      </c>
      <c r="C311" s="7">
        <v>45357</v>
      </c>
      <c r="D311" s="7">
        <v>45359</v>
      </c>
      <c r="E311" t="s">
        <v>22</v>
      </c>
      <c r="F311" t="s">
        <v>324</v>
      </c>
      <c r="G311" t="s">
        <v>1574</v>
      </c>
      <c r="H311" t="s">
        <v>51</v>
      </c>
      <c r="I311" t="s">
        <v>26</v>
      </c>
      <c r="J311" t="s">
        <v>79</v>
      </c>
      <c r="K311" t="s">
        <v>80</v>
      </c>
      <c r="L311" t="s">
        <v>29</v>
      </c>
      <c r="M311">
        <v>110001</v>
      </c>
      <c r="N311" t="s">
        <v>556</v>
      </c>
      <c r="O311" t="s">
        <v>188</v>
      </c>
      <c r="P311" t="s">
        <v>189</v>
      </c>
      <c r="Q311" t="s">
        <v>386</v>
      </c>
      <c r="R311" s="8">
        <v>3923.23</v>
      </c>
      <c r="S311">
        <v>2</v>
      </c>
      <c r="T311">
        <v>0.15</v>
      </c>
      <c r="U311" s="8">
        <v>143.33000000000001</v>
      </c>
      <c r="V311" t="s">
        <v>1561</v>
      </c>
      <c r="W311" t="s">
        <v>1561</v>
      </c>
    </row>
    <row r="312" spans="1:23">
      <c r="A312">
        <v>1311</v>
      </c>
      <c r="B312" t="s">
        <v>902</v>
      </c>
      <c r="C312" s="7">
        <v>45619</v>
      </c>
      <c r="D312" s="7">
        <v>45624</v>
      </c>
      <c r="E312" t="s">
        <v>22</v>
      </c>
      <c r="F312" t="s">
        <v>242</v>
      </c>
      <c r="G312" t="s">
        <v>1562</v>
      </c>
      <c r="H312" t="s">
        <v>51</v>
      </c>
      <c r="I312" t="s">
        <v>26</v>
      </c>
      <c r="J312" t="s">
        <v>79</v>
      </c>
      <c r="K312" t="s">
        <v>80</v>
      </c>
      <c r="L312" t="s">
        <v>92</v>
      </c>
      <c r="M312">
        <v>695001</v>
      </c>
      <c r="N312" t="s">
        <v>903</v>
      </c>
      <c r="O312" t="s">
        <v>44</v>
      </c>
      <c r="P312" t="s">
        <v>207</v>
      </c>
      <c r="Q312" t="s">
        <v>208</v>
      </c>
      <c r="R312" s="8">
        <v>88875.39</v>
      </c>
      <c r="S312">
        <v>2</v>
      </c>
      <c r="T312">
        <v>0.1</v>
      </c>
      <c r="U312" s="8">
        <v>3418.18</v>
      </c>
      <c r="V312" t="s">
        <v>1561</v>
      </c>
      <c r="W312" t="s">
        <v>1561</v>
      </c>
    </row>
    <row r="313" spans="1:23">
      <c r="A313">
        <v>1312</v>
      </c>
      <c r="B313" t="s">
        <v>458</v>
      </c>
      <c r="C313" s="7">
        <v>45654</v>
      </c>
      <c r="D313" s="7">
        <v>45660</v>
      </c>
      <c r="E313" t="s">
        <v>48</v>
      </c>
      <c r="F313" t="s">
        <v>260</v>
      </c>
      <c r="G313" t="s">
        <v>1569</v>
      </c>
      <c r="H313" t="s">
        <v>51</v>
      </c>
      <c r="I313" t="s">
        <v>26</v>
      </c>
      <c r="J313" t="s">
        <v>131</v>
      </c>
      <c r="K313" t="s">
        <v>132</v>
      </c>
      <c r="L313" t="s">
        <v>63</v>
      </c>
      <c r="M313">
        <v>682001</v>
      </c>
      <c r="N313" t="s">
        <v>459</v>
      </c>
      <c r="O313" t="s">
        <v>44</v>
      </c>
      <c r="P313" t="s">
        <v>211</v>
      </c>
      <c r="Q313" t="s">
        <v>223</v>
      </c>
      <c r="R313" s="8">
        <v>3525.39</v>
      </c>
      <c r="S313">
        <v>2</v>
      </c>
      <c r="T313">
        <v>0</v>
      </c>
      <c r="U313" s="8">
        <v>384.79</v>
      </c>
      <c r="V313" t="s">
        <v>1561</v>
      </c>
      <c r="W313" t="s">
        <v>1561</v>
      </c>
    </row>
    <row r="314" spans="1:23">
      <c r="A314">
        <v>1313</v>
      </c>
      <c r="B314" t="s">
        <v>973</v>
      </c>
      <c r="C314" s="7">
        <v>45316</v>
      </c>
      <c r="D314" s="7">
        <v>45320</v>
      </c>
      <c r="E314" t="s">
        <v>101</v>
      </c>
      <c r="F314" t="s">
        <v>214</v>
      </c>
      <c r="G314" t="s">
        <v>1564</v>
      </c>
      <c r="H314" t="s">
        <v>51</v>
      </c>
      <c r="I314" t="s">
        <v>26</v>
      </c>
      <c r="J314" t="s">
        <v>160</v>
      </c>
      <c r="K314" t="s">
        <v>161</v>
      </c>
      <c r="L314" t="s">
        <v>92</v>
      </c>
      <c r="M314">
        <v>560001</v>
      </c>
      <c r="N314" t="s">
        <v>974</v>
      </c>
      <c r="O314" t="s">
        <v>44</v>
      </c>
      <c r="P314" t="s">
        <v>45</v>
      </c>
      <c r="Q314" t="s">
        <v>46</v>
      </c>
      <c r="R314" s="8">
        <v>183405.74</v>
      </c>
      <c r="S314">
        <v>5</v>
      </c>
      <c r="T314">
        <v>0</v>
      </c>
      <c r="U314" s="8">
        <v>18852.32</v>
      </c>
      <c r="V314" t="s">
        <v>1561</v>
      </c>
      <c r="W314" t="s">
        <v>1561</v>
      </c>
    </row>
    <row r="315" spans="1:23">
      <c r="A315">
        <v>1314</v>
      </c>
      <c r="B315" t="s">
        <v>1486</v>
      </c>
      <c r="C315" s="7">
        <v>45587</v>
      </c>
      <c r="D315" s="7">
        <v>45593</v>
      </c>
      <c r="E315" t="s">
        <v>69</v>
      </c>
      <c r="F315" t="s">
        <v>195</v>
      </c>
      <c r="G315" t="s">
        <v>1562</v>
      </c>
      <c r="H315" t="s">
        <v>51</v>
      </c>
      <c r="I315" t="s">
        <v>26</v>
      </c>
      <c r="J315" t="s">
        <v>109</v>
      </c>
      <c r="K315" t="s">
        <v>110</v>
      </c>
      <c r="L315" t="s">
        <v>41</v>
      </c>
      <c r="M315">
        <v>110001</v>
      </c>
      <c r="N315" t="s">
        <v>1487</v>
      </c>
      <c r="O315" t="s">
        <v>55</v>
      </c>
      <c r="P315" t="s">
        <v>56</v>
      </c>
      <c r="Q315" t="s">
        <v>57</v>
      </c>
      <c r="R315" s="8">
        <v>5009.79</v>
      </c>
      <c r="S315">
        <v>1</v>
      </c>
      <c r="T315">
        <v>0.3</v>
      </c>
      <c r="U315" s="8">
        <v>-197.04</v>
      </c>
      <c r="V315" t="s">
        <v>1561</v>
      </c>
      <c r="W315" t="s">
        <v>1561</v>
      </c>
    </row>
    <row r="316" spans="1:23">
      <c r="A316">
        <v>1315</v>
      </c>
      <c r="B316" t="s">
        <v>615</v>
      </c>
      <c r="C316" s="7">
        <v>45329</v>
      </c>
      <c r="D316" s="7">
        <v>45332</v>
      </c>
      <c r="E316" t="s">
        <v>69</v>
      </c>
      <c r="F316" t="s">
        <v>373</v>
      </c>
      <c r="G316" t="s">
        <v>1564</v>
      </c>
      <c r="H316" t="s">
        <v>51</v>
      </c>
      <c r="I316" t="s">
        <v>26</v>
      </c>
      <c r="J316" t="s">
        <v>346</v>
      </c>
      <c r="K316" t="s">
        <v>132</v>
      </c>
      <c r="L316" t="s">
        <v>92</v>
      </c>
      <c r="M316">
        <v>400001</v>
      </c>
      <c r="N316" t="s">
        <v>616</v>
      </c>
      <c r="O316" t="s">
        <v>55</v>
      </c>
      <c r="P316" t="s">
        <v>66</v>
      </c>
      <c r="Q316" t="s">
        <v>67</v>
      </c>
      <c r="R316" s="8">
        <v>15739.78</v>
      </c>
      <c r="S316">
        <v>2</v>
      </c>
      <c r="T316">
        <v>0</v>
      </c>
      <c r="U316" s="8">
        <v>2206.64</v>
      </c>
      <c r="V316" t="s">
        <v>1561</v>
      </c>
      <c r="W316" t="s">
        <v>1561</v>
      </c>
    </row>
    <row r="317" spans="1:23">
      <c r="A317">
        <v>1316</v>
      </c>
      <c r="B317" t="s">
        <v>1448</v>
      </c>
      <c r="C317" s="7">
        <v>45652</v>
      </c>
      <c r="D317" s="7">
        <v>45653</v>
      </c>
      <c r="E317" t="s">
        <v>101</v>
      </c>
      <c r="F317" t="s">
        <v>295</v>
      </c>
      <c r="G317" t="s">
        <v>1571</v>
      </c>
      <c r="H317" t="s">
        <v>108</v>
      </c>
      <c r="I317" t="s">
        <v>26</v>
      </c>
      <c r="J317" t="s">
        <v>52</v>
      </c>
      <c r="K317" t="s">
        <v>52</v>
      </c>
      <c r="L317" t="s">
        <v>29</v>
      </c>
      <c r="M317">
        <v>682001</v>
      </c>
      <c r="N317" t="s">
        <v>599</v>
      </c>
      <c r="O317" t="s">
        <v>188</v>
      </c>
      <c r="P317" t="s">
        <v>189</v>
      </c>
      <c r="Q317" t="s">
        <v>190</v>
      </c>
      <c r="R317" s="8">
        <v>8397.18</v>
      </c>
      <c r="S317">
        <v>2</v>
      </c>
      <c r="T317">
        <v>0.3</v>
      </c>
      <c r="U317" s="8">
        <v>-653.66999999999996</v>
      </c>
      <c r="V317" t="s">
        <v>1561</v>
      </c>
      <c r="W317" t="s">
        <v>1561</v>
      </c>
    </row>
    <row r="318" spans="1:23">
      <c r="A318">
        <v>1317</v>
      </c>
      <c r="B318" t="s">
        <v>1069</v>
      </c>
      <c r="C318" s="7">
        <v>45630</v>
      </c>
      <c r="D318" s="7">
        <v>45633</v>
      </c>
      <c r="E318" t="s">
        <v>48</v>
      </c>
      <c r="F318" t="s">
        <v>395</v>
      </c>
      <c r="G318" t="s">
        <v>1573</v>
      </c>
      <c r="H318" t="s">
        <v>51</v>
      </c>
      <c r="I318" t="s">
        <v>26</v>
      </c>
      <c r="J318" t="s">
        <v>131</v>
      </c>
      <c r="K318" t="s">
        <v>132</v>
      </c>
      <c r="L318" t="s">
        <v>41</v>
      </c>
      <c r="M318">
        <v>560001</v>
      </c>
      <c r="N318" t="s">
        <v>1070</v>
      </c>
      <c r="O318" t="s">
        <v>55</v>
      </c>
      <c r="P318" t="s">
        <v>56</v>
      </c>
      <c r="Q318" t="s">
        <v>57</v>
      </c>
      <c r="R318" s="8">
        <v>6131.43</v>
      </c>
      <c r="S318">
        <v>1</v>
      </c>
      <c r="T318">
        <v>0.15</v>
      </c>
      <c r="U318" s="8">
        <v>389.37</v>
      </c>
      <c r="V318" t="s">
        <v>1561</v>
      </c>
      <c r="W318" t="s">
        <v>1561</v>
      </c>
    </row>
    <row r="319" spans="1:23">
      <c r="A319">
        <v>1318</v>
      </c>
      <c r="B319" t="s">
        <v>1281</v>
      </c>
      <c r="C319" s="7">
        <v>45510</v>
      </c>
      <c r="D319" s="7">
        <v>45511</v>
      </c>
      <c r="E319" t="s">
        <v>48</v>
      </c>
      <c r="F319" t="s">
        <v>247</v>
      </c>
      <c r="G319" t="s">
        <v>1566</v>
      </c>
      <c r="H319" t="s">
        <v>51</v>
      </c>
      <c r="I319" t="s">
        <v>26</v>
      </c>
      <c r="J319" t="s">
        <v>52</v>
      </c>
      <c r="K319" t="s">
        <v>52</v>
      </c>
      <c r="L319" t="s">
        <v>29</v>
      </c>
      <c r="M319">
        <v>682001</v>
      </c>
      <c r="N319" t="s">
        <v>1282</v>
      </c>
      <c r="O319" t="s">
        <v>188</v>
      </c>
      <c r="P319" t="s">
        <v>189</v>
      </c>
      <c r="Q319" t="s">
        <v>386</v>
      </c>
      <c r="R319" s="8">
        <v>2061.7199999999998</v>
      </c>
      <c r="S319">
        <v>1</v>
      </c>
      <c r="T319">
        <v>0</v>
      </c>
      <c r="U319" s="8">
        <v>260.98</v>
      </c>
      <c r="V319" t="s">
        <v>1561</v>
      </c>
      <c r="W319" t="s">
        <v>1561</v>
      </c>
    </row>
    <row r="320" spans="1:23">
      <c r="A320">
        <v>1319</v>
      </c>
      <c r="B320" t="s">
        <v>883</v>
      </c>
      <c r="C320" s="7">
        <v>45534</v>
      </c>
      <c r="D320" s="7">
        <v>45535</v>
      </c>
      <c r="E320" t="s">
        <v>48</v>
      </c>
      <c r="F320" t="s">
        <v>274</v>
      </c>
      <c r="G320" t="s">
        <v>1564</v>
      </c>
      <c r="H320" t="s">
        <v>51</v>
      </c>
      <c r="I320" t="s">
        <v>26</v>
      </c>
      <c r="J320" t="s">
        <v>346</v>
      </c>
      <c r="K320" t="s">
        <v>132</v>
      </c>
      <c r="L320" t="s">
        <v>29</v>
      </c>
      <c r="M320">
        <v>560001</v>
      </c>
      <c r="N320" t="s">
        <v>884</v>
      </c>
      <c r="O320" t="s">
        <v>44</v>
      </c>
      <c r="P320" t="s">
        <v>211</v>
      </c>
      <c r="Q320" t="s">
        <v>223</v>
      </c>
      <c r="R320" s="8">
        <v>3618.79</v>
      </c>
      <c r="S320">
        <v>2</v>
      </c>
      <c r="T320">
        <v>0</v>
      </c>
      <c r="U320" s="8">
        <v>346.81</v>
      </c>
      <c r="V320" t="s">
        <v>1561</v>
      </c>
      <c r="W320" t="s">
        <v>1561</v>
      </c>
    </row>
    <row r="321" spans="1:23">
      <c r="A321">
        <v>1320</v>
      </c>
      <c r="B321" t="s">
        <v>829</v>
      </c>
      <c r="C321" s="7">
        <v>45487</v>
      </c>
      <c r="D321" s="7">
        <v>45490</v>
      </c>
      <c r="E321" t="s">
        <v>69</v>
      </c>
      <c r="F321" t="s">
        <v>260</v>
      </c>
      <c r="G321" t="s">
        <v>1569</v>
      </c>
      <c r="H321" t="s">
        <v>25</v>
      </c>
      <c r="I321" t="s">
        <v>26</v>
      </c>
      <c r="J321" t="s">
        <v>115</v>
      </c>
      <c r="K321" t="s">
        <v>116</v>
      </c>
      <c r="L321" t="s">
        <v>63</v>
      </c>
      <c r="M321">
        <v>560001</v>
      </c>
      <c r="N321" t="s">
        <v>515</v>
      </c>
      <c r="O321" t="s">
        <v>44</v>
      </c>
      <c r="P321" t="s">
        <v>45</v>
      </c>
      <c r="Q321" t="s">
        <v>46</v>
      </c>
      <c r="R321" s="8">
        <v>55473.35</v>
      </c>
      <c r="S321">
        <v>2</v>
      </c>
      <c r="T321">
        <v>0.2</v>
      </c>
      <c r="U321" s="8">
        <v>-1041.3900000000001</v>
      </c>
      <c r="V321" t="s">
        <v>1561</v>
      </c>
      <c r="W321" t="s">
        <v>1561</v>
      </c>
    </row>
    <row r="322" spans="1:23">
      <c r="A322">
        <v>1321</v>
      </c>
      <c r="B322" t="s">
        <v>968</v>
      </c>
      <c r="C322" s="7">
        <v>45648</v>
      </c>
      <c r="D322" s="7">
        <v>45654</v>
      </c>
      <c r="E322" t="s">
        <v>22</v>
      </c>
      <c r="F322" t="s">
        <v>285</v>
      </c>
      <c r="G322" t="s">
        <v>1566</v>
      </c>
      <c r="H322" t="s">
        <v>25</v>
      </c>
      <c r="I322" t="s">
        <v>26</v>
      </c>
      <c r="J322" t="s">
        <v>115</v>
      </c>
      <c r="K322" t="s">
        <v>116</v>
      </c>
      <c r="L322" t="s">
        <v>63</v>
      </c>
      <c r="M322">
        <v>110001</v>
      </c>
      <c r="N322" t="s">
        <v>969</v>
      </c>
      <c r="O322" t="s">
        <v>44</v>
      </c>
      <c r="P322" t="s">
        <v>211</v>
      </c>
      <c r="Q322" t="s">
        <v>223</v>
      </c>
      <c r="R322" s="8">
        <v>4736.07</v>
      </c>
      <c r="S322">
        <v>3</v>
      </c>
      <c r="T322">
        <v>0.05</v>
      </c>
      <c r="U322" s="8">
        <v>334.39</v>
      </c>
      <c r="V322" t="s">
        <v>1561</v>
      </c>
      <c r="W322" t="s">
        <v>1561</v>
      </c>
    </row>
    <row r="323" spans="1:23">
      <c r="A323">
        <v>1322</v>
      </c>
      <c r="B323" t="s">
        <v>957</v>
      </c>
      <c r="C323" s="7">
        <v>45559</v>
      </c>
      <c r="D323" s="7">
        <v>45563</v>
      </c>
      <c r="E323" t="s">
        <v>101</v>
      </c>
      <c r="F323" t="s">
        <v>649</v>
      </c>
      <c r="G323" t="s">
        <v>1567</v>
      </c>
      <c r="H323" t="s">
        <v>25</v>
      </c>
      <c r="I323" t="s">
        <v>26</v>
      </c>
      <c r="J323" t="s">
        <v>109</v>
      </c>
      <c r="K323" t="s">
        <v>110</v>
      </c>
      <c r="L323" t="s">
        <v>92</v>
      </c>
      <c r="M323">
        <v>560001</v>
      </c>
      <c r="N323" t="s">
        <v>655</v>
      </c>
      <c r="O323" t="s">
        <v>83</v>
      </c>
      <c r="P323" t="s">
        <v>84</v>
      </c>
      <c r="Q323" t="s">
        <v>85</v>
      </c>
      <c r="R323" s="8">
        <v>6867.59</v>
      </c>
      <c r="S323">
        <v>3</v>
      </c>
      <c r="T323">
        <v>0.25</v>
      </c>
      <c r="U323" s="8">
        <v>549.08000000000004</v>
      </c>
      <c r="V323" t="s">
        <v>1561</v>
      </c>
      <c r="W323" t="s">
        <v>1561</v>
      </c>
    </row>
    <row r="324" spans="1:23">
      <c r="A324">
        <v>1323</v>
      </c>
      <c r="B324" t="s">
        <v>1026</v>
      </c>
      <c r="C324" s="7">
        <v>45328</v>
      </c>
      <c r="D324" s="7">
        <v>45357</v>
      </c>
      <c r="E324" t="s">
        <v>69</v>
      </c>
      <c r="F324" t="s">
        <v>633</v>
      </c>
      <c r="G324" t="s">
        <v>1565</v>
      </c>
      <c r="H324" t="s">
        <v>108</v>
      </c>
      <c r="I324" t="s">
        <v>26</v>
      </c>
      <c r="J324" t="s">
        <v>131</v>
      </c>
      <c r="K324" t="s">
        <v>132</v>
      </c>
      <c r="L324" t="s">
        <v>92</v>
      </c>
      <c r="M324">
        <v>682001</v>
      </c>
      <c r="N324" t="s">
        <v>1027</v>
      </c>
      <c r="O324" t="s">
        <v>55</v>
      </c>
      <c r="P324" t="s">
        <v>98</v>
      </c>
      <c r="Q324" t="s">
        <v>99</v>
      </c>
      <c r="R324" s="8">
        <v>22840.42</v>
      </c>
      <c r="S324">
        <v>4</v>
      </c>
      <c r="T324">
        <v>0.05</v>
      </c>
      <c r="U324" s="8">
        <v>3480.79</v>
      </c>
      <c r="V324" t="s">
        <v>1561</v>
      </c>
      <c r="W324" t="s">
        <v>1561</v>
      </c>
    </row>
    <row r="325" spans="1:23">
      <c r="A325">
        <v>1324</v>
      </c>
      <c r="B325" t="s">
        <v>399</v>
      </c>
      <c r="C325" s="7">
        <v>45596</v>
      </c>
      <c r="D325" s="7">
        <v>45599</v>
      </c>
      <c r="E325" t="s">
        <v>48</v>
      </c>
      <c r="F325" t="s">
        <v>333</v>
      </c>
      <c r="G325" t="s">
        <v>1560</v>
      </c>
      <c r="H325" t="s">
        <v>108</v>
      </c>
      <c r="I325" t="s">
        <v>26</v>
      </c>
      <c r="J325" t="s">
        <v>109</v>
      </c>
      <c r="K325" t="s">
        <v>110</v>
      </c>
      <c r="L325" t="s">
        <v>41</v>
      </c>
      <c r="M325">
        <v>673001</v>
      </c>
      <c r="N325" t="s">
        <v>400</v>
      </c>
      <c r="O325" t="s">
        <v>44</v>
      </c>
      <c r="P325" t="s">
        <v>45</v>
      </c>
      <c r="Q325" t="s">
        <v>46</v>
      </c>
      <c r="R325" s="8">
        <v>69424.28</v>
      </c>
      <c r="S325">
        <v>2</v>
      </c>
      <c r="T325">
        <v>0.05</v>
      </c>
      <c r="U325" s="8">
        <v>5862.2</v>
      </c>
      <c r="V325" t="s">
        <v>1561</v>
      </c>
      <c r="W325" t="s">
        <v>1561</v>
      </c>
    </row>
    <row r="326" spans="1:23">
      <c r="A326">
        <v>1325</v>
      </c>
      <c r="B326" t="s">
        <v>100</v>
      </c>
      <c r="C326" s="7">
        <v>45298</v>
      </c>
      <c r="D326" s="7">
        <v>45304</v>
      </c>
      <c r="E326" t="s">
        <v>101</v>
      </c>
      <c r="F326" t="s">
        <v>102</v>
      </c>
      <c r="G326" t="s">
        <v>1564</v>
      </c>
      <c r="H326" t="s">
        <v>25</v>
      </c>
      <c r="I326" t="s">
        <v>26</v>
      </c>
      <c r="J326" t="s">
        <v>52</v>
      </c>
      <c r="K326" t="s">
        <v>52</v>
      </c>
      <c r="L326" t="s">
        <v>92</v>
      </c>
      <c r="M326">
        <v>682001</v>
      </c>
      <c r="N326" t="s">
        <v>104</v>
      </c>
      <c r="O326" t="s">
        <v>55</v>
      </c>
      <c r="P326" t="s">
        <v>98</v>
      </c>
      <c r="Q326" t="s">
        <v>99</v>
      </c>
      <c r="R326" s="8">
        <v>23436.39</v>
      </c>
      <c r="S326">
        <v>5</v>
      </c>
      <c r="T326">
        <v>0.3</v>
      </c>
      <c r="U326" s="8">
        <v>-819.63</v>
      </c>
      <c r="V326" t="s">
        <v>1561</v>
      </c>
      <c r="W326" t="s">
        <v>1561</v>
      </c>
    </row>
    <row r="327" spans="1:23">
      <c r="A327">
        <v>1326</v>
      </c>
      <c r="B327" t="s">
        <v>1224</v>
      </c>
      <c r="C327" s="7">
        <v>45580</v>
      </c>
      <c r="D327" s="7">
        <v>45581</v>
      </c>
      <c r="E327" t="s">
        <v>48</v>
      </c>
      <c r="F327" t="s">
        <v>301</v>
      </c>
      <c r="G327" t="s">
        <v>1568</v>
      </c>
      <c r="H327" t="s">
        <v>25</v>
      </c>
      <c r="I327" t="s">
        <v>26</v>
      </c>
      <c r="J327" t="s">
        <v>79</v>
      </c>
      <c r="K327" t="s">
        <v>80</v>
      </c>
      <c r="L327" t="s">
        <v>63</v>
      </c>
      <c r="M327">
        <v>560001</v>
      </c>
      <c r="N327" t="s">
        <v>1010</v>
      </c>
      <c r="O327" t="s">
        <v>138</v>
      </c>
      <c r="P327" t="s">
        <v>139</v>
      </c>
      <c r="Q327" t="s">
        <v>140</v>
      </c>
      <c r="R327" s="8">
        <v>6210.48</v>
      </c>
      <c r="S327">
        <v>7</v>
      </c>
      <c r="T327">
        <v>0</v>
      </c>
      <c r="U327" s="8">
        <v>1265.1400000000001</v>
      </c>
      <c r="V327" t="s">
        <v>1561</v>
      </c>
      <c r="W327" t="s">
        <v>1561</v>
      </c>
    </row>
    <row r="328" spans="1:23">
      <c r="A328">
        <v>1327</v>
      </c>
      <c r="B328" t="s">
        <v>463</v>
      </c>
      <c r="C328" s="7">
        <v>45380</v>
      </c>
      <c r="D328" s="7">
        <v>45383</v>
      </c>
      <c r="E328" t="s">
        <v>101</v>
      </c>
      <c r="F328" t="s">
        <v>291</v>
      </c>
      <c r="G328" t="s">
        <v>1574</v>
      </c>
      <c r="H328" t="s">
        <v>51</v>
      </c>
      <c r="I328" t="s">
        <v>26</v>
      </c>
      <c r="J328" t="s">
        <v>109</v>
      </c>
      <c r="K328" t="s">
        <v>110</v>
      </c>
      <c r="L328" t="s">
        <v>29</v>
      </c>
      <c r="M328">
        <v>673001</v>
      </c>
      <c r="N328" t="s">
        <v>464</v>
      </c>
      <c r="O328" t="s">
        <v>138</v>
      </c>
      <c r="P328" t="s">
        <v>156</v>
      </c>
      <c r="Q328" t="s">
        <v>157</v>
      </c>
      <c r="R328" s="8">
        <v>1155.8399999999999</v>
      </c>
      <c r="S328">
        <v>3</v>
      </c>
      <c r="T328">
        <v>0</v>
      </c>
      <c r="U328" s="8">
        <v>259.54000000000002</v>
      </c>
      <c r="V328" t="s">
        <v>1561</v>
      </c>
      <c r="W328" t="s">
        <v>1561</v>
      </c>
    </row>
    <row r="329" spans="1:23">
      <c r="A329">
        <v>1328</v>
      </c>
      <c r="B329" t="s">
        <v>505</v>
      </c>
      <c r="C329" s="7">
        <v>45482</v>
      </c>
      <c r="D329" s="7">
        <v>45483</v>
      </c>
      <c r="E329" t="s">
        <v>48</v>
      </c>
      <c r="F329" t="s">
        <v>159</v>
      </c>
      <c r="G329" t="s">
        <v>1577</v>
      </c>
      <c r="H329" t="s">
        <v>51</v>
      </c>
      <c r="I329" t="s">
        <v>26</v>
      </c>
      <c r="J329" t="s">
        <v>226</v>
      </c>
      <c r="K329" t="s">
        <v>110</v>
      </c>
      <c r="L329" t="s">
        <v>63</v>
      </c>
      <c r="M329">
        <v>695001</v>
      </c>
      <c r="N329" t="s">
        <v>506</v>
      </c>
      <c r="O329" t="s">
        <v>83</v>
      </c>
      <c r="P329" t="s">
        <v>33</v>
      </c>
      <c r="Q329" t="s">
        <v>34</v>
      </c>
      <c r="R329" s="8">
        <v>4707.95</v>
      </c>
      <c r="S329">
        <v>4</v>
      </c>
      <c r="T329">
        <v>0.15</v>
      </c>
      <c r="U329" s="8">
        <v>584.27</v>
      </c>
      <c r="V329" t="s">
        <v>1561</v>
      </c>
      <c r="W329" t="s">
        <v>1561</v>
      </c>
    </row>
    <row r="330" spans="1:23">
      <c r="A330">
        <v>1329</v>
      </c>
      <c r="B330" t="s">
        <v>793</v>
      </c>
      <c r="C330" s="7">
        <v>45360</v>
      </c>
      <c r="D330" s="7">
        <v>45363</v>
      </c>
      <c r="E330" t="s">
        <v>101</v>
      </c>
      <c r="F330" t="s">
        <v>87</v>
      </c>
      <c r="G330" t="s">
        <v>1572</v>
      </c>
      <c r="H330" t="s">
        <v>108</v>
      </c>
      <c r="I330" t="s">
        <v>26</v>
      </c>
      <c r="J330" t="s">
        <v>61</v>
      </c>
      <c r="K330" t="s">
        <v>62</v>
      </c>
      <c r="L330" t="s">
        <v>63</v>
      </c>
      <c r="M330">
        <v>695001</v>
      </c>
      <c r="N330" t="s">
        <v>794</v>
      </c>
      <c r="O330" t="s">
        <v>138</v>
      </c>
      <c r="P330" t="s">
        <v>182</v>
      </c>
      <c r="Q330" t="s">
        <v>183</v>
      </c>
      <c r="R330" s="8">
        <v>1563.95</v>
      </c>
      <c r="S330">
        <v>4</v>
      </c>
      <c r="T330">
        <v>0.1</v>
      </c>
      <c r="U330" s="8">
        <v>196.68</v>
      </c>
      <c r="V330" t="s">
        <v>1561</v>
      </c>
      <c r="W330" t="s">
        <v>1561</v>
      </c>
    </row>
    <row r="331" spans="1:23">
      <c r="A331">
        <v>1330</v>
      </c>
      <c r="B331" t="s">
        <v>800</v>
      </c>
      <c r="C331" s="7">
        <v>45500</v>
      </c>
      <c r="D331" s="7">
        <v>45506</v>
      </c>
      <c r="E331" t="s">
        <v>101</v>
      </c>
      <c r="F331" t="s">
        <v>417</v>
      </c>
      <c r="G331" t="s">
        <v>1568</v>
      </c>
      <c r="H331" t="s">
        <v>25</v>
      </c>
      <c r="I331" t="s">
        <v>26</v>
      </c>
      <c r="J331" t="s">
        <v>109</v>
      </c>
      <c r="K331" t="s">
        <v>110</v>
      </c>
      <c r="L331" t="s">
        <v>63</v>
      </c>
      <c r="M331">
        <v>110001</v>
      </c>
      <c r="N331" t="s">
        <v>801</v>
      </c>
      <c r="O331" t="s">
        <v>138</v>
      </c>
      <c r="P331" t="s">
        <v>139</v>
      </c>
      <c r="Q331" t="s">
        <v>140</v>
      </c>
      <c r="R331" s="8">
        <v>874.96</v>
      </c>
      <c r="S331">
        <v>1</v>
      </c>
      <c r="T331">
        <v>0.1</v>
      </c>
      <c r="U331" s="8">
        <v>122.3</v>
      </c>
      <c r="V331" t="s">
        <v>1561</v>
      </c>
      <c r="W331" t="s">
        <v>1561</v>
      </c>
    </row>
    <row r="332" spans="1:23">
      <c r="A332">
        <v>1331</v>
      </c>
      <c r="B332" t="s">
        <v>1512</v>
      </c>
      <c r="C332" s="7">
        <v>45361</v>
      </c>
      <c r="D332" s="7">
        <v>45366</v>
      </c>
      <c r="E332" t="s">
        <v>22</v>
      </c>
      <c r="F332" t="s">
        <v>370</v>
      </c>
      <c r="G332" t="s">
        <v>1565</v>
      </c>
      <c r="H332" t="s">
        <v>51</v>
      </c>
      <c r="I332" t="s">
        <v>26</v>
      </c>
      <c r="J332" t="s">
        <v>52</v>
      </c>
      <c r="K332" t="s">
        <v>52</v>
      </c>
      <c r="L332" t="s">
        <v>92</v>
      </c>
      <c r="M332">
        <v>110001</v>
      </c>
      <c r="N332" t="s">
        <v>1513</v>
      </c>
      <c r="O332" t="s">
        <v>83</v>
      </c>
      <c r="P332" t="s">
        <v>84</v>
      </c>
      <c r="Q332" t="s">
        <v>85</v>
      </c>
      <c r="R332" s="8">
        <v>4689.4799999999996</v>
      </c>
      <c r="S332">
        <v>2</v>
      </c>
      <c r="T332">
        <v>0.25</v>
      </c>
      <c r="U332" s="8">
        <v>510.15</v>
      </c>
      <c r="V332" t="s">
        <v>1561</v>
      </c>
      <c r="W332" t="s">
        <v>1561</v>
      </c>
    </row>
    <row r="333" spans="1:23">
      <c r="A333">
        <v>1332</v>
      </c>
      <c r="B333" t="s">
        <v>489</v>
      </c>
      <c r="C333" s="7">
        <v>45432</v>
      </c>
      <c r="D333" s="7">
        <v>45435</v>
      </c>
      <c r="E333" t="s">
        <v>101</v>
      </c>
      <c r="F333" t="s">
        <v>490</v>
      </c>
      <c r="G333" t="s">
        <v>1564</v>
      </c>
      <c r="H333" t="s">
        <v>51</v>
      </c>
      <c r="I333" t="s">
        <v>26</v>
      </c>
      <c r="J333" t="s">
        <v>72</v>
      </c>
      <c r="K333" t="s">
        <v>73</v>
      </c>
      <c r="L333" t="s">
        <v>41</v>
      </c>
      <c r="M333">
        <v>400001</v>
      </c>
      <c r="N333" t="s">
        <v>491</v>
      </c>
      <c r="O333" t="s">
        <v>44</v>
      </c>
      <c r="P333" t="s">
        <v>207</v>
      </c>
      <c r="Q333" t="s">
        <v>208</v>
      </c>
      <c r="R333" s="8">
        <v>285552.25</v>
      </c>
      <c r="S333">
        <v>6</v>
      </c>
      <c r="T333">
        <v>0.1</v>
      </c>
      <c r="U333" s="8">
        <v>11161.55</v>
      </c>
      <c r="V333" t="s">
        <v>1561</v>
      </c>
      <c r="W333" t="s">
        <v>1561</v>
      </c>
    </row>
    <row r="334" spans="1:23">
      <c r="A334">
        <v>1333</v>
      </c>
      <c r="B334" t="s">
        <v>576</v>
      </c>
      <c r="C334" s="7">
        <v>45592</v>
      </c>
      <c r="D334" s="7">
        <v>45597</v>
      </c>
      <c r="E334" t="s">
        <v>48</v>
      </c>
      <c r="F334" t="s">
        <v>378</v>
      </c>
      <c r="G334" t="s">
        <v>1571</v>
      </c>
      <c r="H334" t="s">
        <v>51</v>
      </c>
      <c r="I334" t="s">
        <v>26</v>
      </c>
      <c r="J334" t="s">
        <v>72</v>
      </c>
      <c r="K334" t="s">
        <v>73</v>
      </c>
      <c r="L334" t="s">
        <v>63</v>
      </c>
      <c r="M334">
        <v>400001</v>
      </c>
      <c r="N334" t="s">
        <v>577</v>
      </c>
      <c r="O334" t="s">
        <v>55</v>
      </c>
      <c r="P334" t="s">
        <v>56</v>
      </c>
      <c r="Q334" t="s">
        <v>57</v>
      </c>
      <c r="R334" s="8">
        <v>9437.75</v>
      </c>
      <c r="S334">
        <v>2</v>
      </c>
      <c r="T334">
        <v>0.3</v>
      </c>
      <c r="U334" s="8">
        <v>-272.99</v>
      </c>
      <c r="V334" t="s">
        <v>1561</v>
      </c>
      <c r="W334" t="s">
        <v>1561</v>
      </c>
    </row>
    <row r="335" spans="1:23">
      <c r="A335">
        <v>1334</v>
      </c>
      <c r="B335" t="s">
        <v>498</v>
      </c>
      <c r="C335" s="7">
        <v>45584</v>
      </c>
      <c r="D335" s="7">
        <v>45586</v>
      </c>
      <c r="E335" t="s">
        <v>69</v>
      </c>
      <c r="F335" t="s">
        <v>499</v>
      </c>
      <c r="G335" t="s">
        <v>1565</v>
      </c>
      <c r="H335" t="s">
        <v>51</v>
      </c>
      <c r="I335" t="s">
        <v>26</v>
      </c>
      <c r="J335" t="s">
        <v>160</v>
      </c>
      <c r="K335" t="s">
        <v>161</v>
      </c>
      <c r="L335" t="s">
        <v>92</v>
      </c>
      <c r="M335">
        <v>695001</v>
      </c>
      <c r="N335" t="s">
        <v>500</v>
      </c>
      <c r="O335" t="s">
        <v>44</v>
      </c>
      <c r="P335" t="s">
        <v>45</v>
      </c>
      <c r="Q335" t="s">
        <v>46</v>
      </c>
      <c r="R335" s="8">
        <v>65619.759999999995</v>
      </c>
      <c r="S335">
        <v>2</v>
      </c>
      <c r="T335">
        <v>0.05</v>
      </c>
      <c r="U335" s="8">
        <v>4222.72</v>
      </c>
      <c r="V335" t="s">
        <v>1561</v>
      </c>
      <c r="W335" t="s">
        <v>1561</v>
      </c>
    </row>
    <row r="336" spans="1:23">
      <c r="A336">
        <v>1335</v>
      </c>
      <c r="B336" t="s">
        <v>145</v>
      </c>
      <c r="C336" s="7">
        <v>45534</v>
      </c>
      <c r="D336" s="7">
        <v>45536</v>
      </c>
      <c r="E336" t="s">
        <v>69</v>
      </c>
      <c r="F336" t="s">
        <v>146</v>
      </c>
      <c r="G336" t="s">
        <v>1575</v>
      </c>
      <c r="H336" t="s">
        <v>51</v>
      </c>
      <c r="I336" t="s">
        <v>26</v>
      </c>
      <c r="J336" t="s">
        <v>109</v>
      </c>
      <c r="K336" t="s">
        <v>110</v>
      </c>
      <c r="L336" t="s">
        <v>41</v>
      </c>
      <c r="M336">
        <v>682001</v>
      </c>
      <c r="N336" t="s">
        <v>148</v>
      </c>
      <c r="O336" t="s">
        <v>138</v>
      </c>
      <c r="P336" t="s">
        <v>121</v>
      </c>
      <c r="Q336" t="s">
        <v>122</v>
      </c>
      <c r="R336" s="8">
        <v>3087.01</v>
      </c>
      <c r="S336">
        <v>5</v>
      </c>
      <c r="T336">
        <v>0</v>
      </c>
      <c r="U336" s="8">
        <v>551.05999999999995</v>
      </c>
      <c r="V336" t="s">
        <v>1561</v>
      </c>
      <c r="W336" t="s">
        <v>1561</v>
      </c>
    </row>
    <row r="337" spans="1:23">
      <c r="A337">
        <v>1336</v>
      </c>
      <c r="B337" t="s">
        <v>494</v>
      </c>
      <c r="C337" s="7">
        <v>45508</v>
      </c>
      <c r="D337" s="7">
        <v>45512</v>
      </c>
      <c r="E337" t="s">
        <v>48</v>
      </c>
      <c r="F337" t="s">
        <v>192</v>
      </c>
      <c r="G337" t="s">
        <v>1570</v>
      </c>
      <c r="H337" t="s">
        <v>108</v>
      </c>
      <c r="I337" t="s">
        <v>26</v>
      </c>
      <c r="J337" t="s">
        <v>79</v>
      </c>
      <c r="K337" t="s">
        <v>80</v>
      </c>
      <c r="L337" t="s">
        <v>92</v>
      </c>
      <c r="M337">
        <v>560001</v>
      </c>
      <c r="N337" t="s">
        <v>495</v>
      </c>
      <c r="O337" t="s">
        <v>83</v>
      </c>
      <c r="P337" t="s">
        <v>84</v>
      </c>
      <c r="Q337" t="s">
        <v>85</v>
      </c>
      <c r="R337" s="8">
        <v>10311.41</v>
      </c>
      <c r="S337">
        <v>4</v>
      </c>
      <c r="T337">
        <v>0.15</v>
      </c>
      <c r="U337" s="8">
        <v>1884.44</v>
      </c>
      <c r="V337" t="s">
        <v>1561</v>
      </c>
      <c r="W337" t="s">
        <v>1561</v>
      </c>
    </row>
    <row r="338" spans="1:23">
      <c r="A338">
        <v>1337</v>
      </c>
      <c r="B338" t="s">
        <v>574</v>
      </c>
      <c r="C338" s="7">
        <v>45295</v>
      </c>
      <c r="D338" s="7">
        <v>45300</v>
      </c>
      <c r="E338" t="s">
        <v>48</v>
      </c>
      <c r="F338" t="s">
        <v>142</v>
      </c>
      <c r="G338" t="s">
        <v>1566</v>
      </c>
      <c r="H338" t="s">
        <v>25</v>
      </c>
      <c r="I338" t="s">
        <v>26</v>
      </c>
      <c r="J338" t="s">
        <v>90</v>
      </c>
      <c r="K338" t="s">
        <v>91</v>
      </c>
      <c r="L338" t="s">
        <v>63</v>
      </c>
      <c r="M338">
        <v>695001</v>
      </c>
      <c r="N338" t="s">
        <v>549</v>
      </c>
      <c r="O338" t="s">
        <v>138</v>
      </c>
      <c r="P338" t="s">
        <v>121</v>
      </c>
      <c r="Q338" t="s">
        <v>122</v>
      </c>
      <c r="R338" s="8">
        <v>1212.69</v>
      </c>
      <c r="S338">
        <v>2</v>
      </c>
      <c r="T338">
        <v>0</v>
      </c>
      <c r="U338" s="8">
        <v>245.51</v>
      </c>
      <c r="V338" t="s">
        <v>1561</v>
      </c>
      <c r="W338" t="s">
        <v>1561</v>
      </c>
    </row>
    <row r="339" spans="1:23">
      <c r="A339">
        <v>1338</v>
      </c>
      <c r="B339" t="s">
        <v>1403</v>
      </c>
      <c r="C339" s="7">
        <v>45433</v>
      </c>
      <c r="D339" s="7">
        <v>45436</v>
      </c>
      <c r="E339" t="s">
        <v>48</v>
      </c>
      <c r="F339" t="s">
        <v>355</v>
      </c>
      <c r="G339" t="s">
        <v>1571</v>
      </c>
      <c r="H339" t="s">
        <v>51</v>
      </c>
      <c r="I339" t="s">
        <v>26</v>
      </c>
      <c r="J339" t="s">
        <v>131</v>
      </c>
      <c r="K339" t="s">
        <v>132</v>
      </c>
      <c r="L339" t="s">
        <v>92</v>
      </c>
      <c r="M339">
        <v>673001</v>
      </c>
      <c r="N339" t="s">
        <v>1404</v>
      </c>
      <c r="O339" t="s">
        <v>138</v>
      </c>
      <c r="P339" t="s">
        <v>182</v>
      </c>
      <c r="Q339" t="s">
        <v>183</v>
      </c>
      <c r="R339" s="8">
        <v>2838.71</v>
      </c>
      <c r="S339">
        <v>8</v>
      </c>
      <c r="T339">
        <v>0.2</v>
      </c>
      <c r="U339" s="8">
        <v>246.64</v>
      </c>
      <c r="V339" t="s">
        <v>1561</v>
      </c>
      <c r="W339" t="s">
        <v>1561</v>
      </c>
    </row>
    <row r="340" spans="1:23">
      <c r="A340">
        <v>1339</v>
      </c>
      <c r="B340" t="s">
        <v>613</v>
      </c>
      <c r="C340" s="7">
        <v>45640</v>
      </c>
      <c r="D340" s="7">
        <v>45642</v>
      </c>
      <c r="E340" t="s">
        <v>22</v>
      </c>
      <c r="F340" t="s">
        <v>411</v>
      </c>
      <c r="G340" t="s">
        <v>1562</v>
      </c>
      <c r="H340" t="s">
        <v>25</v>
      </c>
      <c r="I340" t="s">
        <v>26</v>
      </c>
      <c r="J340" t="s">
        <v>61</v>
      </c>
      <c r="K340" t="s">
        <v>62</v>
      </c>
      <c r="L340" t="s">
        <v>63</v>
      </c>
      <c r="M340">
        <v>695001</v>
      </c>
      <c r="N340" t="s">
        <v>614</v>
      </c>
      <c r="O340" t="s">
        <v>83</v>
      </c>
      <c r="P340" t="s">
        <v>84</v>
      </c>
      <c r="Q340" t="s">
        <v>85</v>
      </c>
      <c r="R340" s="8">
        <v>4802.18</v>
      </c>
      <c r="S340">
        <v>2</v>
      </c>
      <c r="T340">
        <v>0.2</v>
      </c>
      <c r="U340" s="8">
        <v>546.83000000000004</v>
      </c>
      <c r="V340" t="s">
        <v>1561</v>
      </c>
      <c r="W340" t="s">
        <v>1561</v>
      </c>
    </row>
    <row r="341" spans="1:23">
      <c r="A341">
        <v>1340</v>
      </c>
      <c r="B341" t="s">
        <v>1442</v>
      </c>
      <c r="C341" s="7">
        <v>45328</v>
      </c>
      <c r="D341" s="7">
        <v>45473</v>
      </c>
      <c r="E341" t="s">
        <v>69</v>
      </c>
      <c r="F341" t="s">
        <v>1118</v>
      </c>
      <c r="G341" t="s">
        <v>1568</v>
      </c>
      <c r="H341" t="s">
        <v>25</v>
      </c>
      <c r="I341" t="s">
        <v>26</v>
      </c>
      <c r="J341" t="s">
        <v>109</v>
      </c>
      <c r="K341" t="s">
        <v>110</v>
      </c>
      <c r="L341" t="s">
        <v>29</v>
      </c>
      <c r="M341">
        <v>400001</v>
      </c>
      <c r="N341" t="s">
        <v>1428</v>
      </c>
      <c r="O341" t="s">
        <v>55</v>
      </c>
      <c r="P341" t="s">
        <v>98</v>
      </c>
      <c r="Q341" t="s">
        <v>99</v>
      </c>
      <c r="R341" s="8">
        <v>18577.990000000002</v>
      </c>
      <c r="S341">
        <v>3</v>
      </c>
      <c r="T341">
        <v>0.1</v>
      </c>
      <c r="U341" s="8">
        <v>2087.4499999999998</v>
      </c>
      <c r="V341" t="s">
        <v>1561</v>
      </c>
      <c r="W341" t="s">
        <v>1561</v>
      </c>
    </row>
    <row r="342" spans="1:23">
      <c r="A342">
        <v>1341</v>
      </c>
      <c r="B342" t="s">
        <v>866</v>
      </c>
      <c r="C342" s="7">
        <v>45442</v>
      </c>
      <c r="D342" s="7">
        <v>45443</v>
      </c>
      <c r="E342" t="s">
        <v>101</v>
      </c>
      <c r="F342" t="s">
        <v>736</v>
      </c>
      <c r="G342" t="s">
        <v>1560</v>
      </c>
      <c r="H342" t="s">
        <v>25</v>
      </c>
      <c r="I342" t="s">
        <v>26</v>
      </c>
      <c r="J342" t="s">
        <v>52</v>
      </c>
      <c r="K342" t="s">
        <v>52</v>
      </c>
      <c r="L342" t="s">
        <v>63</v>
      </c>
      <c r="M342">
        <v>400001</v>
      </c>
      <c r="N342" t="s">
        <v>867</v>
      </c>
      <c r="O342" t="s">
        <v>55</v>
      </c>
      <c r="P342" t="s">
        <v>66</v>
      </c>
      <c r="Q342" t="s">
        <v>67</v>
      </c>
      <c r="R342" s="8">
        <v>42423.29</v>
      </c>
      <c r="S342">
        <v>5</v>
      </c>
      <c r="T342">
        <v>0.05</v>
      </c>
      <c r="U342" s="8">
        <v>4754.22</v>
      </c>
      <c r="V342" t="s">
        <v>1561</v>
      </c>
      <c r="W342" t="s">
        <v>1561</v>
      </c>
    </row>
    <row r="343" spans="1:23">
      <c r="A343">
        <v>1342</v>
      </c>
      <c r="B343" t="s">
        <v>1003</v>
      </c>
      <c r="C343" s="7">
        <v>45627</v>
      </c>
      <c r="D343" s="7">
        <v>45628</v>
      </c>
      <c r="E343" t="s">
        <v>69</v>
      </c>
      <c r="F343" t="s">
        <v>551</v>
      </c>
      <c r="G343" t="s">
        <v>1565</v>
      </c>
      <c r="H343" t="s">
        <v>108</v>
      </c>
      <c r="I343" t="s">
        <v>26</v>
      </c>
      <c r="J343" t="s">
        <v>52</v>
      </c>
      <c r="K343" t="s">
        <v>52</v>
      </c>
      <c r="L343" t="s">
        <v>63</v>
      </c>
      <c r="M343">
        <v>560001</v>
      </c>
      <c r="N343" t="s">
        <v>447</v>
      </c>
      <c r="O343" t="s">
        <v>83</v>
      </c>
      <c r="P343" t="s">
        <v>84</v>
      </c>
      <c r="Q343" t="s">
        <v>85</v>
      </c>
      <c r="R343" s="8">
        <v>16976.37</v>
      </c>
      <c r="S343">
        <v>7</v>
      </c>
      <c r="T343">
        <v>0.2</v>
      </c>
      <c r="U343" s="8">
        <v>2208.94</v>
      </c>
      <c r="V343" t="s">
        <v>1561</v>
      </c>
      <c r="W343" t="s">
        <v>1561</v>
      </c>
    </row>
    <row r="344" spans="1:23">
      <c r="A344">
        <v>1343</v>
      </c>
      <c r="B344" t="s">
        <v>665</v>
      </c>
      <c r="C344" s="7">
        <v>45532</v>
      </c>
      <c r="D344" s="7">
        <v>45533</v>
      </c>
      <c r="E344" t="s">
        <v>22</v>
      </c>
      <c r="F344" t="s">
        <v>479</v>
      </c>
      <c r="G344" t="s">
        <v>1567</v>
      </c>
      <c r="H344" t="s">
        <v>51</v>
      </c>
      <c r="I344" t="s">
        <v>26</v>
      </c>
      <c r="J344" t="s">
        <v>226</v>
      </c>
      <c r="K344" t="s">
        <v>110</v>
      </c>
      <c r="L344" t="s">
        <v>92</v>
      </c>
      <c r="M344">
        <v>600001</v>
      </c>
      <c r="N344" t="s">
        <v>666</v>
      </c>
      <c r="O344" t="s">
        <v>55</v>
      </c>
      <c r="P344" t="s">
        <v>56</v>
      </c>
      <c r="Q344" t="s">
        <v>57</v>
      </c>
      <c r="R344" s="8">
        <v>15389.28</v>
      </c>
      <c r="S344">
        <v>2</v>
      </c>
      <c r="T344">
        <v>0</v>
      </c>
      <c r="U344" s="8">
        <v>2532.17</v>
      </c>
      <c r="V344" t="s">
        <v>1561</v>
      </c>
      <c r="W344" t="s">
        <v>1561</v>
      </c>
    </row>
    <row r="345" spans="1:23">
      <c r="A345">
        <v>1344</v>
      </c>
      <c r="B345" t="s">
        <v>1499</v>
      </c>
      <c r="C345" s="7">
        <v>45369</v>
      </c>
      <c r="D345" s="7">
        <v>45371</v>
      </c>
      <c r="E345" t="s">
        <v>69</v>
      </c>
      <c r="F345" t="s">
        <v>361</v>
      </c>
      <c r="G345" t="s">
        <v>1564</v>
      </c>
      <c r="H345" t="s">
        <v>51</v>
      </c>
      <c r="I345" t="s">
        <v>26</v>
      </c>
      <c r="J345" t="s">
        <v>61</v>
      </c>
      <c r="K345" t="s">
        <v>62</v>
      </c>
      <c r="L345" t="s">
        <v>29</v>
      </c>
      <c r="M345">
        <v>682001</v>
      </c>
      <c r="N345" t="s">
        <v>747</v>
      </c>
      <c r="O345" t="s">
        <v>138</v>
      </c>
      <c r="P345" t="s">
        <v>156</v>
      </c>
      <c r="Q345" t="s">
        <v>157</v>
      </c>
      <c r="R345" s="8">
        <v>768.71</v>
      </c>
      <c r="S345">
        <v>2</v>
      </c>
      <c r="T345">
        <v>0</v>
      </c>
      <c r="U345" s="8">
        <v>136.83000000000001</v>
      </c>
      <c r="V345" t="s">
        <v>1561</v>
      </c>
      <c r="W345" t="s">
        <v>1561</v>
      </c>
    </row>
    <row r="346" spans="1:23">
      <c r="A346">
        <v>1345</v>
      </c>
      <c r="B346" t="s">
        <v>722</v>
      </c>
      <c r="C346" s="7">
        <v>45615</v>
      </c>
      <c r="D346" s="7">
        <v>45617</v>
      </c>
      <c r="E346" t="s">
        <v>48</v>
      </c>
      <c r="F346" t="s">
        <v>255</v>
      </c>
      <c r="G346" t="s">
        <v>1569</v>
      </c>
      <c r="H346" t="s">
        <v>51</v>
      </c>
      <c r="I346" t="s">
        <v>26</v>
      </c>
      <c r="J346" t="s">
        <v>61</v>
      </c>
      <c r="K346" t="s">
        <v>62</v>
      </c>
      <c r="L346" t="s">
        <v>41</v>
      </c>
      <c r="M346">
        <v>560001</v>
      </c>
      <c r="N346" t="s">
        <v>723</v>
      </c>
      <c r="O346" t="s">
        <v>83</v>
      </c>
      <c r="P346" t="s">
        <v>33</v>
      </c>
      <c r="Q346" t="s">
        <v>34</v>
      </c>
      <c r="R346" s="8">
        <v>1168.29</v>
      </c>
      <c r="S346">
        <v>1</v>
      </c>
      <c r="T346">
        <v>0.2</v>
      </c>
      <c r="U346" s="8">
        <v>118.26</v>
      </c>
      <c r="V346" t="s">
        <v>1561</v>
      </c>
      <c r="W346" t="s">
        <v>1561</v>
      </c>
    </row>
    <row r="347" spans="1:23">
      <c r="A347">
        <v>1346</v>
      </c>
      <c r="B347" t="s">
        <v>1444</v>
      </c>
      <c r="C347" s="7">
        <v>45482</v>
      </c>
      <c r="D347" s="7">
        <v>45543</v>
      </c>
      <c r="E347" t="s">
        <v>69</v>
      </c>
      <c r="F347" t="s">
        <v>113</v>
      </c>
      <c r="G347" t="s">
        <v>1564</v>
      </c>
      <c r="H347" t="s">
        <v>25</v>
      </c>
      <c r="I347" t="s">
        <v>26</v>
      </c>
      <c r="J347" t="s">
        <v>72</v>
      </c>
      <c r="K347" t="s">
        <v>73</v>
      </c>
      <c r="L347" t="s">
        <v>29</v>
      </c>
      <c r="M347">
        <v>560001</v>
      </c>
      <c r="N347" t="s">
        <v>1205</v>
      </c>
      <c r="O347" t="s">
        <v>83</v>
      </c>
      <c r="P347" t="s">
        <v>84</v>
      </c>
      <c r="Q347" t="s">
        <v>85</v>
      </c>
      <c r="R347" s="8">
        <v>8862.7099999999991</v>
      </c>
      <c r="S347">
        <v>3</v>
      </c>
      <c r="T347">
        <v>0.05</v>
      </c>
      <c r="U347" s="8">
        <v>1855.77</v>
      </c>
      <c r="V347" t="s">
        <v>1561</v>
      </c>
      <c r="W347" t="s">
        <v>1561</v>
      </c>
    </row>
    <row r="348" spans="1:23">
      <c r="A348">
        <v>1347</v>
      </c>
      <c r="B348" t="s">
        <v>795</v>
      </c>
      <c r="C348" s="7">
        <v>45299</v>
      </c>
      <c r="D348" s="7">
        <v>45302</v>
      </c>
      <c r="E348" t="s">
        <v>69</v>
      </c>
      <c r="F348" t="s">
        <v>701</v>
      </c>
      <c r="G348" t="s">
        <v>1566</v>
      </c>
      <c r="H348" t="s">
        <v>51</v>
      </c>
      <c r="I348" t="s">
        <v>26</v>
      </c>
      <c r="J348" t="s">
        <v>39</v>
      </c>
      <c r="K348" t="s">
        <v>40</v>
      </c>
      <c r="L348" t="s">
        <v>41</v>
      </c>
      <c r="M348">
        <v>400001</v>
      </c>
      <c r="N348" t="s">
        <v>796</v>
      </c>
      <c r="O348" t="s">
        <v>55</v>
      </c>
      <c r="P348" t="s">
        <v>98</v>
      </c>
      <c r="Q348" t="s">
        <v>99</v>
      </c>
      <c r="R348" s="8">
        <v>15378.7</v>
      </c>
      <c r="S348">
        <v>3</v>
      </c>
      <c r="T348">
        <v>0.2</v>
      </c>
      <c r="U348" s="8">
        <v>401.94</v>
      </c>
      <c r="V348" t="s">
        <v>1561</v>
      </c>
      <c r="W348" t="s">
        <v>1561</v>
      </c>
    </row>
    <row r="349" spans="1:23">
      <c r="A349">
        <v>1348</v>
      </c>
      <c r="B349" t="s">
        <v>1296</v>
      </c>
      <c r="C349" s="7">
        <v>45344</v>
      </c>
      <c r="D349" s="7">
        <v>45348</v>
      </c>
      <c r="E349" t="s">
        <v>48</v>
      </c>
      <c r="F349" t="s">
        <v>633</v>
      </c>
      <c r="G349" t="s">
        <v>1573</v>
      </c>
      <c r="H349" t="s">
        <v>25</v>
      </c>
      <c r="I349" t="s">
        <v>26</v>
      </c>
      <c r="J349" t="s">
        <v>72</v>
      </c>
      <c r="K349" t="s">
        <v>73</v>
      </c>
      <c r="L349" t="s">
        <v>41</v>
      </c>
      <c r="M349">
        <v>695001</v>
      </c>
      <c r="N349" t="s">
        <v>685</v>
      </c>
      <c r="O349" t="s">
        <v>44</v>
      </c>
      <c r="P349" t="s">
        <v>211</v>
      </c>
      <c r="Q349" t="s">
        <v>223</v>
      </c>
      <c r="R349" s="8">
        <v>3209.24</v>
      </c>
      <c r="S349">
        <v>2</v>
      </c>
      <c r="T349">
        <v>0.05</v>
      </c>
      <c r="U349" s="8">
        <v>262.47000000000003</v>
      </c>
      <c r="V349" t="s">
        <v>1561</v>
      </c>
      <c r="W349" t="s">
        <v>1561</v>
      </c>
    </row>
    <row r="350" spans="1:23">
      <c r="A350">
        <v>1349</v>
      </c>
      <c r="B350" t="s">
        <v>1222</v>
      </c>
      <c r="C350" s="7">
        <v>45643</v>
      </c>
      <c r="D350" s="7">
        <v>45645</v>
      </c>
      <c r="E350" t="s">
        <v>48</v>
      </c>
      <c r="F350" t="s">
        <v>315</v>
      </c>
      <c r="G350" t="s">
        <v>1562</v>
      </c>
      <c r="H350" t="s">
        <v>51</v>
      </c>
      <c r="I350" t="s">
        <v>26</v>
      </c>
      <c r="J350" t="s">
        <v>39</v>
      </c>
      <c r="K350" t="s">
        <v>40</v>
      </c>
      <c r="L350" t="s">
        <v>63</v>
      </c>
      <c r="M350">
        <v>110001</v>
      </c>
      <c r="N350" t="s">
        <v>932</v>
      </c>
      <c r="O350" t="s">
        <v>83</v>
      </c>
      <c r="P350" t="s">
        <v>33</v>
      </c>
      <c r="Q350" t="s">
        <v>34</v>
      </c>
      <c r="R350" s="8">
        <v>3043.47</v>
      </c>
      <c r="S350">
        <v>3</v>
      </c>
      <c r="T350">
        <v>0.25</v>
      </c>
      <c r="U350" s="8">
        <v>277.12</v>
      </c>
      <c r="V350" t="s">
        <v>1561</v>
      </c>
      <c r="W350" t="s">
        <v>1561</v>
      </c>
    </row>
    <row r="351" spans="1:23">
      <c r="A351">
        <v>1350</v>
      </c>
      <c r="B351" t="s">
        <v>908</v>
      </c>
      <c r="C351" s="7">
        <v>45406</v>
      </c>
      <c r="D351" s="7">
        <v>45412</v>
      </c>
      <c r="E351" t="s">
        <v>69</v>
      </c>
      <c r="F351" t="s">
        <v>810</v>
      </c>
      <c r="G351" t="s">
        <v>1560</v>
      </c>
      <c r="H351" t="s">
        <v>108</v>
      </c>
      <c r="I351" t="s">
        <v>26</v>
      </c>
      <c r="J351" t="s">
        <v>166</v>
      </c>
      <c r="K351" t="s">
        <v>132</v>
      </c>
      <c r="L351" t="s">
        <v>41</v>
      </c>
      <c r="M351">
        <v>600001</v>
      </c>
      <c r="N351" t="s">
        <v>909</v>
      </c>
      <c r="O351" t="s">
        <v>188</v>
      </c>
      <c r="P351" t="s">
        <v>189</v>
      </c>
      <c r="Q351" t="s">
        <v>190</v>
      </c>
      <c r="R351" s="8">
        <v>9862.65</v>
      </c>
      <c r="S351">
        <v>2</v>
      </c>
      <c r="T351">
        <v>0.1</v>
      </c>
      <c r="U351" s="8">
        <v>635.03</v>
      </c>
      <c r="V351" t="s">
        <v>1561</v>
      </c>
      <c r="W351" t="s">
        <v>1561</v>
      </c>
    </row>
    <row r="352" spans="1:23">
      <c r="A352">
        <v>1351</v>
      </c>
      <c r="B352" t="s">
        <v>168</v>
      </c>
      <c r="C352" s="7">
        <v>45484</v>
      </c>
      <c r="D352" s="7">
        <v>45490</v>
      </c>
      <c r="E352" t="s">
        <v>48</v>
      </c>
      <c r="F352" t="s">
        <v>49</v>
      </c>
      <c r="G352" t="s">
        <v>1568</v>
      </c>
      <c r="H352" t="s">
        <v>51</v>
      </c>
      <c r="I352" t="s">
        <v>26</v>
      </c>
      <c r="J352" t="s">
        <v>166</v>
      </c>
      <c r="K352" t="s">
        <v>132</v>
      </c>
      <c r="L352" t="s">
        <v>41</v>
      </c>
      <c r="M352">
        <v>600001</v>
      </c>
      <c r="N352" t="s">
        <v>171</v>
      </c>
      <c r="O352" t="s">
        <v>44</v>
      </c>
      <c r="P352" t="s">
        <v>45</v>
      </c>
      <c r="Q352" t="s">
        <v>46</v>
      </c>
      <c r="R352" s="8">
        <v>144750.85999999999</v>
      </c>
      <c r="S352">
        <v>4</v>
      </c>
      <c r="T352">
        <v>0</v>
      </c>
      <c r="U352" s="8">
        <v>12354.53</v>
      </c>
      <c r="V352" t="s">
        <v>1561</v>
      </c>
      <c r="W352" t="s">
        <v>1561</v>
      </c>
    </row>
    <row r="353" spans="1:23">
      <c r="A353">
        <v>1352</v>
      </c>
      <c r="B353" t="s">
        <v>836</v>
      </c>
      <c r="C353" s="7">
        <v>45505</v>
      </c>
      <c r="D353" s="7">
        <v>45509</v>
      </c>
      <c r="E353" t="s">
        <v>101</v>
      </c>
      <c r="F353" t="s">
        <v>442</v>
      </c>
      <c r="G353" t="s">
        <v>1568</v>
      </c>
      <c r="H353" t="s">
        <v>25</v>
      </c>
      <c r="I353" t="s">
        <v>26</v>
      </c>
      <c r="J353" t="s">
        <v>90</v>
      </c>
      <c r="K353" t="s">
        <v>91</v>
      </c>
      <c r="L353" t="s">
        <v>63</v>
      </c>
      <c r="M353">
        <v>560001</v>
      </c>
      <c r="N353" t="s">
        <v>624</v>
      </c>
      <c r="O353" t="s">
        <v>44</v>
      </c>
      <c r="P353" t="s">
        <v>45</v>
      </c>
      <c r="Q353" t="s">
        <v>46</v>
      </c>
      <c r="R353" s="8">
        <v>35058.839999999997</v>
      </c>
      <c r="S353">
        <v>1</v>
      </c>
      <c r="T353">
        <v>0</v>
      </c>
      <c r="U353" s="8">
        <v>3151.54</v>
      </c>
      <c r="V353" t="s">
        <v>1561</v>
      </c>
      <c r="W353" t="s">
        <v>1561</v>
      </c>
    </row>
    <row r="354" spans="1:23">
      <c r="A354">
        <v>1353</v>
      </c>
      <c r="B354" t="s">
        <v>220</v>
      </c>
      <c r="C354" s="7">
        <v>45507</v>
      </c>
      <c r="D354" s="7">
        <v>45513</v>
      </c>
      <c r="E354" t="s">
        <v>22</v>
      </c>
      <c r="F354" t="s">
        <v>221</v>
      </c>
      <c r="G354" t="s">
        <v>1568</v>
      </c>
      <c r="H354" t="s">
        <v>25</v>
      </c>
      <c r="I354" t="s">
        <v>26</v>
      </c>
      <c r="J354" t="s">
        <v>166</v>
      </c>
      <c r="K354" t="s">
        <v>132</v>
      </c>
      <c r="L354" t="s">
        <v>63</v>
      </c>
      <c r="M354">
        <v>600001</v>
      </c>
      <c r="N354" t="s">
        <v>222</v>
      </c>
      <c r="O354" t="s">
        <v>44</v>
      </c>
      <c r="P354" t="s">
        <v>211</v>
      </c>
      <c r="Q354" t="s">
        <v>223</v>
      </c>
      <c r="R354" s="8">
        <v>4269.34</v>
      </c>
      <c r="S354">
        <v>3</v>
      </c>
      <c r="T354">
        <v>0.15</v>
      </c>
      <c r="U354" s="8">
        <v>66.44</v>
      </c>
      <c r="V354" t="s">
        <v>1561</v>
      </c>
      <c r="W354" t="s">
        <v>1561</v>
      </c>
    </row>
    <row r="355" spans="1:23">
      <c r="A355">
        <v>1354</v>
      </c>
      <c r="B355" t="s">
        <v>958</v>
      </c>
      <c r="C355" s="7">
        <v>45436</v>
      </c>
      <c r="D355" s="7">
        <v>45437</v>
      </c>
      <c r="E355" t="s">
        <v>22</v>
      </c>
      <c r="F355" t="s">
        <v>461</v>
      </c>
      <c r="G355" t="s">
        <v>1565</v>
      </c>
      <c r="H355" t="s">
        <v>51</v>
      </c>
      <c r="I355" t="s">
        <v>26</v>
      </c>
      <c r="J355" t="s">
        <v>160</v>
      </c>
      <c r="K355" t="s">
        <v>161</v>
      </c>
      <c r="L355" t="s">
        <v>92</v>
      </c>
      <c r="M355">
        <v>110001</v>
      </c>
      <c r="N355" t="s">
        <v>959</v>
      </c>
      <c r="O355" t="s">
        <v>44</v>
      </c>
      <c r="P355" t="s">
        <v>211</v>
      </c>
      <c r="Q355" t="s">
        <v>212</v>
      </c>
      <c r="R355" s="8">
        <v>6995.35</v>
      </c>
      <c r="S355">
        <v>6</v>
      </c>
      <c r="T355">
        <v>0</v>
      </c>
      <c r="U355" s="8">
        <v>888.71</v>
      </c>
      <c r="V355" t="s">
        <v>1561</v>
      </c>
      <c r="W355" t="s">
        <v>1561</v>
      </c>
    </row>
    <row r="356" spans="1:23">
      <c r="A356">
        <v>1355</v>
      </c>
      <c r="B356" t="s">
        <v>981</v>
      </c>
      <c r="C356" s="7">
        <v>45443</v>
      </c>
      <c r="D356" s="7">
        <v>45445</v>
      </c>
      <c r="E356" t="s">
        <v>22</v>
      </c>
      <c r="F356" t="s">
        <v>198</v>
      </c>
      <c r="G356" t="s">
        <v>1562</v>
      </c>
      <c r="H356" t="s">
        <v>108</v>
      </c>
      <c r="I356" t="s">
        <v>26</v>
      </c>
      <c r="J356" t="s">
        <v>61</v>
      </c>
      <c r="K356" t="s">
        <v>62</v>
      </c>
      <c r="L356" t="s">
        <v>92</v>
      </c>
      <c r="M356">
        <v>400001</v>
      </c>
      <c r="N356" t="s">
        <v>643</v>
      </c>
      <c r="O356" t="s">
        <v>138</v>
      </c>
      <c r="P356" t="s">
        <v>121</v>
      </c>
      <c r="Q356" t="s">
        <v>122</v>
      </c>
      <c r="R356" s="8">
        <v>936.72</v>
      </c>
      <c r="S356">
        <v>2</v>
      </c>
      <c r="T356">
        <v>0.25</v>
      </c>
      <c r="U356" s="8">
        <v>38.31</v>
      </c>
      <c r="V356" t="s">
        <v>1561</v>
      </c>
      <c r="W356" t="s">
        <v>1561</v>
      </c>
    </row>
    <row r="357" spans="1:23">
      <c r="A357">
        <v>1356</v>
      </c>
      <c r="B357" t="s">
        <v>827</v>
      </c>
      <c r="C357" s="7">
        <v>45585</v>
      </c>
      <c r="D357" s="7">
        <v>45591</v>
      </c>
      <c r="E357" t="s">
        <v>101</v>
      </c>
      <c r="F357" t="s">
        <v>309</v>
      </c>
      <c r="G357" t="s">
        <v>1573</v>
      </c>
      <c r="H357" t="s">
        <v>51</v>
      </c>
      <c r="I357" t="s">
        <v>26</v>
      </c>
      <c r="J357" t="s">
        <v>226</v>
      </c>
      <c r="K357" t="s">
        <v>110</v>
      </c>
      <c r="L357" t="s">
        <v>41</v>
      </c>
      <c r="M357">
        <v>400001</v>
      </c>
      <c r="N357" t="s">
        <v>828</v>
      </c>
      <c r="O357" t="s">
        <v>44</v>
      </c>
      <c r="P357" t="s">
        <v>211</v>
      </c>
      <c r="Q357" t="s">
        <v>223</v>
      </c>
      <c r="R357" s="8">
        <v>7499.78</v>
      </c>
      <c r="S357">
        <v>4</v>
      </c>
      <c r="T357">
        <v>0</v>
      </c>
      <c r="U357" s="8">
        <v>864.43</v>
      </c>
      <c r="V357" t="s">
        <v>1561</v>
      </c>
      <c r="W357" t="s">
        <v>1561</v>
      </c>
    </row>
    <row r="358" spans="1:23">
      <c r="A358">
        <v>1357</v>
      </c>
      <c r="B358" t="s">
        <v>456</v>
      </c>
      <c r="C358" s="7">
        <v>45427</v>
      </c>
      <c r="D358" s="7">
        <v>45431</v>
      </c>
      <c r="E358" t="s">
        <v>22</v>
      </c>
      <c r="F358" t="s">
        <v>295</v>
      </c>
      <c r="G358" t="s">
        <v>1572</v>
      </c>
      <c r="H358" t="s">
        <v>51</v>
      </c>
      <c r="I358" t="s">
        <v>26</v>
      </c>
      <c r="J358" t="s">
        <v>131</v>
      </c>
      <c r="K358" t="s">
        <v>132</v>
      </c>
      <c r="L358" t="s">
        <v>92</v>
      </c>
      <c r="M358">
        <v>110001</v>
      </c>
      <c r="N358" t="s">
        <v>457</v>
      </c>
      <c r="O358" t="s">
        <v>188</v>
      </c>
      <c r="P358" t="s">
        <v>189</v>
      </c>
      <c r="Q358" t="s">
        <v>190</v>
      </c>
      <c r="R358" s="8">
        <v>4907.58</v>
      </c>
      <c r="S358">
        <v>1</v>
      </c>
      <c r="T358">
        <v>0.15</v>
      </c>
      <c r="U358" s="8">
        <v>152.47</v>
      </c>
      <c r="V358" t="s">
        <v>1561</v>
      </c>
      <c r="W358" t="s">
        <v>1561</v>
      </c>
    </row>
    <row r="359" spans="1:23">
      <c r="A359">
        <v>1358</v>
      </c>
      <c r="B359" t="s">
        <v>511</v>
      </c>
      <c r="C359" s="7">
        <v>45351</v>
      </c>
      <c r="D359" s="7">
        <v>45352</v>
      </c>
      <c r="E359" t="s">
        <v>22</v>
      </c>
      <c r="F359" t="s">
        <v>512</v>
      </c>
      <c r="G359" t="s">
        <v>1572</v>
      </c>
      <c r="H359" t="s">
        <v>51</v>
      </c>
      <c r="I359" t="s">
        <v>26</v>
      </c>
      <c r="J359" t="s">
        <v>61</v>
      </c>
      <c r="K359" t="s">
        <v>62</v>
      </c>
      <c r="L359" t="s">
        <v>92</v>
      </c>
      <c r="M359">
        <v>400001</v>
      </c>
      <c r="N359" t="s">
        <v>513</v>
      </c>
      <c r="O359" t="s">
        <v>55</v>
      </c>
      <c r="P359" t="s">
        <v>66</v>
      </c>
      <c r="Q359" t="s">
        <v>67</v>
      </c>
      <c r="R359" s="8">
        <v>24883.38</v>
      </c>
      <c r="S359">
        <v>4</v>
      </c>
      <c r="T359">
        <v>0.25</v>
      </c>
      <c r="U359" s="8">
        <v>-75.569999999999993</v>
      </c>
      <c r="V359" t="s">
        <v>1561</v>
      </c>
      <c r="W359" t="s">
        <v>1561</v>
      </c>
    </row>
    <row r="360" spans="1:23">
      <c r="A360">
        <v>1359</v>
      </c>
      <c r="B360" t="s">
        <v>1286</v>
      </c>
      <c r="C360" s="7">
        <v>45339</v>
      </c>
      <c r="D360" s="7">
        <v>45342</v>
      </c>
      <c r="E360" t="s">
        <v>48</v>
      </c>
      <c r="F360" t="s">
        <v>437</v>
      </c>
      <c r="G360" t="s">
        <v>1573</v>
      </c>
      <c r="H360" t="s">
        <v>51</v>
      </c>
      <c r="I360" t="s">
        <v>26</v>
      </c>
      <c r="J360" t="s">
        <v>166</v>
      </c>
      <c r="K360" t="s">
        <v>132</v>
      </c>
      <c r="L360" t="s">
        <v>29</v>
      </c>
      <c r="M360">
        <v>560001</v>
      </c>
      <c r="N360" t="s">
        <v>698</v>
      </c>
      <c r="O360" t="s">
        <v>55</v>
      </c>
      <c r="P360" t="s">
        <v>56</v>
      </c>
      <c r="Q360" t="s">
        <v>57</v>
      </c>
      <c r="R360" s="8">
        <v>12887.49</v>
      </c>
      <c r="S360">
        <v>2</v>
      </c>
      <c r="T360">
        <v>0.15</v>
      </c>
      <c r="U360" s="8">
        <v>992.75</v>
      </c>
      <c r="V360" t="s">
        <v>1561</v>
      </c>
      <c r="W360" t="s">
        <v>1561</v>
      </c>
    </row>
    <row r="361" spans="1:23">
      <c r="A361">
        <v>1360</v>
      </c>
      <c r="B361" t="s">
        <v>1011</v>
      </c>
      <c r="C361" s="7">
        <v>45624</v>
      </c>
      <c r="D361" s="7">
        <v>45626</v>
      </c>
      <c r="E361" t="s">
        <v>22</v>
      </c>
      <c r="F361" t="s">
        <v>736</v>
      </c>
      <c r="G361" t="s">
        <v>1560</v>
      </c>
      <c r="H361" t="s">
        <v>51</v>
      </c>
      <c r="I361" t="s">
        <v>26</v>
      </c>
      <c r="J361" t="s">
        <v>115</v>
      </c>
      <c r="K361" t="s">
        <v>116</v>
      </c>
      <c r="L361" t="s">
        <v>41</v>
      </c>
      <c r="M361">
        <v>110001</v>
      </c>
      <c r="N361" t="s">
        <v>1012</v>
      </c>
      <c r="O361" t="s">
        <v>188</v>
      </c>
      <c r="P361" t="s">
        <v>189</v>
      </c>
      <c r="Q361" t="s">
        <v>386</v>
      </c>
      <c r="R361" s="8">
        <v>7754.07</v>
      </c>
      <c r="S361">
        <v>5</v>
      </c>
      <c r="T361">
        <v>0.25</v>
      </c>
      <c r="U361" s="8">
        <v>-281.10000000000002</v>
      </c>
      <c r="V361" t="s">
        <v>1561</v>
      </c>
      <c r="W361" t="s">
        <v>1561</v>
      </c>
    </row>
    <row r="362" spans="1:23">
      <c r="A362">
        <v>1361</v>
      </c>
      <c r="B362" t="s">
        <v>548</v>
      </c>
      <c r="C362" s="7">
        <v>45384</v>
      </c>
      <c r="D362" s="7">
        <v>45389</v>
      </c>
      <c r="E362" t="s">
        <v>101</v>
      </c>
      <c r="F362" t="s">
        <v>87</v>
      </c>
      <c r="G362" t="s">
        <v>1563</v>
      </c>
      <c r="H362" t="s">
        <v>108</v>
      </c>
      <c r="I362" t="s">
        <v>26</v>
      </c>
      <c r="J362" t="s">
        <v>131</v>
      </c>
      <c r="K362" t="s">
        <v>132</v>
      </c>
      <c r="L362" t="s">
        <v>41</v>
      </c>
      <c r="M362">
        <v>110001</v>
      </c>
      <c r="N362" t="s">
        <v>549</v>
      </c>
      <c r="O362" t="s">
        <v>55</v>
      </c>
      <c r="P362" t="s">
        <v>98</v>
      </c>
      <c r="Q362" t="s">
        <v>99</v>
      </c>
      <c r="R362" s="8">
        <v>14382.61</v>
      </c>
      <c r="S362">
        <v>3</v>
      </c>
      <c r="T362">
        <v>0.3</v>
      </c>
      <c r="U362" s="8">
        <v>-423.16</v>
      </c>
      <c r="V362" t="s">
        <v>1561</v>
      </c>
      <c r="W362" t="s">
        <v>1561</v>
      </c>
    </row>
    <row r="363" spans="1:23">
      <c r="A363">
        <v>1362</v>
      </c>
      <c r="B363" t="s">
        <v>516</v>
      </c>
      <c r="C363" s="7">
        <v>45349</v>
      </c>
      <c r="D363" s="7">
        <v>45353</v>
      </c>
      <c r="E363" t="s">
        <v>101</v>
      </c>
      <c r="F363" t="s">
        <v>517</v>
      </c>
      <c r="G363" t="s">
        <v>1573</v>
      </c>
      <c r="H363" t="s">
        <v>108</v>
      </c>
      <c r="I363" t="s">
        <v>26</v>
      </c>
      <c r="J363" t="s">
        <v>61</v>
      </c>
      <c r="K363" t="s">
        <v>62</v>
      </c>
      <c r="L363" t="s">
        <v>63</v>
      </c>
      <c r="M363">
        <v>400001</v>
      </c>
      <c r="N363" t="s">
        <v>518</v>
      </c>
      <c r="O363" t="s">
        <v>83</v>
      </c>
      <c r="P363" t="s">
        <v>33</v>
      </c>
      <c r="Q363" t="s">
        <v>34</v>
      </c>
      <c r="R363" s="8">
        <v>912.03</v>
      </c>
      <c r="S363">
        <v>1</v>
      </c>
      <c r="T363">
        <v>0.3</v>
      </c>
      <c r="U363" s="8">
        <v>56.21</v>
      </c>
      <c r="V363" t="s">
        <v>1561</v>
      </c>
      <c r="W363" t="s">
        <v>1561</v>
      </c>
    </row>
    <row r="364" spans="1:23">
      <c r="A364">
        <v>1363</v>
      </c>
      <c r="B364" t="s">
        <v>367</v>
      </c>
      <c r="C364" s="7">
        <v>45634</v>
      </c>
      <c r="D364" s="7">
        <v>45637</v>
      </c>
      <c r="E364" t="s">
        <v>22</v>
      </c>
      <c r="F364" t="s">
        <v>235</v>
      </c>
      <c r="G364" t="s">
        <v>1566</v>
      </c>
      <c r="H364" t="s">
        <v>108</v>
      </c>
      <c r="I364" t="s">
        <v>26</v>
      </c>
      <c r="J364" t="s">
        <v>346</v>
      </c>
      <c r="K364" t="s">
        <v>132</v>
      </c>
      <c r="L364" t="s">
        <v>92</v>
      </c>
      <c r="M364">
        <v>560001</v>
      </c>
      <c r="N364" t="s">
        <v>368</v>
      </c>
      <c r="O364" t="s">
        <v>83</v>
      </c>
      <c r="P364" t="s">
        <v>33</v>
      </c>
      <c r="Q364" t="s">
        <v>34</v>
      </c>
      <c r="R364" s="8">
        <v>3825.04</v>
      </c>
      <c r="S364">
        <v>3</v>
      </c>
      <c r="T364">
        <v>0.1</v>
      </c>
      <c r="U364" s="8">
        <v>828.58</v>
      </c>
      <c r="V364" t="s">
        <v>1561</v>
      </c>
      <c r="W364" t="s">
        <v>1561</v>
      </c>
    </row>
    <row r="365" spans="1:23">
      <c r="A365">
        <v>1364</v>
      </c>
      <c r="B365" t="s">
        <v>595</v>
      </c>
      <c r="C365" s="7">
        <v>45297</v>
      </c>
      <c r="D365" s="7">
        <v>45303</v>
      </c>
      <c r="E365" t="s">
        <v>69</v>
      </c>
      <c r="F365" t="s">
        <v>490</v>
      </c>
      <c r="G365" t="s">
        <v>1572</v>
      </c>
      <c r="H365" t="s">
        <v>25</v>
      </c>
      <c r="I365" t="s">
        <v>26</v>
      </c>
      <c r="J365" t="s">
        <v>90</v>
      </c>
      <c r="K365" t="s">
        <v>91</v>
      </c>
      <c r="L365" t="s">
        <v>29</v>
      </c>
      <c r="M365">
        <v>110001</v>
      </c>
      <c r="N365" t="s">
        <v>596</v>
      </c>
      <c r="O365" t="s">
        <v>138</v>
      </c>
      <c r="P365" t="s">
        <v>156</v>
      </c>
      <c r="Q365" t="s">
        <v>157</v>
      </c>
      <c r="R365" s="8">
        <v>358.1</v>
      </c>
      <c r="S365">
        <v>1</v>
      </c>
      <c r="T365">
        <v>0</v>
      </c>
      <c r="U365" s="8">
        <v>82.19</v>
      </c>
      <c r="V365" t="s">
        <v>1561</v>
      </c>
      <c r="W365" t="s">
        <v>1561</v>
      </c>
    </row>
    <row r="366" spans="1:23">
      <c r="A366">
        <v>1365</v>
      </c>
      <c r="B366" t="s">
        <v>1096</v>
      </c>
      <c r="C366" s="7">
        <v>45461</v>
      </c>
      <c r="D366" s="7">
        <v>45464</v>
      </c>
      <c r="E366" t="s">
        <v>22</v>
      </c>
      <c r="F366" t="s">
        <v>490</v>
      </c>
      <c r="G366" t="s">
        <v>1565</v>
      </c>
      <c r="H366" t="s">
        <v>51</v>
      </c>
      <c r="I366" t="s">
        <v>26</v>
      </c>
      <c r="J366" t="s">
        <v>61</v>
      </c>
      <c r="K366" t="s">
        <v>62</v>
      </c>
      <c r="L366" t="s">
        <v>29</v>
      </c>
      <c r="M366">
        <v>560001</v>
      </c>
      <c r="N366" t="s">
        <v>1097</v>
      </c>
      <c r="O366" t="s">
        <v>44</v>
      </c>
      <c r="P366" t="s">
        <v>211</v>
      </c>
      <c r="Q366" t="s">
        <v>212</v>
      </c>
      <c r="R366" s="8">
        <v>3085.32</v>
      </c>
      <c r="S366">
        <v>3</v>
      </c>
      <c r="T366">
        <v>0.1</v>
      </c>
      <c r="U366" s="8">
        <v>115.49</v>
      </c>
      <c r="V366" t="s">
        <v>1561</v>
      </c>
      <c r="W366" t="s">
        <v>1561</v>
      </c>
    </row>
    <row r="367" spans="1:23">
      <c r="A367">
        <v>1366</v>
      </c>
      <c r="B367" t="s">
        <v>1154</v>
      </c>
      <c r="C367" s="7">
        <v>45337</v>
      </c>
      <c r="D367" s="7">
        <v>45341</v>
      </c>
      <c r="E367" t="s">
        <v>101</v>
      </c>
      <c r="F367" t="s">
        <v>468</v>
      </c>
      <c r="G367" t="s">
        <v>1573</v>
      </c>
      <c r="H367" t="s">
        <v>51</v>
      </c>
      <c r="I367" t="s">
        <v>26</v>
      </c>
      <c r="J367" t="s">
        <v>72</v>
      </c>
      <c r="K367" t="s">
        <v>73</v>
      </c>
      <c r="L367" t="s">
        <v>29</v>
      </c>
      <c r="M367">
        <v>400001</v>
      </c>
      <c r="N367" t="s">
        <v>640</v>
      </c>
      <c r="O367" t="s">
        <v>44</v>
      </c>
      <c r="P367" t="s">
        <v>45</v>
      </c>
      <c r="Q367" t="s">
        <v>46</v>
      </c>
      <c r="R367" s="8">
        <v>119231.6</v>
      </c>
      <c r="S367">
        <v>5</v>
      </c>
      <c r="T367">
        <v>0.3</v>
      </c>
      <c r="U367" s="8">
        <v>-11728.74</v>
      </c>
      <c r="V367" t="s">
        <v>1561</v>
      </c>
      <c r="W367" t="s">
        <v>1561</v>
      </c>
    </row>
    <row r="368" spans="1:23">
      <c r="A368">
        <v>1367</v>
      </c>
      <c r="B368" t="s">
        <v>1440</v>
      </c>
      <c r="C368" s="7">
        <v>45338</v>
      </c>
      <c r="D368" s="7">
        <v>45343</v>
      </c>
      <c r="E368" t="s">
        <v>48</v>
      </c>
      <c r="F368" t="s">
        <v>373</v>
      </c>
      <c r="G368" t="s">
        <v>1568</v>
      </c>
      <c r="H368" t="s">
        <v>51</v>
      </c>
      <c r="I368" t="s">
        <v>26</v>
      </c>
      <c r="J368" t="s">
        <v>346</v>
      </c>
      <c r="K368" t="s">
        <v>132</v>
      </c>
      <c r="L368" t="s">
        <v>92</v>
      </c>
      <c r="M368">
        <v>400001</v>
      </c>
      <c r="N368" t="s">
        <v>1345</v>
      </c>
      <c r="O368" t="s">
        <v>44</v>
      </c>
      <c r="P368" t="s">
        <v>45</v>
      </c>
      <c r="Q368" t="s">
        <v>46</v>
      </c>
      <c r="R368" s="8">
        <v>36951.54</v>
      </c>
      <c r="S368">
        <v>1</v>
      </c>
      <c r="T368">
        <v>0</v>
      </c>
      <c r="U368" s="8">
        <v>4111.55</v>
      </c>
      <c r="V368" t="s">
        <v>1561</v>
      </c>
      <c r="W368" t="s">
        <v>1561</v>
      </c>
    </row>
    <row r="369" spans="1:23">
      <c r="A369">
        <v>1368</v>
      </c>
      <c r="B369" t="s">
        <v>472</v>
      </c>
      <c r="C369" s="7">
        <v>45328</v>
      </c>
      <c r="D369" s="7">
        <v>45527</v>
      </c>
      <c r="E369" t="s">
        <v>101</v>
      </c>
      <c r="F369" t="s">
        <v>225</v>
      </c>
      <c r="G369" t="s">
        <v>1566</v>
      </c>
      <c r="H369" t="s">
        <v>51</v>
      </c>
      <c r="I369" t="s">
        <v>26</v>
      </c>
      <c r="J369" t="s">
        <v>39</v>
      </c>
      <c r="K369" t="s">
        <v>40</v>
      </c>
      <c r="L369" t="s">
        <v>63</v>
      </c>
      <c r="M369">
        <v>400001</v>
      </c>
      <c r="N369" t="s">
        <v>473</v>
      </c>
      <c r="O369" t="s">
        <v>55</v>
      </c>
      <c r="P369" t="s">
        <v>56</v>
      </c>
      <c r="Q369" t="s">
        <v>57</v>
      </c>
      <c r="R369" s="8">
        <v>6333.64</v>
      </c>
      <c r="S369">
        <v>1</v>
      </c>
      <c r="T369">
        <v>0.1</v>
      </c>
      <c r="U369" s="8">
        <v>715.18</v>
      </c>
      <c r="V369" t="s">
        <v>1561</v>
      </c>
      <c r="W369" t="s">
        <v>1561</v>
      </c>
    </row>
    <row r="370" spans="1:23">
      <c r="A370">
        <v>1369</v>
      </c>
      <c r="B370" t="s">
        <v>197</v>
      </c>
      <c r="C370" s="7">
        <v>45473</v>
      </c>
      <c r="D370" s="7">
        <v>45479</v>
      </c>
      <c r="E370" t="s">
        <v>48</v>
      </c>
      <c r="F370" t="s">
        <v>198</v>
      </c>
      <c r="G370" t="s">
        <v>1568</v>
      </c>
      <c r="H370" t="s">
        <v>25</v>
      </c>
      <c r="I370" t="s">
        <v>26</v>
      </c>
      <c r="J370" t="s">
        <v>131</v>
      </c>
      <c r="K370" t="s">
        <v>132</v>
      </c>
      <c r="L370" t="s">
        <v>63</v>
      </c>
      <c r="M370">
        <v>400001</v>
      </c>
      <c r="N370" t="s">
        <v>199</v>
      </c>
      <c r="O370" t="s">
        <v>44</v>
      </c>
      <c r="P370" t="s">
        <v>45</v>
      </c>
      <c r="Q370" t="s">
        <v>46</v>
      </c>
      <c r="R370" s="8">
        <v>28304.39</v>
      </c>
      <c r="S370">
        <v>1</v>
      </c>
      <c r="T370">
        <v>0.2</v>
      </c>
      <c r="U370" s="8">
        <v>-655.7</v>
      </c>
      <c r="V370" t="s">
        <v>1561</v>
      </c>
      <c r="W370" t="s">
        <v>1561</v>
      </c>
    </row>
    <row r="371" spans="1:23">
      <c r="A371">
        <v>1370</v>
      </c>
      <c r="B371" t="s">
        <v>354</v>
      </c>
      <c r="C371" s="7">
        <v>45346</v>
      </c>
      <c r="D371" s="7">
        <v>45349</v>
      </c>
      <c r="E371" t="s">
        <v>69</v>
      </c>
      <c r="F371" t="s">
        <v>355</v>
      </c>
      <c r="G371" t="s">
        <v>1573</v>
      </c>
      <c r="H371" t="s">
        <v>51</v>
      </c>
      <c r="I371" t="s">
        <v>26</v>
      </c>
      <c r="J371" t="s">
        <v>346</v>
      </c>
      <c r="K371" t="s">
        <v>132</v>
      </c>
      <c r="L371" t="s">
        <v>29</v>
      </c>
      <c r="M371">
        <v>682001</v>
      </c>
      <c r="N371" t="s">
        <v>356</v>
      </c>
      <c r="O371" t="s">
        <v>188</v>
      </c>
      <c r="P371" t="s">
        <v>189</v>
      </c>
      <c r="Q371" t="s">
        <v>190</v>
      </c>
      <c r="R371" s="8">
        <v>4307.6400000000003</v>
      </c>
      <c r="S371">
        <v>1</v>
      </c>
      <c r="T371">
        <v>0.25</v>
      </c>
      <c r="U371" s="8">
        <v>-131.38</v>
      </c>
      <c r="V371" t="s">
        <v>1561</v>
      </c>
      <c r="W371" t="s">
        <v>1561</v>
      </c>
    </row>
    <row r="372" spans="1:23">
      <c r="A372">
        <v>1371</v>
      </c>
      <c r="B372" t="s">
        <v>1109</v>
      </c>
      <c r="C372" s="7">
        <v>45315</v>
      </c>
      <c r="D372" s="7">
        <v>45321</v>
      </c>
      <c r="E372" t="s">
        <v>22</v>
      </c>
      <c r="F372" t="s">
        <v>49</v>
      </c>
      <c r="G372" t="s">
        <v>1567</v>
      </c>
      <c r="H372" t="s">
        <v>51</v>
      </c>
      <c r="I372" t="s">
        <v>26</v>
      </c>
      <c r="J372" t="s">
        <v>61</v>
      </c>
      <c r="K372" t="s">
        <v>62</v>
      </c>
      <c r="L372" t="s">
        <v>29</v>
      </c>
      <c r="M372">
        <v>560001</v>
      </c>
      <c r="N372" t="s">
        <v>739</v>
      </c>
      <c r="O372" t="s">
        <v>83</v>
      </c>
      <c r="P372" t="s">
        <v>84</v>
      </c>
      <c r="Q372" t="s">
        <v>85</v>
      </c>
      <c r="R372" s="8">
        <v>4771.34</v>
      </c>
      <c r="S372">
        <v>2</v>
      </c>
      <c r="T372">
        <v>0.25</v>
      </c>
      <c r="U372" s="8">
        <v>376.03</v>
      </c>
      <c r="V372" t="s">
        <v>1561</v>
      </c>
      <c r="W372" t="s">
        <v>1561</v>
      </c>
    </row>
    <row r="373" spans="1:23">
      <c r="A373">
        <v>1372</v>
      </c>
      <c r="B373" t="s">
        <v>244</v>
      </c>
      <c r="C373" s="7">
        <v>45575</v>
      </c>
      <c r="D373" s="7">
        <v>45579</v>
      </c>
      <c r="E373" t="s">
        <v>101</v>
      </c>
      <c r="F373" t="s">
        <v>77</v>
      </c>
      <c r="G373" t="s">
        <v>1568</v>
      </c>
      <c r="H373" t="s">
        <v>51</v>
      </c>
      <c r="I373" t="s">
        <v>26</v>
      </c>
      <c r="J373" t="s">
        <v>79</v>
      </c>
      <c r="K373" t="s">
        <v>80</v>
      </c>
      <c r="L373" t="s">
        <v>92</v>
      </c>
      <c r="M373">
        <v>400001</v>
      </c>
      <c r="N373" t="s">
        <v>245</v>
      </c>
      <c r="O373" t="s">
        <v>138</v>
      </c>
      <c r="P373" t="s">
        <v>121</v>
      </c>
      <c r="Q373" t="s">
        <v>122</v>
      </c>
      <c r="R373" s="8">
        <v>2027.25</v>
      </c>
      <c r="S373">
        <v>3</v>
      </c>
      <c r="T373">
        <v>0</v>
      </c>
      <c r="U373" s="8">
        <v>406</v>
      </c>
      <c r="V373" t="s">
        <v>1561</v>
      </c>
      <c r="W373" t="s">
        <v>1561</v>
      </c>
    </row>
    <row r="374" spans="1:23">
      <c r="A374">
        <v>1373</v>
      </c>
      <c r="B374" t="s">
        <v>1507</v>
      </c>
      <c r="C374" s="7">
        <v>45550</v>
      </c>
      <c r="D374" s="7">
        <v>45554</v>
      </c>
      <c r="E374" t="s">
        <v>101</v>
      </c>
      <c r="F374" t="s">
        <v>96</v>
      </c>
      <c r="G374" t="s">
        <v>1567</v>
      </c>
      <c r="H374" t="s">
        <v>25</v>
      </c>
      <c r="I374" t="s">
        <v>26</v>
      </c>
      <c r="J374" t="s">
        <v>166</v>
      </c>
      <c r="K374" t="s">
        <v>132</v>
      </c>
      <c r="L374" t="s">
        <v>92</v>
      </c>
      <c r="M374">
        <v>695001</v>
      </c>
      <c r="N374" t="s">
        <v>1508</v>
      </c>
      <c r="O374" t="s">
        <v>83</v>
      </c>
      <c r="P374" t="s">
        <v>33</v>
      </c>
      <c r="Q374" t="s">
        <v>34</v>
      </c>
      <c r="R374" s="8">
        <v>1072.01</v>
      </c>
      <c r="S374">
        <v>1</v>
      </c>
      <c r="T374">
        <v>0.2</v>
      </c>
      <c r="U374" s="8">
        <v>154.34</v>
      </c>
      <c r="V374" t="s">
        <v>1561</v>
      </c>
      <c r="W374" t="s">
        <v>1561</v>
      </c>
    </row>
    <row r="375" spans="1:23">
      <c r="A375">
        <v>1374</v>
      </c>
      <c r="B375" t="s">
        <v>1277</v>
      </c>
      <c r="C375" s="7">
        <v>45600</v>
      </c>
      <c r="D375" s="7">
        <v>45606</v>
      </c>
      <c r="E375" t="s">
        <v>48</v>
      </c>
      <c r="F375" t="s">
        <v>619</v>
      </c>
      <c r="G375" t="s">
        <v>1560</v>
      </c>
      <c r="H375" t="s">
        <v>51</v>
      </c>
      <c r="I375" t="s">
        <v>26</v>
      </c>
      <c r="J375" t="s">
        <v>226</v>
      </c>
      <c r="K375" t="s">
        <v>110</v>
      </c>
      <c r="L375" t="s">
        <v>63</v>
      </c>
      <c r="M375">
        <v>400001</v>
      </c>
      <c r="N375" t="s">
        <v>1270</v>
      </c>
      <c r="O375" t="s">
        <v>55</v>
      </c>
      <c r="P375" t="s">
        <v>66</v>
      </c>
      <c r="Q375" t="s">
        <v>67</v>
      </c>
      <c r="R375" s="8">
        <v>6256.57</v>
      </c>
      <c r="S375">
        <v>1</v>
      </c>
      <c r="T375">
        <v>0.25</v>
      </c>
      <c r="U375" s="8">
        <v>-15.98</v>
      </c>
      <c r="V375" t="s">
        <v>1561</v>
      </c>
      <c r="W375" t="s">
        <v>1561</v>
      </c>
    </row>
    <row r="376" spans="1:23">
      <c r="A376">
        <v>1375</v>
      </c>
      <c r="B376" t="s">
        <v>1106</v>
      </c>
      <c r="C376" s="7">
        <v>45643</v>
      </c>
      <c r="D376" s="7">
        <v>45646</v>
      </c>
      <c r="E376" t="s">
        <v>69</v>
      </c>
      <c r="F376" t="s">
        <v>663</v>
      </c>
      <c r="G376" t="s">
        <v>1566</v>
      </c>
      <c r="H376" t="s">
        <v>51</v>
      </c>
      <c r="I376" t="s">
        <v>26</v>
      </c>
      <c r="J376" t="s">
        <v>52</v>
      </c>
      <c r="K376" t="s">
        <v>52</v>
      </c>
      <c r="L376" t="s">
        <v>92</v>
      </c>
      <c r="M376">
        <v>600001</v>
      </c>
      <c r="N376" t="s">
        <v>1083</v>
      </c>
      <c r="O376" t="s">
        <v>138</v>
      </c>
      <c r="P376" t="s">
        <v>156</v>
      </c>
      <c r="Q376" t="s">
        <v>157</v>
      </c>
      <c r="R376" s="8">
        <v>344.01</v>
      </c>
      <c r="S376">
        <v>1</v>
      </c>
      <c r="T376">
        <v>0.15</v>
      </c>
      <c r="U376" s="8">
        <v>37.450000000000003</v>
      </c>
      <c r="V376" t="s">
        <v>1561</v>
      </c>
      <c r="W376" t="s">
        <v>1561</v>
      </c>
    </row>
    <row r="377" spans="1:23">
      <c r="A377">
        <v>1376</v>
      </c>
      <c r="B377" t="s">
        <v>374</v>
      </c>
      <c r="C377" s="7">
        <v>45579</v>
      </c>
      <c r="D377" s="7">
        <v>45583</v>
      </c>
      <c r="E377" t="s">
        <v>101</v>
      </c>
      <c r="F377" t="s">
        <v>375</v>
      </c>
      <c r="G377" t="s">
        <v>1560</v>
      </c>
      <c r="H377" t="s">
        <v>51</v>
      </c>
      <c r="I377" t="s">
        <v>26</v>
      </c>
      <c r="J377" t="s">
        <v>160</v>
      </c>
      <c r="K377" t="s">
        <v>161</v>
      </c>
      <c r="L377" t="s">
        <v>63</v>
      </c>
      <c r="M377">
        <v>110001</v>
      </c>
      <c r="N377" t="s">
        <v>376</v>
      </c>
      <c r="O377" t="s">
        <v>138</v>
      </c>
      <c r="P377" t="s">
        <v>156</v>
      </c>
      <c r="Q377" t="s">
        <v>157</v>
      </c>
      <c r="R377" s="8">
        <v>285.37</v>
      </c>
      <c r="S377">
        <v>1</v>
      </c>
      <c r="T377">
        <v>0.2</v>
      </c>
      <c r="U377" s="8">
        <v>24.37</v>
      </c>
      <c r="V377" t="s">
        <v>1561</v>
      </c>
      <c r="W377" t="s">
        <v>1561</v>
      </c>
    </row>
    <row r="378" spans="1:23">
      <c r="A378">
        <v>1377</v>
      </c>
      <c r="B378" t="s">
        <v>1289</v>
      </c>
      <c r="C378" s="7">
        <v>45319</v>
      </c>
      <c r="D378" s="7">
        <v>45325</v>
      </c>
      <c r="E378" t="s">
        <v>22</v>
      </c>
      <c r="F378" t="s">
        <v>59</v>
      </c>
      <c r="G378" t="s">
        <v>1570</v>
      </c>
      <c r="H378" t="s">
        <v>51</v>
      </c>
      <c r="I378" t="s">
        <v>26</v>
      </c>
      <c r="J378" t="s">
        <v>27</v>
      </c>
      <c r="K378" t="s">
        <v>28</v>
      </c>
      <c r="L378" t="s">
        <v>92</v>
      </c>
      <c r="M378">
        <v>695001</v>
      </c>
      <c r="N378" t="s">
        <v>480</v>
      </c>
      <c r="O378" t="s">
        <v>44</v>
      </c>
      <c r="P378" t="s">
        <v>207</v>
      </c>
      <c r="Q378" t="s">
        <v>208</v>
      </c>
      <c r="R378" s="8">
        <v>50409.4</v>
      </c>
      <c r="S378">
        <v>1</v>
      </c>
      <c r="T378">
        <v>0.05</v>
      </c>
      <c r="U378" s="8">
        <v>3584.24</v>
      </c>
      <c r="V378" t="s">
        <v>1561</v>
      </c>
      <c r="W378" t="s">
        <v>1561</v>
      </c>
    </row>
    <row r="379" spans="1:23">
      <c r="A379">
        <v>1378</v>
      </c>
      <c r="B379" t="s">
        <v>680</v>
      </c>
      <c r="C379" s="7">
        <v>45396</v>
      </c>
      <c r="D379" s="7">
        <v>45401</v>
      </c>
      <c r="E379" t="s">
        <v>22</v>
      </c>
      <c r="F379" t="s">
        <v>551</v>
      </c>
      <c r="G379" t="s">
        <v>1572</v>
      </c>
      <c r="H379" t="s">
        <v>25</v>
      </c>
      <c r="I379" t="s">
        <v>26</v>
      </c>
      <c r="J379" t="s">
        <v>115</v>
      </c>
      <c r="K379" t="s">
        <v>116</v>
      </c>
      <c r="L379" t="s">
        <v>29</v>
      </c>
      <c r="M379">
        <v>673001</v>
      </c>
      <c r="N379" t="s">
        <v>681</v>
      </c>
      <c r="O379" t="s">
        <v>44</v>
      </c>
      <c r="P379" t="s">
        <v>211</v>
      </c>
      <c r="Q379" t="s">
        <v>212</v>
      </c>
      <c r="R379" s="8">
        <v>3844.52</v>
      </c>
      <c r="S379">
        <v>4</v>
      </c>
      <c r="T379">
        <v>0.15</v>
      </c>
      <c r="U379" s="8">
        <v>55.12</v>
      </c>
      <c r="V379" t="s">
        <v>1561</v>
      </c>
      <c r="W379" t="s">
        <v>1561</v>
      </c>
    </row>
    <row r="380" spans="1:23">
      <c r="A380">
        <v>1379</v>
      </c>
      <c r="B380" t="s">
        <v>1369</v>
      </c>
      <c r="C380" s="7">
        <v>45413</v>
      </c>
      <c r="D380" s="7">
        <v>45418</v>
      </c>
      <c r="E380" t="s">
        <v>48</v>
      </c>
      <c r="F380" t="s">
        <v>23</v>
      </c>
      <c r="G380" t="s">
        <v>1566</v>
      </c>
      <c r="H380" t="s">
        <v>25</v>
      </c>
      <c r="I380" t="s">
        <v>26</v>
      </c>
      <c r="J380" t="s">
        <v>61</v>
      </c>
      <c r="K380" t="s">
        <v>62</v>
      </c>
      <c r="L380" t="s">
        <v>41</v>
      </c>
      <c r="M380">
        <v>560001</v>
      </c>
      <c r="N380" t="s">
        <v>1370</v>
      </c>
      <c r="O380" t="s">
        <v>138</v>
      </c>
      <c r="P380" t="s">
        <v>156</v>
      </c>
      <c r="Q380" t="s">
        <v>157</v>
      </c>
      <c r="R380" s="8">
        <v>1452.38</v>
      </c>
      <c r="S380">
        <v>5</v>
      </c>
      <c r="T380">
        <v>0.25</v>
      </c>
      <c r="U380" s="8">
        <v>55.38</v>
      </c>
      <c r="V380" t="s">
        <v>1561</v>
      </c>
      <c r="W380" t="s">
        <v>1561</v>
      </c>
    </row>
    <row r="381" spans="1:23">
      <c r="A381">
        <v>1380</v>
      </c>
      <c r="B381" t="s">
        <v>1396</v>
      </c>
      <c r="C381" s="7">
        <v>45298</v>
      </c>
      <c r="D381" s="7">
        <v>45304</v>
      </c>
      <c r="E381" t="s">
        <v>48</v>
      </c>
      <c r="F381" t="s">
        <v>59</v>
      </c>
      <c r="G381" t="s">
        <v>1574</v>
      </c>
      <c r="H381" t="s">
        <v>108</v>
      </c>
      <c r="I381" t="s">
        <v>26</v>
      </c>
      <c r="J381" t="s">
        <v>109</v>
      </c>
      <c r="K381" t="s">
        <v>110</v>
      </c>
      <c r="L381" t="s">
        <v>29</v>
      </c>
      <c r="M381">
        <v>110001</v>
      </c>
      <c r="N381" t="s">
        <v>466</v>
      </c>
      <c r="O381" t="s">
        <v>83</v>
      </c>
      <c r="P381" t="s">
        <v>84</v>
      </c>
      <c r="Q381" t="s">
        <v>85</v>
      </c>
      <c r="R381" s="8">
        <v>6803.35</v>
      </c>
      <c r="S381">
        <v>2</v>
      </c>
      <c r="T381">
        <v>0</v>
      </c>
      <c r="U381" s="8">
        <v>1946.27</v>
      </c>
      <c r="V381" t="s">
        <v>1561</v>
      </c>
      <c r="W381" t="s">
        <v>1561</v>
      </c>
    </row>
    <row r="382" spans="1:23">
      <c r="A382">
        <v>1381</v>
      </c>
      <c r="B382" t="s">
        <v>509</v>
      </c>
      <c r="C382" s="7">
        <v>45391</v>
      </c>
      <c r="D382" s="7">
        <v>45394</v>
      </c>
      <c r="E382" t="s">
        <v>101</v>
      </c>
      <c r="F382" t="s">
        <v>370</v>
      </c>
      <c r="G382" t="s">
        <v>1566</v>
      </c>
      <c r="H382" t="s">
        <v>25</v>
      </c>
      <c r="I382" t="s">
        <v>26</v>
      </c>
      <c r="J382" t="s">
        <v>90</v>
      </c>
      <c r="K382" t="s">
        <v>91</v>
      </c>
      <c r="L382" t="s">
        <v>41</v>
      </c>
      <c r="M382">
        <v>682001</v>
      </c>
      <c r="N382" t="s">
        <v>510</v>
      </c>
      <c r="O382" t="s">
        <v>83</v>
      </c>
      <c r="P382" t="s">
        <v>33</v>
      </c>
      <c r="Q382" t="s">
        <v>34</v>
      </c>
      <c r="R382" s="8">
        <v>2379.56</v>
      </c>
      <c r="S382">
        <v>2</v>
      </c>
      <c r="T382">
        <v>0.1</v>
      </c>
      <c r="U382" s="8">
        <v>398.78</v>
      </c>
      <c r="V382" t="s">
        <v>1561</v>
      </c>
      <c r="W382" t="s">
        <v>1561</v>
      </c>
    </row>
    <row r="383" spans="1:23">
      <c r="A383">
        <v>1382</v>
      </c>
      <c r="B383" t="s">
        <v>194</v>
      </c>
      <c r="C383" s="7">
        <v>45576</v>
      </c>
      <c r="D383" s="7">
        <v>45579</v>
      </c>
      <c r="E383" t="s">
        <v>69</v>
      </c>
      <c r="F383" t="s">
        <v>195</v>
      </c>
      <c r="G383" t="s">
        <v>1574</v>
      </c>
      <c r="H383" t="s">
        <v>51</v>
      </c>
      <c r="I383" t="s">
        <v>26</v>
      </c>
      <c r="J383" t="s">
        <v>160</v>
      </c>
      <c r="K383" t="s">
        <v>161</v>
      </c>
      <c r="L383" t="s">
        <v>63</v>
      </c>
      <c r="M383">
        <v>673001</v>
      </c>
      <c r="N383" t="s">
        <v>196</v>
      </c>
      <c r="O383" t="s">
        <v>138</v>
      </c>
      <c r="P383" t="s">
        <v>121</v>
      </c>
      <c r="Q383" t="s">
        <v>122</v>
      </c>
      <c r="R383" s="8">
        <v>530.27</v>
      </c>
      <c r="S383">
        <v>1</v>
      </c>
      <c r="T383">
        <v>0.15</v>
      </c>
      <c r="U383" s="8">
        <v>60.98</v>
      </c>
      <c r="V383" t="s">
        <v>1561</v>
      </c>
      <c r="W383" t="s">
        <v>1561</v>
      </c>
    </row>
    <row r="384" spans="1:23">
      <c r="A384">
        <v>1383</v>
      </c>
      <c r="B384" t="s">
        <v>933</v>
      </c>
      <c r="C384" s="7">
        <v>45597</v>
      </c>
      <c r="D384" s="7">
        <v>45598</v>
      </c>
      <c r="E384" t="s">
        <v>48</v>
      </c>
      <c r="F384" t="s">
        <v>135</v>
      </c>
      <c r="G384" t="s">
        <v>1575</v>
      </c>
      <c r="H384" t="s">
        <v>108</v>
      </c>
      <c r="I384" t="s">
        <v>26</v>
      </c>
      <c r="J384" t="s">
        <v>39</v>
      </c>
      <c r="K384" t="s">
        <v>40</v>
      </c>
      <c r="L384" t="s">
        <v>63</v>
      </c>
      <c r="M384">
        <v>673001</v>
      </c>
      <c r="N384" t="s">
        <v>934</v>
      </c>
      <c r="O384" t="s">
        <v>83</v>
      </c>
      <c r="P384" t="s">
        <v>33</v>
      </c>
      <c r="Q384" t="s">
        <v>34</v>
      </c>
      <c r="R384" s="8">
        <v>1036.4100000000001</v>
      </c>
      <c r="S384">
        <v>1</v>
      </c>
      <c r="T384">
        <v>0.2</v>
      </c>
      <c r="U384" s="8">
        <v>128.72</v>
      </c>
      <c r="V384" t="s">
        <v>1561</v>
      </c>
      <c r="W384" t="s">
        <v>1561</v>
      </c>
    </row>
    <row r="385" spans="1:23">
      <c r="A385">
        <v>1384</v>
      </c>
      <c r="B385" t="s">
        <v>1155</v>
      </c>
      <c r="C385" s="7">
        <v>45550</v>
      </c>
      <c r="D385" s="7">
        <v>45552</v>
      </c>
      <c r="E385" t="s">
        <v>101</v>
      </c>
      <c r="F385" t="s">
        <v>130</v>
      </c>
      <c r="G385" t="s">
        <v>1568</v>
      </c>
      <c r="H385" t="s">
        <v>51</v>
      </c>
      <c r="I385" t="s">
        <v>26</v>
      </c>
      <c r="J385" t="s">
        <v>160</v>
      </c>
      <c r="K385" t="s">
        <v>161</v>
      </c>
      <c r="L385" t="s">
        <v>29</v>
      </c>
      <c r="M385">
        <v>673001</v>
      </c>
      <c r="N385" t="s">
        <v>859</v>
      </c>
      <c r="O385" t="s">
        <v>55</v>
      </c>
      <c r="P385" t="s">
        <v>56</v>
      </c>
      <c r="Q385" t="s">
        <v>57</v>
      </c>
      <c r="R385" s="8">
        <v>52516.47</v>
      </c>
      <c r="S385">
        <v>7</v>
      </c>
      <c r="T385">
        <v>0</v>
      </c>
      <c r="U385" s="8">
        <v>9985.5499999999993</v>
      </c>
      <c r="V385" t="s">
        <v>1561</v>
      </c>
      <c r="W385" t="s">
        <v>1561</v>
      </c>
    </row>
    <row r="386" spans="1:23">
      <c r="A386">
        <v>1385</v>
      </c>
      <c r="B386" t="s">
        <v>1290</v>
      </c>
      <c r="C386" s="7">
        <v>45442</v>
      </c>
      <c r="D386" s="7">
        <v>45444</v>
      </c>
      <c r="E386" t="s">
        <v>101</v>
      </c>
      <c r="F386" t="s">
        <v>142</v>
      </c>
      <c r="G386" t="s">
        <v>1572</v>
      </c>
      <c r="H386" t="s">
        <v>51</v>
      </c>
      <c r="I386" t="s">
        <v>26</v>
      </c>
      <c r="J386" t="s">
        <v>72</v>
      </c>
      <c r="K386" t="s">
        <v>73</v>
      </c>
      <c r="L386" t="s">
        <v>41</v>
      </c>
      <c r="M386">
        <v>673001</v>
      </c>
      <c r="N386" t="s">
        <v>1291</v>
      </c>
      <c r="O386" t="s">
        <v>188</v>
      </c>
      <c r="P386" t="s">
        <v>189</v>
      </c>
      <c r="Q386" t="s">
        <v>190</v>
      </c>
      <c r="R386" s="8">
        <v>9045.52</v>
      </c>
      <c r="S386">
        <v>2</v>
      </c>
      <c r="T386">
        <v>0.2</v>
      </c>
      <c r="U386" s="8">
        <v>0</v>
      </c>
      <c r="V386" t="s">
        <v>1561</v>
      </c>
      <c r="W386" t="s">
        <v>1561</v>
      </c>
    </row>
    <row r="387" spans="1:23">
      <c r="A387">
        <v>1386</v>
      </c>
      <c r="B387" t="s">
        <v>1494</v>
      </c>
      <c r="C387" s="7">
        <v>45312</v>
      </c>
      <c r="D387" s="7">
        <v>45318</v>
      </c>
      <c r="E387" t="s">
        <v>48</v>
      </c>
      <c r="F387" t="s">
        <v>678</v>
      </c>
      <c r="G387" t="s">
        <v>1567</v>
      </c>
      <c r="H387" t="s">
        <v>51</v>
      </c>
      <c r="I387" t="s">
        <v>26</v>
      </c>
      <c r="J387" t="s">
        <v>226</v>
      </c>
      <c r="K387" t="s">
        <v>110</v>
      </c>
      <c r="L387" t="s">
        <v>41</v>
      </c>
      <c r="M387">
        <v>560001</v>
      </c>
      <c r="N387" t="s">
        <v>1495</v>
      </c>
      <c r="O387" t="s">
        <v>138</v>
      </c>
      <c r="P387" t="s">
        <v>182</v>
      </c>
      <c r="Q387" t="s">
        <v>183</v>
      </c>
      <c r="R387" s="8">
        <v>1139.31</v>
      </c>
      <c r="S387">
        <v>3</v>
      </c>
      <c r="T387">
        <v>0.1</v>
      </c>
      <c r="U387" s="8">
        <v>180.45</v>
      </c>
      <c r="V387" t="s">
        <v>1561</v>
      </c>
      <c r="W387" t="s">
        <v>1561</v>
      </c>
    </row>
    <row r="388" spans="1:23">
      <c r="A388">
        <v>1387</v>
      </c>
      <c r="B388" t="s">
        <v>1261</v>
      </c>
      <c r="C388" s="7">
        <v>45555</v>
      </c>
      <c r="D388" s="7">
        <v>45560</v>
      </c>
      <c r="E388" t="s">
        <v>101</v>
      </c>
      <c r="F388" t="s">
        <v>135</v>
      </c>
      <c r="G388" t="s">
        <v>1569</v>
      </c>
      <c r="H388" t="s">
        <v>51</v>
      </c>
      <c r="I388" t="s">
        <v>26</v>
      </c>
      <c r="J388" t="s">
        <v>52</v>
      </c>
      <c r="K388" t="s">
        <v>52</v>
      </c>
      <c r="L388" t="s">
        <v>63</v>
      </c>
      <c r="M388">
        <v>400001</v>
      </c>
      <c r="N388" t="s">
        <v>1262</v>
      </c>
      <c r="O388" t="s">
        <v>83</v>
      </c>
      <c r="P388" t="s">
        <v>33</v>
      </c>
      <c r="Q388" t="s">
        <v>34</v>
      </c>
      <c r="R388" s="8">
        <v>6319.48</v>
      </c>
      <c r="S388">
        <v>6</v>
      </c>
      <c r="T388">
        <v>0.2</v>
      </c>
      <c r="U388" s="8">
        <v>719.39</v>
      </c>
      <c r="V388" t="s">
        <v>1561</v>
      </c>
      <c r="W388" t="s">
        <v>1561</v>
      </c>
    </row>
    <row r="389" spans="1:23">
      <c r="A389">
        <v>1388</v>
      </c>
      <c r="B389" t="s">
        <v>1452</v>
      </c>
      <c r="C389" s="7">
        <v>45612</v>
      </c>
      <c r="D389" s="7">
        <v>45613</v>
      </c>
      <c r="E389" t="s">
        <v>69</v>
      </c>
      <c r="F389" t="s">
        <v>70</v>
      </c>
      <c r="G389" t="s">
        <v>1566</v>
      </c>
      <c r="H389" t="s">
        <v>51</v>
      </c>
      <c r="I389" t="s">
        <v>26</v>
      </c>
      <c r="J389" t="s">
        <v>226</v>
      </c>
      <c r="K389" t="s">
        <v>110</v>
      </c>
      <c r="L389" t="s">
        <v>92</v>
      </c>
      <c r="M389">
        <v>110001</v>
      </c>
      <c r="N389" t="s">
        <v>128</v>
      </c>
      <c r="O389" t="s">
        <v>138</v>
      </c>
      <c r="P389" t="s">
        <v>121</v>
      </c>
      <c r="Q389" t="s">
        <v>122</v>
      </c>
      <c r="R389" s="8">
        <v>680.92</v>
      </c>
      <c r="S389">
        <v>1</v>
      </c>
      <c r="T389">
        <v>0</v>
      </c>
      <c r="U389" s="8">
        <v>112.35</v>
      </c>
      <c r="V389" t="s">
        <v>1561</v>
      </c>
      <c r="W389" t="s">
        <v>1561</v>
      </c>
    </row>
    <row r="390" spans="1:23">
      <c r="A390">
        <v>1389</v>
      </c>
      <c r="B390" t="s">
        <v>470</v>
      </c>
      <c r="C390" s="7">
        <v>45623</v>
      </c>
      <c r="D390" s="7">
        <v>45624</v>
      </c>
      <c r="E390" t="s">
        <v>69</v>
      </c>
      <c r="F390" t="s">
        <v>426</v>
      </c>
      <c r="G390" t="s">
        <v>1562</v>
      </c>
      <c r="H390" t="s">
        <v>51</v>
      </c>
      <c r="I390" t="s">
        <v>26</v>
      </c>
      <c r="J390" t="s">
        <v>109</v>
      </c>
      <c r="K390" t="s">
        <v>110</v>
      </c>
      <c r="L390" t="s">
        <v>63</v>
      </c>
      <c r="M390">
        <v>673001</v>
      </c>
      <c r="N390" t="s">
        <v>471</v>
      </c>
      <c r="O390" t="s">
        <v>188</v>
      </c>
      <c r="P390" t="s">
        <v>189</v>
      </c>
      <c r="Q390" t="s">
        <v>386</v>
      </c>
      <c r="R390" s="8">
        <v>4735.57</v>
      </c>
      <c r="S390">
        <v>3</v>
      </c>
      <c r="T390">
        <v>0.25</v>
      </c>
      <c r="U390" s="8">
        <v>-171.01</v>
      </c>
      <c r="V390" t="s">
        <v>1561</v>
      </c>
      <c r="W390" t="s">
        <v>1561</v>
      </c>
    </row>
    <row r="391" spans="1:23">
      <c r="A391">
        <v>1390</v>
      </c>
      <c r="B391" t="s">
        <v>1423</v>
      </c>
      <c r="C391" s="7">
        <v>45586</v>
      </c>
      <c r="D391" s="7">
        <v>45588</v>
      </c>
      <c r="E391" t="s">
        <v>48</v>
      </c>
      <c r="F391" t="s">
        <v>271</v>
      </c>
      <c r="G391" t="s">
        <v>1564</v>
      </c>
      <c r="H391" t="s">
        <v>51</v>
      </c>
      <c r="I391" t="s">
        <v>26</v>
      </c>
      <c r="J391" t="s">
        <v>131</v>
      </c>
      <c r="K391" t="s">
        <v>132</v>
      </c>
      <c r="L391" t="s">
        <v>29</v>
      </c>
      <c r="M391">
        <v>400001</v>
      </c>
      <c r="N391" t="s">
        <v>1424</v>
      </c>
      <c r="O391" t="s">
        <v>44</v>
      </c>
      <c r="P391" t="s">
        <v>207</v>
      </c>
      <c r="Q391" t="s">
        <v>208</v>
      </c>
      <c r="R391" s="8">
        <v>107661.41</v>
      </c>
      <c r="S391">
        <v>2</v>
      </c>
      <c r="T391">
        <v>0</v>
      </c>
      <c r="U391" s="8">
        <v>12678.54</v>
      </c>
      <c r="V391" t="s">
        <v>1561</v>
      </c>
      <c r="W391" t="s">
        <v>1561</v>
      </c>
    </row>
    <row r="392" spans="1:23">
      <c r="A392">
        <v>1391</v>
      </c>
      <c r="B392" t="s">
        <v>975</v>
      </c>
      <c r="C392" s="7">
        <v>45620</v>
      </c>
      <c r="D392" s="7">
        <v>45626</v>
      </c>
      <c r="E392" t="s">
        <v>22</v>
      </c>
      <c r="F392" t="s">
        <v>106</v>
      </c>
      <c r="G392" t="s">
        <v>1560</v>
      </c>
      <c r="H392" t="s">
        <v>51</v>
      </c>
      <c r="I392" t="s">
        <v>26</v>
      </c>
      <c r="J392" t="s">
        <v>109</v>
      </c>
      <c r="K392" t="s">
        <v>110</v>
      </c>
      <c r="L392" t="s">
        <v>41</v>
      </c>
      <c r="M392">
        <v>400001</v>
      </c>
      <c r="N392" t="s">
        <v>976</v>
      </c>
      <c r="O392" t="s">
        <v>55</v>
      </c>
      <c r="P392" t="s">
        <v>56</v>
      </c>
      <c r="Q392" t="s">
        <v>57</v>
      </c>
      <c r="R392" s="8">
        <v>29693.71</v>
      </c>
      <c r="S392">
        <v>4</v>
      </c>
      <c r="T392">
        <v>0</v>
      </c>
      <c r="U392" s="8">
        <v>4852.49</v>
      </c>
      <c r="V392" t="s">
        <v>1561</v>
      </c>
      <c r="W392" t="s">
        <v>1561</v>
      </c>
    </row>
    <row r="393" spans="1:23">
      <c r="A393">
        <v>1392</v>
      </c>
      <c r="B393" t="s">
        <v>1374</v>
      </c>
      <c r="C393" s="7">
        <v>45602</v>
      </c>
      <c r="D393" s="7">
        <v>45603</v>
      </c>
      <c r="E393" t="s">
        <v>48</v>
      </c>
      <c r="F393" t="s">
        <v>417</v>
      </c>
      <c r="G393" t="s">
        <v>1567</v>
      </c>
      <c r="H393" t="s">
        <v>108</v>
      </c>
      <c r="I393" t="s">
        <v>26</v>
      </c>
      <c r="J393" t="s">
        <v>131</v>
      </c>
      <c r="K393" t="s">
        <v>132</v>
      </c>
      <c r="L393" t="s">
        <v>29</v>
      </c>
      <c r="M393">
        <v>560001</v>
      </c>
      <c r="N393" t="s">
        <v>1375</v>
      </c>
      <c r="O393" t="s">
        <v>55</v>
      </c>
      <c r="P393" t="s">
        <v>56</v>
      </c>
      <c r="Q393" t="s">
        <v>57</v>
      </c>
      <c r="R393" s="8">
        <v>5876.96</v>
      </c>
      <c r="S393">
        <v>1</v>
      </c>
      <c r="T393">
        <v>0.15</v>
      </c>
      <c r="U393" s="8">
        <v>338.97</v>
      </c>
      <c r="V393" t="s">
        <v>1561</v>
      </c>
      <c r="W393" t="s">
        <v>1561</v>
      </c>
    </row>
    <row r="394" spans="1:23">
      <c r="A394">
        <v>1393</v>
      </c>
      <c r="B394" t="s">
        <v>1335</v>
      </c>
      <c r="C394" s="7">
        <v>45361</v>
      </c>
      <c r="D394" s="7">
        <v>45367</v>
      </c>
      <c r="E394" t="s">
        <v>101</v>
      </c>
      <c r="F394" t="s">
        <v>36</v>
      </c>
      <c r="G394" t="s">
        <v>1575</v>
      </c>
      <c r="H394" t="s">
        <v>51</v>
      </c>
      <c r="I394" t="s">
        <v>26</v>
      </c>
      <c r="J394" t="s">
        <v>61</v>
      </c>
      <c r="K394" t="s">
        <v>62</v>
      </c>
      <c r="L394" t="s">
        <v>63</v>
      </c>
      <c r="M394">
        <v>400001</v>
      </c>
      <c r="N394" t="s">
        <v>453</v>
      </c>
      <c r="O394" t="s">
        <v>138</v>
      </c>
      <c r="P394" t="s">
        <v>156</v>
      </c>
      <c r="Q394" t="s">
        <v>157</v>
      </c>
      <c r="R394" s="8">
        <v>324.58</v>
      </c>
      <c r="S394">
        <v>1</v>
      </c>
      <c r="T394">
        <v>0.1</v>
      </c>
      <c r="U394" s="8">
        <v>52.77</v>
      </c>
      <c r="V394" t="s">
        <v>1561</v>
      </c>
      <c r="W394" t="s">
        <v>1561</v>
      </c>
    </row>
    <row r="395" spans="1:23">
      <c r="A395">
        <v>1394</v>
      </c>
      <c r="B395" t="s">
        <v>441</v>
      </c>
      <c r="C395" s="7">
        <v>45297</v>
      </c>
      <c r="D395" s="7">
        <v>45302</v>
      </c>
      <c r="E395" t="s">
        <v>69</v>
      </c>
      <c r="F395" t="s">
        <v>442</v>
      </c>
      <c r="G395" t="s">
        <v>1569</v>
      </c>
      <c r="H395" t="s">
        <v>108</v>
      </c>
      <c r="I395" t="s">
        <v>26</v>
      </c>
      <c r="J395" t="s">
        <v>115</v>
      </c>
      <c r="K395" t="s">
        <v>116</v>
      </c>
      <c r="L395" t="s">
        <v>41</v>
      </c>
      <c r="M395">
        <v>600001</v>
      </c>
      <c r="N395" t="s">
        <v>443</v>
      </c>
      <c r="O395" t="s">
        <v>138</v>
      </c>
      <c r="P395" t="s">
        <v>156</v>
      </c>
      <c r="Q395" t="s">
        <v>157</v>
      </c>
      <c r="R395" s="8">
        <v>2156.39</v>
      </c>
      <c r="S395">
        <v>7</v>
      </c>
      <c r="T395">
        <v>0.2</v>
      </c>
      <c r="U395" s="8">
        <v>143.46</v>
      </c>
      <c r="V395" t="s">
        <v>1561</v>
      </c>
      <c r="W395" t="s">
        <v>1561</v>
      </c>
    </row>
    <row r="396" spans="1:23">
      <c r="A396">
        <v>1395</v>
      </c>
      <c r="B396" t="s">
        <v>533</v>
      </c>
      <c r="C396" s="7">
        <v>45468</v>
      </c>
      <c r="D396" s="7">
        <v>45470</v>
      </c>
      <c r="E396" t="s">
        <v>101</v>
      </c>
      <c r="F396" t="s">
        <v>315</v>
      </c>
      <c r="G396" t="s">
        <v>1566</v>
      </c>
      <c r="H396" t="s">
        <v>51</v>
      </c>
      <c r="I396" t="s">
        <v>26</v>
      </c>
      <c r="J396" t="s">
        <v>109</v>
      </c>
      <c r="K396" t="s">
        <v>110</v>
      </c>
      <c r="L396" t="s">
        <v>92</v>
      </c>
      <c r="M396">
        <v>682001</v>
      </c>
      <c r="N396" t="s">
        <v>534</v>
      </c>
      <c r="O396" t="s">
        <v>138</v>
      </c>
      <c r="P396" t="s">
        <v>121</v>
      </c>
      <c r="Q396" t="s">
        <v>122</v>
      </c>
      <c r="R396" s="8">
        <v>581.44000000000005</v>
      </c>
      <c r="S396">
        <v>1</v>
      </c>
      <c r="T396">
        <v>0.1</v>
      </c>
      <c r="U396" s="8">
        <v>96.05</v>
      </c>
      <c r="V396" t="s">
        <v>1561</v>
      </c>
      <c r="W396" t="s">
        <v>1561</v>
      </c>
    </row>
    <row r="397" spans="1:23">
      <c r="A397">
        <v>1396</v>
      </c>
      <c r="B397" t="s">
        <v>692</v>
      </c>
      <c r="C397" s="7">
        <v>45635</v>
      </c>
      <c r="D397" s="7">
        <v>45640</v>
      </c>
      <c r="E397" t="s">
        <v>22</v>
      </c>
      <c r="F397" t="s">
        <v>388</v>
      </c>
      <c r="G397" t="s">
        <v>1575</v>
      </c>
      <c r="H397" t="s">
        <v>25</v>
      </c>
      <c r="I397" t="s">
        <v>26</v>
      </c>
      <c r="J397" t="s">
        <v>72</v>
      </c>
      <c r="K397" t="s">
        <v>73</v>
      </c>
      <c r="L397" t="s">
        <v>29</v>
      </c>
      <c r="M397">
        <v>400001</v>
      </c>
      <c r="N397" t="s">
        <v>693</v>
      </c>
      <c r="O397" t="s">
        <v>138</v>
      </c>
      <c r="P397" t="s">
        <v>139</v>
      </c>
      <c r="Q397" t="s">
        <v>140</v>
      </c>
      <c r="R397" s="8">
        <v>852.44</v>
      </c>
      <c r="S397">
        <v>1</v>
      </c>
      <c r="T397">
        <v>0.05</v>
      </c>
      <c r="U397" s="8">
        <v>148.94</v>
      </c>
      <c r="V397" t="s">
        <v>1561</v>
      </c>
      <c r="W397" t="s">
        <v>1561</v>
      </c>
    </row>
    <row r="398" spans="1:23">
      <c r="A398">
        <v>1397</v>
      </c>
      <c r="B398" t="s">
        <v>550</v>
      </c>
      <c r="C398" s="7">
        <v>45589</v>
      </c>
      <c r="D398" s="7">
        <v>45593</v>
      </c>
      <c r="E398" t="s">
        <v>48</v>
      </c>
      <c r="F398" t="s">
        <v>551</v>
      </c>
      <c r="G398" t="s">
        <v>1571</v>
      </c>
      <c r="H398" t="s">
        <v>25</v>
      </c>
      <c r="I398" t="s">
        <v>26</v>
      </c>
      <c r="J398" t="s">
        <v>131</v>
      </c>
      <c r="K398" t="s">
        <v>132</v>
      </c>
      <c r="L398" t="s">
        <v>92</v>
      </c>
      <c r="M398">
        <v>673001</v>
      </c>
      <c r="N398" t="s">
        <v>318</v>
      </c>
      <c r="O398" t="s">
        <v>55</v>
      </c>
      <c r="P398" t="s">
        <v>66</v>
      </c>
      <c r="Q398" t="s">
        <v>67</v>
      </c>
      <c r="R398" s="8">
        <v>15314.42</v>
      </c>
      <c r="S398">
        <v>2</v>
      </c>
      <c r="T398">
        <v>0.1</v>
      </c>
      <c r="U398" s="8">
        <v>1535.95</v>
      </c>
      <c r="V398" t="s">
        <v>1561</v>
      </c>
      <c r="W398" t="s">
        <v>1561</v>
      </c>
    </row>
    <row r="399" spans="1:23">
      <c r="A399">
        <v>1398</v>
      </c>
      <c r="B399" t="s">
        <v>1336</v>
      </c>
      <c r="C399" s="7">
        <v>45460</v>
      </c>
      <c r="D399" s="7">
        <v>45465</v>
      </c>
      <c r="E399" t="s">
        <v>48</v>
      </c>
      <c r="F399" t="s">
        <v>23</v>
      </c>
      <c r="G399" t="s">
        <v>1574</v>
      </c>
      <c r="H399" t="s">
        <v>108</v>
      </c>
      <c r="I399" t="s">
        <v>26</v>
      </c>
      <c r="J399" t="s">
        <v>79</v>
      </c>
      <c r="K399" t="s">
        <v>80</v>
      </c>
      <c r="L399" t="s">
        <v>92</v>
      </c>
      <c r="M399">
        <v>600001</v>
      </c>
      <c r="N399" t="s">
        <v>104</v>
      </c>
      <c r="O399" t="s">
        <v>44</v>
      </c>
      <c r="P399" t="s">
        <v>45</v>
      </c>
      <c r="Q399" t="s">
        <v>46</v>
      </c>
      <c r="R399" s="8">
        <v>46514.04</v>
      </c>
      <c r="S399">
        <v>2</v>
      </c>
      <c r="T399">
        <v>0.3</v>
      </c>
      <c r="U399" s="8">
        <v>-4689.33</v>
      </c>
      <c r="V399" t="s">
        <v>1561</v>
      </c>
      <c r="W399" t="s">
        <v>1561</v>
      </c>
    </row>
    <row r="400" spans="1:23">
      <c r="A400">
        <v>1399</v>
      </c>
      <c r="B400" t="s">
        <v>224</v>
      </c>
      <c r="C400" s="7">
        <v>45452</v>
      </c>
      <c r="D400" s="7">
        <v>45454</v>
      </c>
      <c r="E400" t="s">
        <v>69</v>
      </c>
      <c r="F400" t="s">
        <v>225</v>
      </c>
      <c r="G400" t="s">
        <v>1560</v>
      </c>
      <c r="H400" t="s">
        <v>51</v>
      </c>
      <c r="I400" t="s">
        <v>26</v>
      </c>
      <c r="J400" t="s">
        <v>226</v>
      </c>
      <c r="K400" t="s">
        <v>110</v>
      </c>
      <c r="L400" t="s">
        <v>29</v>
      </c>
      <c r="M400">
        <v>695001</v>
      </c>
      <c r="N400" t="s">
        <v>227</v>
      </c>
      <c r="O400" t="s">
        <v>83</v>
      </c>
      <c r="P400" t="s">
        <v>84</v>
      </c>
      <c r="Q400" t="s">
        <v>85</v>
      </c>
      <c r="R400" s="8">
        <v>6842.49</v>
      </c>
      <c r="S400">
        <v>2</v>
      </c>
      <c r="T400">
        <v>0</v>
      </c>
      <c r="U400" s="8">
        <v>1766.33</v>
      </c>
      <c r="V400" t="s">
        <v>1561</v>
      </c>
      <c r="W400" t="s">
        <v>1561</v>
      </c>
    </row>
    <row r="401" spans="1:23">
      <c r="A401">
        <v>1400</v>
      </c>
      <c r="B401" t="s">
        <v>668</v>
      </c>
      <c r="C401" s="7">
        <v>45528</v>
      </c>
      <c r="D401" s="7">
        <v>45532</v>
      </c>
      <c r="E401" t="s">
        <v>48</v>
      </c>
      <c r="F401" t="s">
        <v>87</v>
      </c>
      <c r="G401" t="s">
        <v>1570</v>
      </c>
      <c r="H401" t="s">
        <v>25</v>
      </c>
      <c r="I401" t="s">
        <v>26</v>
      </c>
      <c r="J401" t="s">
        <v>226</v>
      </c>
      <c r="K401" t="s">
        <v>110</v>
      </c>
      <c r="L401" t="s">
        <v>29</v>
      </c>
      <c r="M401">
        <v>600001</v>
      </c>
      <c r="N401" t="s">
        <v>669</v>
      </c>
      <c r="O401" t="s">
        <v>44</v>
      </c>
      <c r="P401" t="s">
        <v>211</v>
      </c>
      <c r="Q401" t="s">
        <v>212</v>
      </c>
      <c r="R401" s="8">
        <v>1732.86</v>
      </c>
      <c r="S401">
        <v>2</v>
      </c>
      <c r="T401">
        <v>0.3</v>
      </c>
      <c r="U401" s="8">
        <v>-178.41</v>
      </c>
      <c r="V401" t="s">
        <v>1561</v>
      </c>
      <c r="W401" t="s">
        <v>1561</v>
      </c>
    </row>
    <row r="402" spans="1:23">
      <c r="A402">
        <v>1401</v>
      </c>
      <c r="B402" t="s">
        <v>1235</v>
      </c>
      <c r="C402" s="7">
        <v>45567</v>
      </c>
      <c r="D402" s="7">
        <v>45569</v>
      </c>
      <c r="E402" t="s">
        <v>48</v>
      </c>
      <c r="F402" t="s">
        <v>214</v>
      </c>
      <c r="G402" t="s">
        <v>1567</v>
      </c>
      <c r="H402" t="s">
        <v>25</v>
      </c>
      <c r="I402" t="s">
        <v>26</v>
      </c>
      <c r="J402" t="s">
        <v>166</v>
      </c>
      <c r="K402" t="s">
        <v>132</v>
      </c>
      <c r="L402" t="s">
        <v>41</v>
      </c>
      <c r="M402">
        <v>400001</v>
      </c>
      <c r="N402" t="s">
        <v>1236</v>
      </c>
      <c r="O402" t="s">
        <v>138</v>
      </c>
      <c r="P402" t="s">
        <v>156</v>
      </c>
      <c r="Q402" t="s">
        <v>157</v>
      </c>
      <c r="R402" s="8">
        <v>1864.85</v>
      </c>
      <c r="S402">
        <v>5</v>
      </c>
      <c r="T402">
        <v>0.05</v>
      </c>
      <c r="U402" s="8">
        <v>258.10000000000002</v>
      </c>
      <c r="V402" t="s">
        <v>1561</v>
      </c>
      <c r="W402" t="s">
        <v>1561</v>
      </c>
    </row>
    <row r="403" spans="1:23">
      <c r="A403">
        <v>1402</v>
      </c>
      <c r="B403" t="s">
        <v>1417</v>
      </c>
      <c r="C403" s="7">
        <v>45594</v>
      </c>
      <c r="D403" s="7">
        <v>45596</v>
      </c>
      <c r="E403" t="s">
        <v>22</v>
      </c>
      <c r="F403" t="s">
        <v>198</v>
      </c>
      <c r="G403" t="s">
        <v>1570</v>
      </c>
      <c r="H403" t="s">
        <v>51</v>
      </c>
      <c r="I403" t="s">
        <v>26</v>
      </c>
      <c r="J403" t="s">
        <v>346</v>
      </c>
      <c r="K403" t="s">
        <v>132</v>
      </c>
      <c r="L403" t="s">
        <v>29</v>
      </c>
      <c r="M403">
        <v>400001</v>
      </c>
      <c r="N403" t="s">
        <v>1418</v>
      </c>
      <c r="O403" t="s">
        <v>188</v>
      </c>
      <c r="P403" t="s">
        <v>189</v>
      </c>
      <c r="Q403" t="s">
        <v>386</v>
      </c>
      <c r="R403" s="8">
        <v>1670.14</v>
      </c>
      <c r="S403">
        <v>1</v>
      </c>
      <c r="T403">
        <v>0.25</v>
      </c>
      <c r="U403" s="8">
        <v>-57.18</v>
      </c>
      <c r="V403" t="s">
        <v>1561</v>
      </c>
      <c r="W403" t="s">
        <v>1561</v>
      </c>
    </row>
    <row r="404" spans="1:23">
      <c r="A404">
        <v>1403</v>
      </c>
      <c r="B404" t="s">
        <v>1248</v>
      </c>
      <c r="C404" s="7">
        <v>45360</v>
      </c>
      <c r="D404" s="7">
        <v>45364</v>
      </c>
      <c r="E404" t="s">
        <v>22</v>
      </c>
      <c r="F404" t="s">
        <v>238</v>
      </c>
      <c r="G404" t="s">
        <v>1563</v>
      </c>
      <c r="H404" t="s">
        <v>51</v>
      </c>
      <c r="I404" t="s">
        <v>26</v>
      </c>
      <c r="J404" t="s">
        <v>166</v>
      </c>
      <c r="K404" t="s">
        <v>132</v>
      </c>
      <c r="L404" t="s">
        <v>41</v>
      </c>
      <c r="M404">
        <v>400001</v>
      </c>
      <c r="N404" t="s">
        <v>381</v>
      </c>
      <c r="O404" t="s">
        <v>55</v>
      </c>
      <c r="P404" t="s">
        <v>56</v>
      </c>
      <c r="Q404" t="s">
        <v>57</v>
      </c>
      <c r="R404" s="8">
        <v>36274.25</v>
      </c>
      <c r="S404">
        <v>6</v>
      </c>
      <c r="T404">
        <v>0.15</v>
      </c>
      <c r="U404" s="8">
        <v>2535.17</v>
      </c>
      <c r="V404" t="s">
        <v>1561</v>
      </c>
      <c r="W404" t="s">
        <v>1561</v>
      </c>
    </row>
    <row r="405" spans="1:23">
      <c r="A405">
        <v>1404</v>
      </c>
      <c r="B405" t="s">
        <v>1182</v>
      </c>
      <c r="C405" s="7">
        <v>45520</v>
      </c>
      <c r="D405" s="7">
        <v>45522</v>
      </c>
      <c r="E405" t="s">
        <v>69</v>
      </c>
      <c r="F405" t="s">
        <v>931</v>
      </c>
      <c r="G405" t="s">
        <v>1574</v>
      </c>
      <c r="H405" t="s">
        <v>108</v>
      </c>
      <c r="I405" t="s">
        <v>26</v>
      </c>
      <c r="J405" t="s">
        <v>61</v>
      </c>
      <c r="K405" t="s">
        <v>62</v>
      </c>
      <c r="L405" t="s">
        <v>92</v>
      </c>
      <c r="M405">
        <v>400001</v>
      </c>
      <c r="N405" t="s">
        <v>1183</v>
      </c>
      <c r="O405" t="s">
        <v>83</v>
      </c>
      <c r="P405" t="s">
        <v>84</v>
      </c>
      <c r="Q405" t="s">
        <v>85</v>
      </c>
      <c r="R405" s="8">
        <v>13005.1</v>
      </c>
      <c r="S405">
        <v>4</v>
      </c>
      <c r="T405">
        <v>0.05</v>
      </c>
      <c r="U405" s="8">
        <v>3430.49</v>
      </c>
      <c r="V405" t="s">
        <v>1561</v>
      </c>
      <c r="W405" t="s">
        <v>1561</v>
      </c>
    </row>
    <row r="406" spans="1:23">
      <c r="A406">
        <v>1405</v>
      </c>
      <c r="B406" t="s">
        <v>925</v>
      </c>
      <c r="C406" s="7">
        <v>45324</v>
      </c>
      <c r="D406" s="7">
        <v>45327</v>
      </c>
      <c r="E406" t="s">
        <v>48</v>
      </c>
      <c r="F406" t="s">
        <v>926</v>
      </c>
      <c r="G406" t="s">
        <v>1569</v>
      </c>
      <c r="H406" t="s">
        <v>51</v>
      </c>
      <c r="I406" t="s">
        <v>26</v>
      </c>
      <c r="J406" t="s">
        <v>39</v>
      </c>
      <c r="K406" t="s">
        <v>40</v>
      </c>
      <c r="L406" t="s">
        <v>92</v>
      </c>
      <c r="M406">
        <v>600001</v>
      </c>
      <c r="N406" t="s">
        <v>927</v>
      </c>
      <c r="O406" t="s">
        <v>55</v>
      </c>
      <c r="P406" t="s">
        <v>56</v>
      </c>
      <c r="Q406" t="s">
        <v>57</v>
      </c>
      <c r="R406" s="8">
        <v>25716.12</v>
      </c>
      <c r="S406">
        <v>4</v>
      </c>
      <c r="T406">
        <v>0.1</v>
      </c>
      <c r="U406" s="8">
        <v>1970.6</v>
      </c>
      <c r="V406" t="s">
        <v>1561</v>
      </c>
      <c r="W406" t="s">
        <v>1561</v>
      </c>
    </row>
    <row r="407" spans="1:23">
      <c r="A407">
        <v>1406</v>
      </c>
      <c r="B407" t="s">
        <v>817</v>
      </c>
      <c r="C407" s="7">
        <v>45312</v>
      </c>
      <c r="D407" s="7">
        <v>45318</v>
      </c>
      <c r="E407" t="s">
        <v>48</v>
      </c>
      <c r="F407" t="s">
        <v>173</v>
      </c>
      <c r="G407" t="s">
        <v>1560</v>
      </c>
      <c r="H407" t="s">
        <v>51</v>
      </c>
      <c r="I407" t="s">
        <v>26</v>
      </c>
      <c r="J407" t="s">
        <v>226</v>
      </c>
      <c r="K407" t="s">
        <v>110</v>
      </c>
      <c r="L407" t="s">
        <v>63</v>
      </c>
      <c r="M407">
        <v>110001</v>
      </c>
      <c r="N407" t="s">
        <v>818</v>
      </c>
      <c r="O407" t="s">
        <v>55</v>
      </c>
      <c r="P407" t="s">
        <v>98</v>
      </c>
      <c r="Q407" t="s">
        <v>99</v>
      </c>
      <c r="R407" s="8">
        <v>13792.95</v>
      </c>
      <c r="S407">
        <v>2</v>
      </c>
      <c r="T407">
        <v>0</v>
      </c>
      <c r="U407" s="8">
        <v>2580.8200000000002</v>
      </c>
      <c r="V407" t="s">
        <v>1561</v>
      </c>
      <c r="W407" t="s">
        <v>1561</v>
      </c>
    </row>
    <row r="408" spans="1:23">
      <c r="A408">
        <v>1407</v>
      </c>
      <c r="B408" t="s">
        <v>1350</v>
      </c>
      <c r="C408" s="7">
        <v>45479</v>
      </c>
      <c r="D408" s="7">
        <v>45484</v>
      </c>
      <c r="E408" t="s">
        <v>22</v>
      </c>
      <c r="F408" t="s">
        <v>277</v>
      </c>
      <c r="G408" t="s">
        <v>1570</v>
      </c>
      <c r="H408" t="s">
        <v>51</v>
      </c>
      <c r="I408" t="s">
        <v>26</v>
      </c>
      <c r="J408" t="s">
        <v>115</v>
      </c>
      <c r="K408" t="s">
        <v>116</v>
      </c>
      <c r="L408" t="s">
        <v>29</v>
      </c>
      <c r="M408">
        <v>682001</v>
      </c>
      <c r="N408" t="s">
        <v>1351</v>
      </c>
      <c r="O408" t="s">
        <v>138</v>
      </c>
      <c r="P408" t="s">
        <v>139</v>
      </c>
      <c r="Q408" t="s">
        <v>140</v>
      </c>
      <c r="R408" s="8">
        <v>669.71</v>
      </c>
      <c r="S408">
        <v>1</v>
      </c>
      <c r="T408">
        <v>0.25</v>
      </c>
      <c r="U408" s="8">
        <v>30.4</v>
      </c>
      <c r="V408" t="s">
        <v>1561</v>
      </c>
      <c r="W408" t="s">
        <v>1561</v>
      </c>
    </row>
    <row r="409" spans="1:23">
      <c r="A409">
        <v>1408</v>
      </c>
      <c r="B409" t="s">
        <v>804</v>
      </c>
      <c r="C409" s="7">
        <v>45601</v>
      </c>
      <c r="D409" s="7">
        <v>45602</v>
      </c>
      <c r="E409" t="s">
        <v>69</v>
      </c>
      <c r="F409" t="s">
        <v>560</v>
      </c>
      <c r="G409" t="s">
        <v>1571</v>
      </c>
      <c r="H409" t="s">
        <v>25</v>
      </c>
      <c r="I409" t="s">
        <v>26</v>
      </c>
      <c r="J409" t="s">
        <v>109</v>
      </c>
      <c r="K409" t="s">
        <v>110</v>
      </c>
      <c r="L409" t="s">
        <v>92</v>
      </c>
      <c r="M409">
        <v>673001</v>
      </c>
      <c r="N409" t="s">
        <v>805</v>
      </c>
      <c r="O409" t="s">
        <v>55</v>
      </c>
      <c r="P409" t="s">
        <v>56</v>
      </c>
      <c r="Q409" t="s">
        <v>57</v>
      </c>
      <c r="R409" s="8">
        <v>10676.57</v>
      </c>
      <c r="S409">
        <v>2</v>
      </c>
      <c r="T409">
        <v>0.3</v>
      </c>
      <c r="U409" s="8">
        <v>-377.2</v>
      </c>
      <c r="V409" t="s">
        <v>1561</v>
      </c>
      <c r="W409" t="s">
        <v>1561</v>
      </c>
    </row>
    <row r="410" spans="1:23">
      <c r="A410">
        <v>1409</v>
      </c>
      <c r="B410" t="s">
        <v>667</v>
      </c>
      <c r="C410" s="7">
        <v>45600</v>
      </c>
      <c r="D410" s="7">
        <v>45606</v>
      </c>
      <c r="E410" t="s">
        <v>22</v>
      </c>
      <c r="F410" t="s">
        <v>221</v>
      </c>
      <c r="G410" t="s">
        <v>1565</v>
      </c>
      <c r="H410" t="s">
        <v>51</v>
      </c>
      <c r="I410" t="s">
        <v>26</v>
      </c>
      <c r="J410" t="s">
        <v>90</v>
      </c>
      <c r="K410" t="s">
        <v>91</v>
      </c>
      <c r="L410" t="s">
        <v>29</v>
      </c>
      <c r="M410">
        <v>110001</v>
      </c>
      <c r="N410" t="s">
        <v>196</v>
      </c>
      <c r="O410" t="s">
        <v>55</v>
      </c>
      <c r="P410" t="s">
        <v>66</v>
      </c>
      <c r="Q410" t="s">
        <v>67</v>
      </c>
      <c r="R410" s="8">
        <v>6899.31</v>
      </c>
      <c r="S410">
        <v>1</v>
      </c>
      <c r="T410">
        <v>0.2</v>
      </c>
      <c r="U410" s="8">
        <v>196.53</v>
      </c>
      <c r="V410" t="s">
        <v>1561</v>
      </c>
      <c r="W410" t="s">
        <v>1561</v>
      </c>
    </row>
    <row r="411" spans="1:23">
      <c r="A411">
        <v>1410</v>
      </c>
      <c r="B411" t="s">
        <v>700</v>
      </c>
      <c r="C411" s="7">
        <v>45594</v>
      </c>
      <c r="D411" s="7">
        <v>45596</v>
      </c>
      <c r="E411" t="s">
        <v>101</v>
      </c>
      <c r="F411" t="s">
        <v>701</v>
      </c>
      <c r="G411" t="s">
        <v>1565</v>
      </c>
      <c r="H411" t="s">
        <v>51</v>
      </c>
      <c r="I411" t="s">
        <v>26</v>
      </c>
      <c r="J411" t="s">
        <v>160</v>
      </c>
      <c r="K411" t="s">
        <v>161</v>
      </c>
      <c r="L411" t="s">
        <v>41</v>
      </c>
      <c r="M411">
        <v>682001</v>
      </c>
      <c r="N411" t="s">
        <v>702</v>
      </c>
      <c r="O411" t="s">
        <v>44</v>
      </c>
      <c r="P411" t="s">
        <v>45</v>
      </c>
      <c r="Q411" t="s">
        <v>46</v>
      </c>
      <c r="R411" s="8">
        <v>90275.65</v>
      </c>
      <c r="S411">
        <v>3</v>
      </c>
      <c r="T411">
        <v>0.1</v>
      </c>
      <c r="U411" s="8">
        <v>3727.66</v>
      </c>
      <c r="V411" t="s">
        <v>1561</v>
      </c>
      <c r="W411" t="s">
        <v>1561</v>
      </c>
    </row>
    <row r="412" spans="1:23">
      <c r="A412">
        <v>1411</v>
      </c>
      <c r="B412" t="s">
        <v>1283</v>
      </c>
      <c r="C412" s="7">
        <v>45320</v>
      </c>
      <c r="D412" s="7">
        <v>45322</v>
      </c>
      <c r="E412" t="s">
        <v>48</v>
      </c>
      <c r="F412" t="s">
        <v>77</v>
      </c>
      <c r="G412" t="s">
        <v>1571</v>
      </c>
      <c r="H412" t="s">
        <v>51</v>
      </c>
      <c r="I412" t="s">
        <v>26</v>
      </c>
      <c r="J412" t="s">
        <v>79</v>
      </c>
      <c r="K412" t="s">
        <v>80</v>
      </c>
      <c r="L412" t="s">
        <v>29</v>
      </c>
      <c r="M412">
        <v>600001</v>
      </c>
      <c r="N412" t="s">
        <v>1284</v>
      </c>
      <c r="O412" t="s">
        <v>44</v>
      </c>
      <c r="P412" t="s">
        <v>211</v>
      </c>
      <c r="Q412" t="s">
        <v>212</v>
      </c>
      <c r="R412" s="8">
        <v>3585.72</v>
      </c>
      <c r="S412">
        <v>3</v>
      </c>
      <c r="T412">
        <v>0.05</v>
      </c>
      <c r="U412" s="8">
        <v>209.06</v>
      </c>
      <c r="V412" t="s">
        <v>1561</v>
      </c>
      <c r="W412" t="s">
        <v>1561</v>
      </c>
    </row>
    <row r="413" spans="1:23">
      <c r="A413">
        <v>1412</v>
      </c>
      <c r="B413" t="s">
        <v>557</v>
      </c>
      <c r="C413" s="7">
        <v>45335</v>
      </c>
      <c r="D413" s="7">
        <v>45337</v>
      </c>
      <c r="E413" t="s">
        <v>101</v>
      </c>
      <c r="F413" t="s">
        <v>96</v>
      </c>
      <c r="G413" t="s">
        <v>1562</v>
      </c>
      <c r="H413" t="s">
        <v>108</v>
      </c>
      <c r="I413" t="s">
        <v>26</v>
      </c>
      <c r="J413" t="s">
        <v>90</v>
      </c>
      <c r="K413" t="s">
        <v>91</v>
      </c>
      <c r="L413" t="s">
        <v>29</v>
      </c>
      <c r="M413">
        <v>682001</v>
      </c>
      <c r="N413" t="s">
        <v>558</v>
      </c>
      <c r="O413" t="s">
        <v>44</v>
      </c>
      <c r="P413" t="s">
        <v>207</v>
      </c>
      <c r="Q413" t="s">
        <v>208</v>
      </c>
      <c r="R413" s="8">
        <v>172090.02</v>
      </c>
      <c r="S413">
        <v>4</v>
      </c>
      <c r="T413">
        <v>0.15</v>
      </c>
      <c r="U413" s="8">
        <v>2041.6</v>
      </c>
      <c r="V413" t="s">
        <v>1561</v>
      </c>
      <c r="W413" t="s">
        <v>1561</v>
      </c>
    </row>
    <row r="414" spans="1:23">
      <c r="A414">
        <v>1413</v>
      </c>
      <c r="B414" t="s">
        <v>632</v>
      </c>
      <c r="C414" s="7">
        <v>45611</v>
      </c>
      <c r="D414" s="7">
        <v>45617</v>
      </c>
      <c r="E414" t="s">
        <v>48</v>
      </c>
      <c r="F414" t="s">
        <v>633</v>
      </c>
      <c r="G414" t="s">
        <v>1560</v>
      </c>
      <c r="H414" t="s">
        <v>25</v>
      </c>
      <c r="I414" t="s">
        <v>26</v>
      </c>
      <c r="J414" t="s">
        <v>61</v>
      </c>
      <c r="K414" t="s">
        <v>62</v>
      </c>
      <c r="L414" t="s">
        <v>63</v>
      </c>
      <c r="M414">
        <v>560001</v>
      </c>
      <c r="N414" t="s">
        <v>443</v>
      </c>
      <c r="O414" t="s">
        <v>55</v>
      </c>
      <c r="P414" t="s">
        <v>98</v>
      </c>
      <c r="Q414" t="s">
        <v>99</v>
      </c>
      <c r="R414" s="8">
        <v>30581.89</v>
      </c>
      <c r="S414">
        <v>5</v>
      </c>
      <c r="T414">
        <v>0.05</v>
      </c>
      <c r="U414" s="8">
        <v>4717.74</v>
      </c>
      <c r="V414" t="s">
        <v>1561</v>
      </c>
      <c r="W414" t="s">
        <v>1561</v>
      </c>
    </row>
    <row r="415" spans="1:23">
      <c r="A415">
        <v>1414</v>
      </c>
      <c r="B415" t="s">
        <v>1496</v>
      </c>
      <c r="C415" s="7">
        <v>45300</v>
      </c>
      <c r="D415" s="7">
        <v>45302</v>
      </c>
      <c r="E415" t="s">
        <v>101</v>
      </c>
      <c r="F415" t="s">
        <v>247</v>
      </c>
      <c r="G415" t="s">
        <v>1571</v>
      </c>
      <c r="H415" t="s">
        <v>51</v>
      </c>
      <c r="I415" t="s">
        <v>26</v>
      </c>
      <c r="J415" t="s">
        <v>79</v>
      </c>
      <c r="K415" t="s">
        <v>80</v>
      </c>
      <c r="L415" t="s">
        <v>41</v>
      </c>
      <c r="M415">
        <v>682001</v>
      </c>
      <c r="N415" t="s">
        <v>1497</v>
      </c>
      <c r="O415" t="s">
        <v>44</v>
      </c>
      <c r="P415" t="s">
        <v>45</v>
      </c>
      <c r="Q415" t="s">
        <v>46</v>
      </c>
      <c r="R415" s="8">
        <v>70229.91</v>
      </c>
      <c r="S415">
        <v>2</v>
      </c>
      <c r="T415">
        <v>0</v>
      </c>
      <c r="U415" s="8">
        <v>7134.12</v>
      </c>
      <c r="V415" t="s">
        <v>1561</v>
      </c>
      <c r="W415" t="s">
        <v>1561</v>
      </c>
    </row>
    <row r="416" spans="1:23">
      <c r="A416">
        <v>1415</v>
      </c>
      <c r="B416" t="s">
        <v>1207</v>
      </c>
      <c r="C416" s="7">
        <v>45339</v>
      </c>
      <c r="D416" s="7">
        <v>45343</v>
      </c>
      <c r="E416" t="s">
        <v>69</v>
      </c>
      <c r="F416" t="s">
        <v>315</v>
      </c>
      <c r="G416" t="s">
        <v>1577</v>
      </c>
      <c r="H416" t="s">
        <v>51</v>
      </c>
      <c r="I416" t="s">
        <v>26</v>
      </c>
      <c r="J416" t="s">
        <v>79</v>
      </c>
      <c r="K416" t="s">
        <v>80</v>
      </c>
      <c r="L416" t="s">
        <v>41</v>
      </c>
      <c r="M416">
        <v>110001</v>
      </c>
      <c r="N416" t="s">
        <v>1208</v>
      </c>
      <c r="O416" t="s">
        <v>138</v>
      </c>
      <c r="P416" t="s">
        <v>139</v>
      </c>
      <c r="Q416" t="s">
        <v>140</v>
      </c>
      <c r="R416" s="8">
        <v>4930.5</v>
      </c>
      <c r="S416">
        <v>5</v>
      </c>
      <c r="T416">
        <v>0</v>
      </c>
      <c r="U416" s="8">
        <v>962.54</v>
      </c>
      <c r="V416" t="s">
        <v>1561</v>
      </c>
      <c r="W416" t="s">
        <v>1561</v>
      </c>
    </row>
    <row r="417" spans="1:23">
      <c r="A417">
        <v>1416</v>
      </c>
      <c r="B417" t="s">
        <v>1245</v>
      </c>
      <c r="C417" s="7">
        <v>45649</v>
      </c>
      <c r="D417" s="7">
        <v>45654</v>
      </c>
      <c r="E417" t="s">
        <v>101</v>
      </c>
      <c r="F417" t="s">
        <v>926</v>
      </c>
      <c r="G417" t="s">
        <v>1575</v>
      </c>
      <c r="H417" t="s">
        <v>51</v>
      </c>
      <c r="I417" t="s">
        <v>26</v>
      </c>
      <c r="J417" t="s">
        <v>90</v>
      </c>
      <c r="K417" t="s">
        <v>91</v>
      </c>
      <c r="L417" t="s">
        <v>29</v>
      </c>
      <c r="M417">
        <v>110001</v>
      </c>
      <c r="N417" t="s">
        <v>635</v>
      </c>
      <c r="O417" t="s">
        <v>55</v>
      </c>
      <c r="P417" t="s">
        <v>98</v>
      </c>
      <c r="Q417" t="s">
        <v>99</v>
      </c>
      <c r="R417" s="8">
        <v>12235.99</v>
      </c>
      <c r="S417">
        <v>2</v>
      </c>
      <c r="T417">
        <v>0.15</v>
      </c>
      <c r="U417" s="8">
        <v>1911.2</v>
      </c>
      <c r="V417" t="s">
        <v>1561</v>
      </c>
      <c r="W417" t="s">
        <v>1561</v>
      </c>
    </row>
    <row r="418" spans="1:23">
      <c r="A418">
        <v>1417</v>
      </c>
      <c r="B418" t="s">
        <v>953</v>
      </c>
      <c r="C418" s="7">
        <v>45509</v>
      </c>
      <c r="D418" s="7">
        <v>45511</v>
      </c>
      <c r="E418" t="s">
        <v>48</v>
      </c>
      <c r="F418" t="s">
        <v>434</v>
      </c>
      <c r="G418" t="s">
        <v>1575</v>
      </c>
      <c r="H418" t="s">
        <v>25</v>
      </c>
      <c r="I418" t="s">
        <v>26</v>
      </c>
      <c r="J418" t="s">
        <v>109</v>
      </c>
      <c r="K418" t="s">
        <v>110</v>
      </c>
      <c r="L418" t="s">
        <v>92</v>
      </c>
      <c r="M418">
        <v>110001</v>
      </c>
      <c r="N418" t="s">
        <v>275</v>
      </c>
      <c r="O418" t="s">
        <v>55</v>
      </c>
      <c r="P418" t="s">
        <v>56</v>
      </c>
      <c r="Q418" t="s">
        <v>57</v>
      </c>
      <c r="R418" s="8">
        <v>27145.07</v>
      </c>
      <c r="S418">
        <v>4</v>
      </c>
      <c r="T418">
        <v>0</v>
      </c>
      <c r="U418" s="8">
        <v>3640.45</v>
      </c>
      <c r="V418" t="s">
        <v>1561</v>
      </c>
      <c r="W418" t="s">
        <v>1561</v>
      </c>
    </row>
    <row r="419" spans="1:23">
      <c r="A419">
        <v>1418</v>
      </c>
      <c r="B419" t="s">
        <v>956</v>
      </c>
      <c r="C419" s="7">
        <v>45294</v>
      </c>
      <c r="D419" s="7">
        <v>45300</v>
      </c>
      <c r="E419" t="s">
        <v>22</v>
      </c>
      <c r="F419" t="s">
        <v>649</v>
      </c>
      <c r="G419" t="s">
        <v>1568</v>
      </c>
      <c r="H419" t="s">
        <v>108</v>
      </c>
      <c r="I419" t="s">
        <v>26</v>
      </c>
      <c r="J419" t="s">
        <v>115</v>
      </c>
      <c r="K419" t="s">
        <v>116</v>
      </c>
      <c r="L419" t="s">
        <v>41</v>
      </c>
      <c r="M419">
        <v>600001</v>
      </c>
      <c r="N419" t="s">
        <v>831</v>
      </c>
      <c r="O419" t="s">
        <v>138</v>
      </c>
      <c r="P419" t="s">
        <v>139</v>
      </c>
      <c r="Q419" t="s">
        <v>140</v>
      </c>
      <c r="R419" s="8">
        <v>1709.55</v>
      </c>
      <c r="S419">
        <v>2</v>
      </c>
      <c r="T419">
        <v>0.1</v>
      </c>
      <c r="U419" s="8">
        <v>221.43</v>
      </c>
      <c r="V419" t="s">
        <v>1561</v>
      </c>
      <c r="W419" t="s">
        <v>1561</v>
      </c>
    </row>
    <row r="420" spans="1:23">
      <c r="A420">
        <v>1419</v>
      </c>
      <c r="B420" t="s">
        <v>1373</v>
      </c>
      <c r="C420" s="7">
        <v>45477</v>
      </c>
      <c r="D420" s="7">
        <v>45478</v>
      </c>
      <c r="E420" t="s">
        <v>69</v>
      </c>
      <c r="F420" t="s">
        <v>791</v>
      </c>
      <c r="G420" t="s">
        <v>1566</v>
      </c>
      <c r="H420" t="s">
        <v>51</v>
      </c>
      <c r="I420" t="s">
        <v>26</v>
      </c>
      <c r="J420" t="s">
        <v>109</v>
      </c>
      <c r="K420" t="s">
        <v>110</v>
      </c>
      <c r="L420" t="s">
        <v>63</v>
      </c>
      <c r="M420">
        <v>695001</v>
      </c>
      <c r="N420" t="s">
        <v>1341</v>
      </c>
      <c r="O420" t="s">
        <v>138</v>
      </c>
      <c r="P420" t="s">
        <v>156</v>
      </c>
      <c r="Q420" t="s">
        <v>157</v>
      </c>
      <c r="R420" s="8">
        <v>1519.58</v>
      </c>
      <c r="S420">
        <v>5</v>
      </c>
      <c r="T420">
        <v>0.25</v>
      </c>
      <c r="U420" s="8">
        <v>53.06</v>
      </c>
      <c r="V420" t="s">
        <v>1561</v>
      </c>
      <c r="W420" t="s">
        <v>1561</v>
      </c>
    </row>
    <row r="421" spans="1:23">
      <c r="A421">
        <v>1420</v>
      </c>
      <c r="B421" t="s">
        <v>1173</v>
      </c>
      <c r="C421" s="7">
        <v>45396</v>
      </c>
      <c r="D421" s="7">
        <v>45400</v>
      </c>
      <c r="E421" t="s">
        <v>101</v>
      </c>
      <c r="F421" t="s">
        <v>370</v>
      </c>
      <c r="G421" t="s">
        <v>1563</v>
      </c>
      <c r="H421" t="s">
        <v>25</v>
      </c>
      <c r="I421" t="s">
        <v>26</v>
      </c>
      <c r="J421" t="s">
        <v>52</v>
      </c>
      <c r="K421" t="s">
        <v>52</v>
      </c>
      <c r="L421" t="s">
        <v>29</v>
      </c>
      <c r="M421">
        <v>695001</v>
      </c>
      <c r="N421" t="s">
        <v>1174</v>
      </c>
      <c r="O421" t="s">
        <v>55</v>
      </c>
      <c r="P421" t="s">
        <v>98</v>
      </c>
      <c r="Q421" t="s">
        <v>99</v>
      </c>
      <c r="R421" s="8">
        <v>14585.68</v>
      </c>
      <c r="S421">
        <v>3</v>
      </c>
      <c r="T421">
        <v>0.25</v>
      </c>
      <c r="U421" s="8">
        <v>-38.880000000000003</v>
      </c>
      <c r="V421" t="s">
        <v>1561</v>
      </c>
      <c r="W421" t="s">
        <v>1561</v>
      </c>
    </row>
    <row r="422" spans="1:23">
      <c r="A422">
        <v>1421</v>
      </c>
      <c r="B422" t="s">
        <v>401</v>
      </c>
      <c r="C422" s="7">
        <v>45629</v>
      </c>
      <c r="D422" s="7">
        <v>45630</v>
      </c>
      <c r="E422" t="s">
        <v>69</v>
      </c>
      <c r="F422" t="s">
        <v>260</v>
      </c>
      <c r="G422" t="s">
        <v>1575</v>
      </c>
      <c r="H422" t="s">
        <v>25</v>
      </c>
      <c r="I422" t="s">
        <v>26</v>
      </c>
      <c r="J422" t="s">
        <v>79</v>
      </c>
      <c r="K422" t="s">
        <v>80</v>
      </c>
      <c r="L422" t="s">
        <v>92</v>
      </c>
      <c r="M422">
        <v>673001</v>
      </c>
      <c r="N422" t="s">
        <v>402</v>
      </c>
      <c r="O422" t="s">
        <v>55</v>
      </c>
      <c r="P422" t="s">
        <v>56</v>
      </c>
      <c r="Q422" t="s">
        <v>57</v>
      </c>
      <c r="R422" s="8">
        <v>12614.26</v>
      </c>
      <c r="S422">
        <v>2</v>
      </c>
      <c r="T422">
        <v>0.05</v>
      </c>
      <c r="U422" s="8">
        <v>1739.83</v>
      </c>
      <c r="V422" t="s">
        <v>1561</v>
      </c>
      <c r="W422" t="s">
        <v>1561</v>
      </c>
    </row>
    <row r="423" spans="1:23">
      <c r="A423">
        <v>1422</v>
      </c>
      <c r="B423" t="s">
        <v>1171</v>
      </c>
      <c r="C423" s="7">
        <v>45374</v>
      </c>
      <c r="D423" s="7">
        <v>45378</v>
      </c>
      <c r="E423" t="s">
        <v>22</v>
      </c>
      <c r="F423" t="s">
        <v>398</v>
      </c>
      <c r="G423" t="s">
        <v>1573</v>
      </c>
      <c r="H423" t="s">
        <v>25</v>
      </c>
      <c r="I423" t="s">
        <v>26</v>
      </c>
      <c r="J423" t="s">
        <v>52</v>
      </c>
      <c r="K423" t="s">
        <v>52</v>
      </c>
      <c r="L423" t="s">
        <v>92</v>
      </c>
      <c r="M423">
        <v>560001</v>
      </c>
      <c r="N423" t="s">
        <v>1172</v>
      </c>
      <c r="O423" t="s">
        <v>55</v>
      </c>
      <c r="P423" t="s">
        <v>98</v>
      </c>
      <c r="Q423" t="s">
        <v>99</v>
      </c>
      <c r="R423" s="8">
        <v>30351.54</v>
      </c>
      <c r="S423">
        <v>5</v>
      </c>
      <c r="T423">
        <v>0</v>
      </c>
      <c r="U423" s="8">
        <v>5975.78</v>
      </c>
      <c r="V423" t="s">
        <v>1561</v>
      </c>
      <c r="W423" t="s">
        <v>1561</v>
      </c>
    </row>
    <row r="424" spans="1:23">
      <c r="A424">
        <v>1423</v>
      </c>
      <c r="B424" t="s">
        <v>241</v>
      </c>
      <c r="C424" s="7">
        <v>45603</v>
      </c>
      <c r="D424" s="7">
        <v>45604</v>
      </c>
      <c r="E424" t="s">
        <v>101</v>
      </c>
      <c r="F424" t="s">
        <v>242</v>
      </c>
      <c r="G424" t="s">
        <v>1564</v>
      </c>
      <c r="H424" t="s">
        <v>51</v>
      </c>
      <c r="I424" t="s">
        <v>26</v>
      </c>
      <c r="J424" t="s">
        <v>109</v>
      </c>
      <c r="K424" t="s">
        <v>110</v>
      </c>
      <c r="L424" t="s">
        <v>63</v>
      </c>
      <c r="M424">
        <v>400001</v>
      </c>
      <c r="N424" t="s">
        <v>243</v>
      </c>
      <c r="O424" t="s">
        <v>44</v>
      </c>
      <c r="P424" t="s">
        <v>45</v>
      </c>
      <c r="Q424" t="s">
        <v>46</v>
      </c>
      <c r="R424" s="8">
        <v>33976.300000000003</v>
      </c>
      <c r="S424">
        <v>1</v>
      </c>
      <c r="T424">
        <v>0</v>
      </c>
      <c r="U424" s="8">
        <v>3577.85</v>
      </c>
      <c r="V424" t="s">
        <v>1561</v>
      </c>
      <c r="W424" t="s">
        <v>1561</v>
      </c>
    </row>
    <row r="425" spans="1:23">
      <c r="A425">
        <v>1424</v>
      </c>
      <c r="B425" t="s">
        <v>935</v>
      </c>
      <c r="C425" s="7">
        <v>45297</v>
      </c>
      <c r="D425" s="7">
        <v>45299</v>
      </c>
      <c r="E425" t="s">
        <v>48</v>
      </c>
      <c r="F425" t="s">
        <v>355</v>
      </c>
      <c r="G425" t="s">
        <v>1569</v>
      </c>
      <c r="H425" t="s">
        <v>25</v>
      </c>
      <c r="I425" t="s">
        <v>26</v>
      </c>
      <c r="J425" t="s">
        <v>346</v>
      </c>
      <c r="K425" t="s">
        <v>132</v>
      </c>
      <c r="L425" t="s">
        <v>92</v>
      </c>
      <c r="M425">
        <v>600001</v>
      </c>
      <c r="N425" t="s">
        <v>936</v>
      </c>
      <c r="O425" t="s">
        <v>83</v>
      </c>
      <c r="P425" t="s">
        <v>84</v>
      </c>
      <c r="Q425" t="s">
        <v>85</v>
      </c>
      <c r="R425" s="8">
        <v>6274.17</v>
      </c>
      <c r="S425">
        <v>3</v>
      </c>
      <c r="T425">
        <v>0.3</v>
      </c>
      <c r="U425" s="8">
        <v>430.81</v>
      </c>
      <c r="V425" t="s">
        <v>1561</v>
      </c>
      <c r="W425" t="s">
        <v>1561</v>
      </c>
    </row>
    <row r="426" spans="1:23">
      <c r="A426">
        <v>1425</v>
      </c>
      <c r="B426" t="s">
        <v>920</v>
      </c>
      <c r="C426" s="7">
        <v>45336</v>
      </c>
      <c r="D426" s="7">
        <v>45339</v>
      </c>
      <c r="E426" t="s">
        <v>101</v>
      </c>
      <c r="F426" t="s">
        <v>551</v>
      </c>
      <c r="G426" t="s">
        <v>1566</v>
      </c>
      <c r="H426" t="s">
        <v>51</v>
      </c>
      <c r="I426" t="s">
        <v>26</v>
      </c>
      <c r="J426" t="s">
        <v>90</v>
      </c>
      <c r="K426" t="s">
        <v>91</v>
      </c>
      <c r="L426" t="s">
        <v>29</v>
      </c>
      <c r="M426">
        <v>560001</v>
      </c>
      <c r="N426" t="s">
        <v>921</v>
      </c>
      <c r="O426" t="s">
        <v>44</v>
      </c>
      <c r="P426" t="s">
        <v>207</v>
      </c>
      <c r="Q426" t="s">
        <v>208</v>
      </c>
      <c r="R426" s="8">
        <v>197669.4</v>
      </c>
      <c r="S426">
        <v>4</v>
      </c>
      <c r="T426">
        <v>0.05</v>
      </c>
      <c r="U426" s="8">
        <v>16050</v>
      </c>
      <c r="V426" t="s">
        <v>1561</v>
      </c>
      <c r="W426" t="s">
        <v>1561</v>
      </c>
    </row>
    <row r="427" spans="1:23">
      <c r="A427">
        <v>1426</v>
      </c>
      <c r="B427" t="s">
        <v>798</v>
      </c>
      <c r="C427" s="7">
        <v>45573</v>
      </c>
      <c r="D427" s="7">
        <v>45576</v>
      </c>
      <c r="E427" t="s">
        <v>48</v>
      </c>
      <c r="F427" t="s">
        <v>378</v>
      </c>
      <c r="G427" t="s">
        <v>1572</v>
      </c>
      <c r="H427" t="s">
        <v>51</v>
      </c>
      <c r="I427" t="s">
        <v>26</v>
      </c>
      <c r="J427" t="s">
        <v>72</v>
      </c>
      <c r="K427" t="s">
        <v>73</v>
      </c>
      <c r="L427" t="s">
        <v>63</v>
      </c>
      <c r="M427">
        <v>682001</v>
      </c>
      <c r="N427" t="s">
        <v>222</v>
      </c>
      <c r="O427" t="s">
        <v>138</v>
      </c>
      <c r="P427" t="s">
        <v>121</v>
      </c>
      <c r="Q427" t="s">
        <v>122</v>
      </c>
      <c r="R427" s="8">
        <v>2419.9</v>
      </c>
      <c r="S427">
        <v>4</v>
      </c>
      <c r="T427">
        <v>0</v>
      </c>
      <c r="U427" s="8">
        <v>544.47</v>
      </c>
      <c r="V427" t="s">
        <v>1561</v>
      </c>
      <c r="W427" t="s">
        <v>1561</v>
      </c>
    </row>
    <row r="428" spans="1:23">
      <c r="A428">
        <v>1427</v>
      </c>
      <c r="B428" t="s">
        <v>703</v>
      </c>
      <c r="C428" s="7">
        <v>45381</v>
      </c>
      <c r="D428" s="7">
        <v>45385</v>
      </c>
      <c r="E428" t="s">
        <v>22</v>
      </c>
      <c r="F428" t="s">
        <v>142</v>
      </c>
      <c r="G428" t="s">
        <v>1573</v>
      </c>
      <c r="H428" t="s">
        <v>108</v>
      </c>
      <c r="I428" t="s">
        <v>26</v>
      </c>
      <c r="J428" t="s">
        <v>72</v>
      </c>
      <c r="K428" t="s">
        <v>73</v>
      </c>
      <c r="L428" t="s">
        <v>63</v>
      </c>
      <c r="M428">
        <v>695001</v>
      </c>
      <c r="N428" t="s">
        <v>704</v>
      </c>
      <c r="O428" t="s">
        <v>138</v>
      </c>
      <c r="P428" t="s">
        <v>182</v>
      </c>
      <c r="Q428" t="s">
        <v>183</v>
      </c>
      <c r="R428" s="8">
        <v>1094.24</v>
      </c>
      <c r="S428">
        <v>3</v>
      </c>
      <c r="T428">
        <v>0.15</v>
      </c>
      <c r="U428" s="8">
        <v>134.47999999999999</v>
      </c>
      <c r="V428" t="s">
        <v>1561</v>
      </c>
      <c r="W428" t="s">
        <v>1561</v>
      </c>
    </row>
    <row r="429" spans="1:23">
      <c r="A429">
        <v>1428</v>
      </c>
      <c r="B429" t="s">
        <v>1436</v>
      </c>
      <c r="C429" s="7">
        <v>45647</v>
      </c>
      <c r="D429" s="7">
        <v>45651</v>
      </c>
      <c r="E429" t="s">
        <v>101</v>
      </c>
      <c r="F429" t="s">
        <v>931</v>
      </c>
      <c r="G429" t="s">
        <v>1562</v>
      </c>
      <c r="H429" t="s">
        <v>108</v>
      </c>
      <c r="I429" t="s">
        <v>26</v>
      </c>
      <c r="J429" t="s">
        <v>27</v>
      </c>
      <c r="K429" t="s">
        <v>28</v>
      </c>
      <c r="L429" t="s">
        <v>92</v>
      </c>
      <c r="M429">
        <v>110001</v>
      </c>
      <c r="N429" t="s">
        <v>1437</v>
      </c>
      <c r="O429" t="s">
        <v>138</v>
      </c>
      <c r="P429" t="s">
        <v>121</v>
      </c>
      <c r="Q429" t="s">
        <v>122</v>
      </c>
      <c r="R429" s="8">
        <v>3158.61</v>
      </c>
      <c r="S429">
        <v>6</v>
      </c>
      <c r="T429">
        <v>0.15</v>
      </c>
      <c r="U429" s="8">
        <v>273.69</v>
      </c>
      <c r="V429" t="s">
        <v>1561</v>
      </c>
      <c r="W429" t="s">
        <v>1561</v>
      </c>
    </row>
    <row r="430" spans="1:23">
      <c r="A430">
        <v>1429</v>
      </c>
      <c r="B430" t="s">
        <v>623</v>
      </c>
      <c r="C430" s="7">
        <v>45538</v>
      </c>
      <c r="D430" s="7">
        <v>45539</v>
      </c>
      <c r="E430" t="s">
        <v>48</v>
      </c>
      <c r="F430" t="s">
        <v>164</v>
      </c>
      <c r="G430" t="s">
        <v>1564</v>
      </c>
      <c r="H430" t="s">
        <v>25</v>
      </c>
      <c r="I430" t="s">
        <v>26</v>
      </c>
      <c r="J430" t="s">
        <v>27</v>
      </c>
      <c r="K430" t="s">
        <v>28</v>
      </c>
      <c r="L430" t="s">
        <v>92</v>
      </c>
      <c r="M430">
        <v>400001</v>
      </c>
      <c r="N430" t="s">
        <v>624</v>
      </c>
      <c r="O430" t="s">
        <v>138</v>
      </c>
      <c r="P430" t="s">
        <v>182</v>
      </c>
      <c r="Q430" t="s">
        <v>183</v>
      </c>
      <c r="R430" s="8">
        <v>2499.79</v>
      </c>
      <c r="S430">
        <v>6</v>
      </c>
      <c r="T430">
        <v>0</v>
      </c>
      <c r="U430" s="8">
        <v>492.98</v>
      </c>
      <c r="V430" t="s">
        <v>1561</v>
      </c>
      <c r="W430" t="s">
        <v>1561</v>
      </c>
    </row>
    <row r="431" spans="1:23">
      <c r="A431">
        <v>1430</v>
      </c>
      <c r="B431" t="s">
        <v>1013</v>
      </c>
      <c r="C431" s="7">
        <v>45650</v>
      </c>
      <c r="D431" s="7">
        <v>45653</v>
      </c>
      <c r="E431" t="s">
        <v>69</v>
      </c>
      <c r="F431" t="s">
        <v>1014</v>
      </c>
      <c r="G431" t="s">
        <v>1573</v>
      </c>
      <c r="H431" t="s">
        <v>51</v>
      </c>
      <c r="I431" t="s">
        <v>26</v>
      </c>
      <c r="J431" t="s">
        <v>72</v>
      </c>
      <c r="K431" t="s">
        <v>73</v>
      </c>
      <c r="L431" t="s">
        <v>29</v>
      </c>
      <c r="M431">
        <v>400001</v>
      </c>
      <c r="N431" t="s">
        <v>1015</v>
      </c>
      <c r="O431" t="s">
        <v>83</v>
      </c>
      <c r="P431" t="s">
        <v>84</v>
      </c>
      <c r="Q431" t="s">
        <v>85</v>
      </c>
      <c r="R431" s="8">
        <v>22632.39</v>
      </c>
      <c r="S431">
        <v>7</v>
      </c>
      <c r="T431">
        <v>0</v>
      </c>
      <c r="U431" s="8">
        <v>4429.47</v>
      </c>
      <c r="V431" t="s">
        <v>1561</v>
      </c>
      <c r="W431" t="s">
        <v>1561</v>
      </c>
    </row>
    <row r="432" spans="1:23">
      <c r="A432">
        <v>1431</v>
      </c>
      <c r="B432" t="s">
        <v>176</v>
      </c>
      <c r="C432" s="7">
        <v>45452</v>
      </c>
      <c r="D432" s="7">
        <v>45455</v>
      </c>
      <c r="E432" t="s">
        <v>69</v>
      </c>
      <c r="F432" t="s">
        <v>177</v>
      </c>
      <c r="G432" t="s">
        <v>1574</v>
      </c>
      <c r="H432" t="s">
        <v>51</v>
      </c>
      <c r="I432" t="s">
        <v>26</v>
      </c>
      <c r="J432" t="s">
        <v>61</v>
      </c>
      <c r="K432" t="s">
        <v>62</v>
      </c>
      <c r="L432" t="s">
        <v>63</v>
      </c>
      <c r="M432">
        <v>682001</v>
      </c>
      <c r="N432" t="s">
        <v>178</v>
      </c>
      <c r="O432" t="s">
        <v>55</v>
      </c>
      <c r="P432" t="s">
        <v>56</v>
      </c>
      <c r="Q432" t="s">
        <v>57</v>
      </c>
      <c r="R432" s="8">
        <v>36835.300000000003</v>
      </c>
      <c r="S432">
        <v>7</v>
      </c>
      <c r="T432">
        <v>0.3</v>
      </c>
      <c r="U432" s="8">
        <v>-1259.1199999999999</v>
      </c>
      <c r="V432" t="s">
        <v>1561</v>
      </c>
      <c r="W432" t="s">
        <v>1561</v>
      </c>
    </row>
    <row r="433" spans="1:23">
      <c r="A433">
        <v>1432</v>
      </c>
      <c r="B433" t="s">
        <v>300</v>
      </c>
      <c r="C433" s="7">
        <v>45412</v>
      </c>
      <c r="D433" s="7">
        <v>45418</v>
      </c>
      <c r="E433" t="s">
        <v>69</v>
      </c>
      <c r="F433" t="s">
        <v>301</v>
      </c>
      <c r="G433" t="s">
        <v>1570</v>
      </c>
      <c r="H433" t="s">
        <v>108</v>
      </c>
      <c r="I433" t="s">
        <v>26</v>
      </c>
      <c r="J433" t="s">
        <v>90</v>
      </c>
      <c r="K433" t="s">
        <v>91</v>
      </c>
      <c r="L433" t="s">
        <v>92</v>
      </c>
      <c r="M433">
        <v>682001</v>
      </c>
      <c r="N433" t="s">
        <v>303</v>
      </c>
      <c r="O433" t="s">
        <v>188</v>
      </c>
      <c r="P433" t="s">
        <v>189</v>
      </c>
      <c r="Q433" t="s">
        <v>190</v>
      </c>
      <c r="R433" s="8">
        <v>15721.11</v>
      </c>
      <c r="S433">
        <v>3</v>
      </c>
      <c r="T433">
        <v>0.1</v>
      </c>
      <c r="U433" s="8">
        <v>991.61</v>
      </c>
      <c r="V433" t="s">
        <v>1561</v>
      </c>
      <c r="W433" t="s">
        <v>1561</v>
      </c>
    </row>
    <row r="434" spans="1:23">
      <c r="A434">
        <v>1433</v>
      </c>
      <c r="B434" t="s">
        <v>682</v>
      </c>
      <c r="C434" s="7">
        <v>45353</v>
      </c>
      <c r="D434" s="7">
        <v>45354</v>
      </c>
      <c r="E434" t="s">
        <v>101</v>
      </c>
      <c r="F434" t="s">
        <v>113</v>
      </c>
      <c r="G434" t="s">
        <v>1569</v>
      </c>
      <c r="H434" t="s">
        <v>25</v>
      </c>
      <c r="I434" t="s">
        <v>26</v>
      </c>
      <c r="J434" t="s">
        <v>61</v>
      </c>
      <c r="K434" t="s">
        <v>62</v>
      </c>
      <c r="L434" t="s">
        <v>41</v>
      </c>
      <c r="M434">
        <v>110001</v>
      </c>
      <c r="N434" t="s">
        <v>683</v>
      </c>
      <c r="O434" t="s">
        <v>44</v>
      </c>
      <c r="P434" t="s">
        <v>211</v>
      </c>
      <c r="Q434" t="s">
        <v>223</v>
      </c>
      <c r="R434" s="8">
        <v>3542.84</v>
      </c>
      <c r="S434">
        <v>2</v>
      </c>
      <c r="T434">
        <v>0</v>
      </c>
      <c r="U434" s="8">
        <v>401.33</v>
      </c>
      <c r="V434" t="s">
        <v>1561</v>
      </c>
      <c r="W434" t="s">
        <v>1561</v>
      </c>
    </row>
    <row r="435" spans="1:23">
      <c r="A435">
        <v>1434</v>
      </c>
      <c r="B435" t="s">
        <v>748</v>
      </c>
      <c r="C435" s="7">
        <v>45543</v>
      </c>
      <c r="D435" s="7">
        <v>45545</v>
      </c>
      <c r="E435" t="s">
        <v>48</v>
      </c>
      <c r="F435" t="s">
        <v>238</v>
      </c>
      <c r="G435" t="s">
        <v>1565</v>
      </c>
      <c r="H435" t="s">
        <v>51</v>
      </c>
      <c r="I435" t="s">
        <v>26</v>
      </c>
      <c r="J435" t="s">
        <v>226</v>
      </c>
      <c r="K435" t="s">
        <v>110</v>
      </c>
      <c r="L435" t="s">
        <v>92</v>
      </c>
      <c r="M435">
        <v>673001</v>
      </c>
      <c r="N435" t="s">
        <v>749</v>
      </c>
      <c r="O435" t="s">
        <v>138</v>
      </c>
      <c r="P435" t="s">
        <v>139</v>
      </c>
      <c r="Q435" t="s">
        <v>140</v>
      </c>
      <c r="R435" s="8">
        <v>4577.74</v>
      </c>
      <c r="S435">
        <v>6</v>
      </c>
      <c r="T435">
        <v>0.15</v>
      </c>
      <c r="U435" s="8">
        <v>394.6</v>
      </c>
      <c r="V435" t="s">
        <v>1561</v>
      </c>
      <c r="W435" t="s">
        <v>1561</v>
      </c>
    </row>
    <row r="436" spans="1:23">
      <c r="A436">
        <v>1435</v>
      </c>
      <c r="B436" t="s">
        <v>191</v>
      </c>
      <c r="C436" s="7">
        <v>45493</v>
      </c>
      <c r="D436" s="7">
        <v>45499</v>
      </c>
      <c r="E436" t="s">
        <v>69</v>
      </c>
      <c r="F436" t="s">
        <v>192</v>
      </c>
      <c r="G436" t="s">
        <v>1573</v>
      </c>
      <c r="H436" t="s">
        <v>51</v>
      </c>
      <c r="I436" t="s">
        <v>26</v>
      </c>
      <c r="J436" t="s">
        <v>27</v>
      </c>
      <c r="K436" t="s">
        <v>28</v>
      </c>
      <c r="L436" t="s">
        <v>29</v>
      </c>
      <c r="M436">
        <v>695001</v>
      </c>
      <c r="N436" t="s">
        <v>193</v>
      </c>
      <c r="O436" t="s">
        <v>55</v>
      </c>
      <c r="P436" t="s">
        <v>98</v>
      </c>
      <c r="Q436" t="s">
        <v>99</v>
      </c>
      <c r="R436" s="8">
        <v>16249.12</v>
      </c>
      <c r="S436">
        <v>3</v>
      </c>
      <c r="T436">
        <v>0.2</v>
      </c>
      <c r="U436" s="8">
        <v>596.21</v>
      </c>
      <c r="V436" t="s">
        <v>1561</v>
      </c>
      <c r="W436" t="s">
        <v>1561</v>
      </c>
    </row>
    <row r="437" spans="1:23">
      <c r="A437">
        <v>1436</v>
      </c>
      <c r="B437" t="s">
        <v>1524</v>
      </c>
      <c r="C437" s="7">
        <v>45458</v>
      </c>
      <c r="D437" s="7">
        <v>45461</v>
      </c>
      <c r="E437" t="s">
        <v>48</v>
      </c>
      <c r="F437" t="s">
        <v>437</v>
      </c>
      <c r="G437" t="s">
        <v>1568</v>
      </c>
      <c r="H437" t="s">
        <v>25</v>
      </c>
      <c r="I437" t="s">
        <v>26</v>
      </c>
      <c r="J437" t="s">
        <v>346</v>
      </c>
      <c r="K437" t="s">
        <v>132</v>
      </c>
      <c r="L437" t="s">
        <v>63</v>
      </c>
      <c r="M437">
        <v>682001</v>
      </c>
      <c r="N437" t="s">
        <v>1525</v>
      </c>
      <c r="O437" t="s">
        <v>44</v>
      </c>
      <c r="P437" t="s">
        <v>207</v>
      </c>
      <c r="Q437" t="s">
        <v>208</v>
      </c>
      <c r="R437" s="8">
        <v>101891.87</v>
      </c>
      <c r="S437">
        <v>2</v>
      </c>
      <c r="T437">
        <v>0</v>
      </c>
      <c r="U437" s="8">
        <v>9923.35</v>
      </c>
      <c r="V437" t="s">
        <v>1561</v>
      </c>
      <c r="W437" t="s">
        <v>1561</v>
      </c>
    </row>
    <row r="438" spans="1:23">
      <c r="A438">
        <v>1437</v>
      </c>
      <c r="B438" t="s">
        <v>439</v>
      </c>
      <c r="C438" s="7">
        <v>45399</v>
      </c>
      <c r="D438" s="7">
        <v>45403</v>
      </c>
      <c r="E438" t="s">
        <v>48</v>
      </c>
      <c r="F438" t="s">
        <v>203</v>
      </c>
      <c r="G438" t="s">
        <v>1572</v>
      </c>
      <c r="H438" t="s">
        <v>51</v>
      </c>
      <c r="I438" t="s">
        <v>26</v>
      </c>
      <c r="J438" t="s">
        <v>39</v>
      </c>
      <c r="K438" t="s">
        <v>40</v>
      </c>
      <c r="L438" t="s">
        <v>29</v>
      </c>
      <c r="M438">
        <v>695001</v>
      </c>
      <c r="N438" t="s">
        <v>440</v>
      </c>
      <c r="O438" t="s">
        <v>138</v>
      </c>
      <c r="P438" t="s">
        <v>139</v>
      </c>
      <c r="Q438" t="s">
        <v>140</v>
      </c>
      <c r="R438" s="8">
        <v>728.92</v>
      </c>
      <c r="S438">
        <v>1</v>
      </c>
      <c r="T438">
        <v>0.25</v>
      </c>
      <c r="U438" s="8">
        <v>26.09</v>
      </c>
      <c r="V438" t="s">
        <v>1561</v>
      </c>
      <c r="W438" t="s">
        <v>1561</v>
      </c>
    </row>
    <row r="439" spans="1:23">
      <c r="A439">
        <v>1438</v>
      </c>
      <c r="B439" t="s">
        <v>1093</v>
      </c>
      <c r="C439" s="7">
        <v>45343</v>
      </c>
      <c r="D439" s="7">
        <v>45349</v>
      </c>
      <c r="E439" t="s">
        <v>48</v>
      </c>
      <c r="F439" t="s">
        <v>398</v>
      </c>
      <c r="G439" t="s">
        <v>1565</v>
      </c>
      <c r="H439" t="s">
        <v>51</v>
      </c>
      <c r="I439" t="s">
        <v>26</v>
      </c>
      <c r="J439" t="s">
        <v>166</v>
      </c>
      <c r="K439" t="s">
        <v>132</v>
      </c>
      <c r="L439" t="s">
        <v>29</v>
      </c>
      <c r="M439">
        <v>110001</v>
      </c>
      <c r="N439" t="s">
        <v>1094</v>
      </c>
      <c r="O439" t="s">
        <v>138</v>
      </c>
      <c r="P439" t="s">
        <v>139</v>
      </c>
      <c r="Q439" t="s">
        <v>140</v>
      </c>
      <c r="R439" s="8">
        <v>2370.2199999999998</v>
      </c>
      <c r="S439">
        <v>3</v>
      </c>
      <c r="T439">
        <v>0.1</v>
      </c>
      <c r="U439" s="8">
        <v>264.97000000000003</v>
      </c>
      <c r="V439" t="s">
        <v>1561</v>
      </c>
      <c r="W439" t="s">
        <v>1561</v>
      </c>
    </row>
    <row r="440" spans="1:23">
      <c r="A440">
        <v>1439</v>
      </c>
      <c r="B440" t="s">
        <v>1243</v>
      </c>
      <c r="C440" s="7">
        <v>45296</v>
      </c>
      <c r="D440" s="7">
        <v>45298</v>
      </c>
      <c r="E440" t="s">
        <v>101</v>
      </c>
      <c r="F440" t="s">
        <v>461</v>
      </c>
      <c r="G440" t="s">
        <v>1571</v>
      </c>
      <c r="H440" t="s">
        <v>25</v>
      </c>
      <c r="I440" t="s">
        <v>26</v>
      </c>
      <c r="J440" t="s">
        <v>72</v>
      </c>
      <c r="K440" t="s">
        <v>73</v>
      </c>
      <c r="L440" t="s">
        <v>63</v>
      </c>
      <c r="M440">
        <v>110001</v>
      </c>
      <c r="N440" t="s">
        <v>1067</v>
      </c>
      <c r="O440" t="s">
        <v>44</v>
      </c>
      <c r="P440" t="s">
        <v>211</v>
      </c>
      <c r="Q440" t="s">
        <v>212</v>
      </c>
      <c r="R440" s="8">
        <v>3476.11</v>
      </c>
      <c r="S440">
        <v>4</v>
      </c>
      <c r="T440">
        <v>0.3</v>
      </c>
      <c r="U440" s="8">
        <v>-318.95</v>
      </c>
      <c r="V440" t="s">
        <v>1561</v>
      </c>
      <c r="W440" t="s">
        <v>1561</v>
      </c>
    </row>
    <row r="441" spans="1:23">
      <c r="A441">
        <v>1440</v>
      </c>
      <c r="B441" t="s">
        <v>585</v>
      </c>
      <c r="C441" s="7">
        <v>45342</v>
      </c>
      <c r="D441" s="7">
        <v>45348</v>
      </c>
      <c r="E441" t="s">
        <v>69</v>
      </c>
      <c r="F441" t="s">
        <v>345</v>
      </c>
      <c r="G441" t="s">
        <v>1565</v>
      </c>
      <c r="H441" t="s">
        <v>25</v>
      </c>
      <c r="I441" t="s">
        <v>26</v>
      </c>
      <c r="J441" t="s">
        <v>115</v>
      </c>
      <c r="K441" t="s">
        <v>116</v>
      </c>
      <c r="L441" t="s">
        <v>63</v>
      </c>
      <c r="M441">
        <v>560001</v>
      </c>
      <c r="N441" t="s">
        <v>586</v>
      </c>
      <c r="O441" t="s">
        <v>55</v>
      </c>
      <c r="P441" t="s">
        <v>66</v>
      </c>
      <c r="Q441" t="s">
        <v>67</v>
      </c>
      <c r="R441" s="8">
        <v>17677.91</v>
      </c>
      <c r="S441">
        <v>3</v>
      </c>
      <c r="T441">
        <v>0.25</v>
      </c>
      <c r="U441" s="8">
        <v>-38.049999999999997</v>
      </c>
      <c r="V441" t="s">
        <v>1561</v>
      </c>
      <c r="W441" t="s">
        <v>1561</v>
      </c>
    </row>
    <row r="442" spans="1:23">
      <c r="A442">
        <v>1441</v>
      </c>
      <c r="B442" t="s">
        <v>686</v>
      </c>
      <c r="C442" s="7">
        <v>45476</v>
      </c>
      <c r="D442" s="7">
        <v>45481</v>
      </c>
      <c r="E442" t="s">
        <v>48</v>
      </c>
      <c r="F442" t="s">
        <v>378</v>
      </c>
      <c r="G442" t="s">
        <v>1569</v>
      </c>
      <c r="H442" t="s">
        <v>51</v>
      </c>
      <c r="I442" t="s">
        <v>26</v>
      </c>
      <c r="J442" t="s">
        <v>90</v>
      </c>
      <c r="K442" t="s">
        <v>91</v>
      </c>
      <c r="L442" t="s">
        <v>29</v>
      </c>
      <c r="M442">
        <v>673001</v>
      </c>
      <c r="N442" t="s">
        <v>687</v>
      </c>
      <c r="O442" t="s">
        <v>44</v>
      </c>
      <c r="P442" t="s">
        <v>45</v>
      </c>
      <c r="Q442" t="s">
        <v>46</v>
      </c>
      <c r="R442" s="8">
        <v>55121.59</v>
      </c>
      <c r="S442">
        <v>2</v>
      </c>
      <c r="T442">
        <v>0.2</v>
      </c>
      <c r="U442" s="8">
        <v>-1197.18</v>
      </c>
      <c r="V442" t="s">
        <v>1561</v>
      </c>
      <c r="W442" t="s">
        <v>1561</v>
      </c>
    </row>
    <row r="443" spans="1:23">
      <c r="A443">
        <v>1442</v>
      </c>
      <c r="B443" t="s">
        <v>1269</v>
      </c>
      <c r="C443" s="7">
        <v>45437</v>
      </c>
      <c r="D443" s="7">
        <v>45440</v>
      </c>
      <c r="E443" t="s">
        <v>48</v>
      </c>
      <c r="F443" t="s">
        <v>375</v>
      </c>
      <c r="G443" t="s">
        <v>1568</v>
      </c>
      <c r="H443" t="s">
        <v>108</v>
      </c>
      <c r="I443" t="s">
        <v>26</v>
      </c>
      <c r="J443" t="s">
        <v>61</v>
      </c>
      <c r="K443" t="s">
        <v>62</v>
      </c>
      <c r="L443" t="s">
        <v>29</v>
      </c>
      <c r="M443">
        <v>110001</v>
      </c>
      <c r="N443" t="s">
        <v>1270</v>
      </c>
      <c r="O443" t="s">
        <v>138</v>
      </c>
      <c r="P443" t="s">
        <v>156</v>
      </c>
      <c r="Q443" t="s">
        <v>157</v>
      </c>
      <c r="R443" s="8">
        <v>333.26</v>
      </c>
      <c r="S443">
        <v>1</v>
      </c>
      <c r="T443">
        <v>0.05</v>
      </c>
      <c r="U443" s="8">
        <v>44.77</v>
      </c>
      <c r="V443" t="s">
        <v>1561</v>
      </c>
      <c r="W443" t="s">
        <v>1561</v>
      </c>
    </row>
    <row r="444" spans="1:23">
      <c r="A444">
        <v>1443</v>
      </c>
      <c r="B444" t="s">
        <v>1110</v>
      </c>
      <c r="C444" s="7">
        <v>45615</v>
      </c>
      <c r="D444" s="7">
        <v>45617</v>
      </c>
      <c r="E444" t="s">
        <v>69</v>
      </c>
      <c r="F444" t="s">
        <v>255</v>
      </c>
      <c r="G444" t="s">
        <v>1575</v>
      </c>
      <c r="H444" t="s">
        <v>51</v>
      </c>
      <c r="I444" t="s">
        <v>26</v>
      </c>
      <c r="J444" t="s">
        <v>39</v>
      </c>
      <c r="K444" t="s">
        <v>40</v>
      </c>
      <c r="L444" t="s">
        <v>63</v>
      </c>
      <c r="M444">
        <v>560001</v>
      </c>
      <c r="N444" t="s">
        <v>1111</v>
      </c>
      <c r="O444" t="s">
        <v>188</v>
      </c>
      <c r="P444" t="s">
        <v>189</v>
      </c>
      <c r="Q444" t="s">
        <v>190</v>
      </c>
      <c r="R444" s="8">
        <v>12764.48</v>
      </c>
      <c r="S444">
        <v>3</v>
      </c>
      <c r="T444">
        <v>0.3</v>
      </c>
      <c r="U444" s="8">
        <v>-696.34</v>
      </c>
      <c r="V444" t="s">
        <v>1561</v>
      </c>
      <c r="W444" t="s">
        <v>1561</v>
      </c>
    </row>
    <row r="445" spans="1:23">
      <c r="A445">
        <v>1444</v>
      </c>
      <c r="B445" t="s">
        <v>675</v>
      </c>
      <c r="C445" s="7">
        <v>45374</v>
      </c>
      <c r="D445" s="7">
        <v>45377</v>
      </c>
      <c r="E445" t="s">
        <v>69</v>
      </c>
      <c r="F445" t="s">
        <v>468</v>
      </c>
      <c r="G445" t="s">
        <v>1563</v>
      </c>
      <c r="H445" t="s">
        <v>51</v>
      </c>
      <c r="I445" t="s">
        <v>26</v>
      </c>
      <c r="J445" t="s">
        <v>79</v>
      </c>
      <c r="K445" t="s">
        <v>80</v>
      </c>
      <c r="L445" t="s">
        <v>63</v>
      </c>
      <c r="M445">
        <v>400001</v>
      </c>
      <c r="N445" t="s">
        <v>676</v>
      </c>
      <c r="O445" t="s">
        <v>138</v>
      </c>
      <c r="P445" t="s">
        <v>139</v>
      </c>
      <c r="Q445" t="s">
        <v>140</v>
      </c>
      <c r="R445" s="8">
        <v>5839.3</v>
      </c>
      <c r="S445">
        <v>6</v>
      </c>
      <c r="T445">
        <v>0</v>
      </c>
      <c r="U445" s="8">
        <v>1014.98</v>
      </c>
      <c r="V445" t="s">
        <v>1561</v>
      </c>
      <c r="W445" t="s">
        <v>1561</v>
      </c>
    </row>
    <row r="446" spans="1:23">
      <c r="A446">
        <v>1445</v>
      </c>
      <c r="B446" t="s">
        <v>1143</v>
      </c>
      <c r="C446" s="7">
        <v>45592</v>
      </c>
      <c r="D446" s="7">
        <v>45597</v>
      </c>
      <c r="E446" t="s">
        <v>101</v>
      </c>
      <c r="F446" t="s">
        <v>271</v>
      </c>
      <c r="G446" t="s">
        <v>1571</v>
      </c>
      <c r="H446" t="s">
        <v>51</v>
      </c>
      <c r="I446" t="s">
        <v>26</v>
      </c>
      <c r="J446" t="s">
        <v>79</v>
      </c>
      <c r="K446" t="s">
        <v>80</v>
      </c>
      <c r="L446" t="s">
        <v>92</v>
      </c>
      <c r="M446">
        <v>110001</v>
      </c>
      <c r="N446" t="s">
        <v>1144</v>
      </c>
      <c r="O446" t="s">
        <v>138</v>
      </c>
      <c r="P446" t="s">
        <v>156</v>
      </c>
      <c r="Q446" t="s">
        <v>157</v>
      </c>
      <c r="R446" s="8">
        <v>1707.1</v>
      </c>
      <c r="S446">
        <v>-1</v>
      </c>
      <c r="T446">
        <v>0</v>
      </c>
      <c r="U446" s="8">
        <v>104.15</v>
      </c>
      <c r="V446" t="s">
        <v>1561</v>
      </c>
      <c r="W446" t="s">
        <v>1580</v>
      </c>
    </row>
    <row r="447" spans="1:23">
      <c r="A447">
        <v>1446</v>
      </c>
      <c r="B447" t="s">
        <v>539</v>
      </c>
      <c r="C447" s="7">
        <v>45399</v>
      </c>
      <c r="D447" s="7">
        <v>45401</v>
      </c>
      <c r="E447" t="s">
        <v>101</v>
      </c>
      <c r="F447" t="s">
        <v>173</v>
      </c>
      <c r="G447" t="s">
        <v>1573</v>
      </c>
      <c r="H447" t="s">
        <v>51</v>
      </c>
      <c r="I447" t="s">
        <v>26</v>
      </c>
      <c r="J447" t="s">
        <v>166</v>
      </c>
      <c r="K447" t="s">
        <v>132</v>
      </c>
      <c r="L447" t="s">
        <v>41</v>
      </c>
      <c r="M447">
        <v>560001</v>
      </c>
      <c r="N447" t="s">
        <v>119</v>
      </c>
      <c r="O447" t="s">
        <v>83</v>
      </c>
      <c r="P447" t="s">
        <v>33</v>
      </c>
      <c r="Q447" t="s">
        <v>34</v>
      </c>
      <c r="R447" s="8">
        <v>2899.58</v>
      </c>
      <c r="S447">
        <v>2</v>
      </c>
      <c r="T447">
        <v>0</v>
      </c>
      <c r="U447" s="8">
        <v>853.82</v>
      </c>
      <c r="V447" t="s">
        <v>1561</v>
      </c>
      <c r="W447" t="s">
        <v>1561</v>
      </c>
    </row>
    <row r="448" spans="1:23">
      <c r="A448">
        <v>1447</v>
      </c>
      <c r="B448" t="s">
        <v>1036</v>
      </c>
      <c r="C448" s="7">
        <v>45345</v>
      </c>
      <c r="D448" s="7">
        <v>45348</v>
      </c>
      <c r="E448" t="s">
        <v>69</v>
      </c>
      <c r="F448" t="s">
        <v>285</v>
      </c>
      <c r="G448" t="s">
        <v>1566</v>
      </c>
      <c r="H448" t="s">
        <v>25</v>
      </c>
      <c r="I448" t="s">
        <v>26</v>
      </c>
      <c r="J448" t="s">
        <v>346</v>
      </c>
      <c r="K448" t="s">
        <v>132</v>
      </c>
      <c r="L448" t="s">
        <v>29</v>
      </c>
      <c r="M448">
        <v>695001</v>
      </c>
      <c r="N448" t="s">
        <v>1037</v>
      </c>
      <c r="O448" t="s">
        <v>44</v>
      </c>
      <c r="P448" t="s">
        <v>207</v>
      </c>
      <c r="Q448" t="s">
        <v>208</v>
      </c>
      <c r="R448" s="8">
        <v>164242.29</v>
      </c>
      <c r="S448">
        <v>3</v>
      </c>
      <c r="T448">
        <v>0</v>
      </c>
      <c r="U448" s="8">
        <v>17137.88</v>
      </c>
      <c r="V448" t="s">
        <v>1561</v>
      </c>
      <c r="W448" t="s">
        <v>1561</v>
      </c>
    </row>
    <row r="449" spans="1:23">
      <c r="A449">
        <v>1448</v>
      </c>
      <c r="B449" t="s">
        <v>1072</v>
      </c>
      <c r="C449" s="7">
        <v>45561</v>
      </c>
      <c r="D449" s="7">
        <v>45563</v>
      </c>
      <c r="E449" t="s">
        <v>22</v>
      </c>
      <c r="F449" t="s">
        <v>280</v>
      </c>
      <c r="G449" t="s">
        <v>1566</v>
      </c>
      <c r="H449" t="s">
        <v>51</v>
      </c>
      <c r="I449" t="s">
        <v>26</v>
      </c>
      <c r="J449" t="s">
        <v>72</v>
      </c>
      <c r="K449" t="s">
        <v>73</v>
      </c>
      <c r="L449" t="s">
        <v>63</v>
      </c>
      <c r="M449">
        <v>110001</v>
      </c>
      <c r="N449" t="s">
        <v>1073</v>
      </c>
      <c r="O449" t="s">
        <v>83</v>
      </c>
      <c r="P449" t="s">
        <v>33</v>
      </c>
      <c r="Q449" t="s">
        <v>34</v>
      </c>
      <c r="R449" s="8">
        <v>4097.3100000000004</v>
      </c>
      <c r="S449">
        <v>3</v>
      </c>
      <c r="T449">
        <v>0.05</v>
      </c>
      <c r="U449" s="8">
        <v>759.71</v>
      </c>
      <c r="V449" t="s">
        <v>1561</v>
      </c>
      <c r="W449" t="s">
        <v>1561</v>
      </c>
    </row>
    <row r="450" spans="1:23">
      <c r="A450">
        <v>1449</v>
      </c>
      <c r="B450" t="s">
        <v>486</v>
      </c>
      <c r="C450" s="7">
        <v>45572</v>
      </c>
      <c r="D450" s="7">
        <v>45576</v>
      </c>
      <c r="E450" t="s">
        <v>69</v>
      </c>
      <c r="F450" t="s">
        <v>324</v>
      </c>
      <c r="G450" t="s">
        <v>1568</v>
      </c>
      <c r="H450" t="s">
        <v>51</v>
      </c>
      <c r="I450" t="s">
        <v>26</v>
      </c>
      <c r="J450" t="s">
        <v>61</v>
      </c>
      <c r="K450" t="s">
        <v>62</v>
      </c>
      <c r="L450" t="s">
        <v>92</v>
      </c>
      <c r="M450">
        <v>600001</v>
      </c>
      <c r="N450" t="s">
        <v>243</v>
      </c>
      <c r="O450" t="s">
        <v>138</v>
      </c>
      <c r="P450" t="s">
        <v>182</v>
      </c>
      <c r="Q450" t="s">
        <v>183</v>
      </c>
      <c r="R450" s="8">
        <v>2219.04</v>
      </c>
      <c r="S450">
        <v>6</v>
      </c>
      <c r="T450">
        <v>0.15</v>
      </c>
      <c r="U450" s="8">
        <v>272.52999999999997</v>
      </c>
      <c r="V450" t="s">
        <v>1561</v>
      </c>
      <c r="W450" t="s">
        <v>1561</v>
      </c>
    </row>
    <row r="451" spans="1:23">
      <c r="A451">
        <v>1450</v>
      </c>
      <c r="B451" t="s">
        <v>332</v>
      </c>
      <c r="C451" s="7">
        <v>45560</v>
      </c>
      <c r="D451" s="7">
        <v>45566</v>
      </c>
      <c r="E451" t="s">
        <v>48</v>
      </c>
      <c r="F451" t="s">
        <v>333</v>
      </c>
      <c r="G451" t="s">
        <v>1563</v>
      </c>
      <c r="H451" t="s">
        <v>25</v>
      </c>
      <c r="I451" t="s">
        <v>26</v>
      </c>
      <c r="J451" t="s">
        <v>39</v>
      </c>
      <c r="K451" t="s">
        <v>40</v>
      </c>
      <c r="L451" t="s">
        <v>29</v>
      </c>
      <c r="M451">
        <v>600001</v>
      </c>
      <c r="N451" t="s">
        <v>335</v>
      </c>
      <c r="O451" t="s">
        <v>138</v>
      </c>
      <c r="P451" t="s">
        <v>156</v>
      </c>
      <c r="Q451" t="s">
        <v>157</v>
      </c>
      <c r="R451" s="8">
        <v>1576.76</v>
      </c>
      <c r="S451">
        <v>6</v>
      </c>
      <c r="T451">
        <v>0.25</v>
      </c>
      <c r="U451" s="8">
        <v>46.87</v>
      </c>
      <c r="V451" t="s">
        <v>1561</v>
      </c>
      <c r="W451" t="s">
        <v>1561</v>
      </c>
    </row>
    <row r="452" spans="1:23">
      <c r="A452">
        <v>1451</v>
      </c>
      <c r="B452" t="s">
        <v>890</v>
      </c>
      <c r="C452" s="7">
        <v>45371</v>
      </c>
      <c r="D452" s="7">
        <v>45374</v>
      </c>
      <c r="E452" t="s">
        <v>22</v>
      </c>
      <c r="F452" t="s">
        <v>180</v>
      </c>
      <c r="G452" t="s">
        <v>1568</v>
      </c>
      <c r="H452" t="s">
        <v>51</v>
      </c>
      <c r="I452" t="s">
        <v>26</v>
      </c>
      <c r="J452" t="s">
        <v>27</v>
      </c>
      <c r="K452" t="s">
        <v>28</v>
      </c>
      <c r="L452" t="s">
        <v>92</v>
      </c>
      <c r="M452">
        <v>695001</v>
      </c>
      <c r="N452" t="s">
        <v>891</v>
      </c>
      <c r="O452" t="s">
        <v>44</v>
      </c>
      <c r="P452" t="s">
        <v>45</v>
      </c>
      <c r="Q452" t="s">
        <v>46</v>
      </c>
      <c r="R452" s="8">
        <v>58339.62</v>
      </c>
      <c r="S452">
        <v>2</v>
      </c>
      <c r="T452">
        <v>0.15</v>
      </c>
      <c r="U452" s="8">
        <v>556.61</v>
      </c>
      <c r="V452" t="s">
        <v>1561</v>
      </c>
      <c r="W452" t="s">
        <v>1561</v>
      </c>
    </row>
    <row r="453" spans="1:23">
      <c r="A453">
        <v>1452</v>
      </c>
      <c r="B453" t="s">
        <v>830</v>
      </c>
      <c r="C453" s="7">
        <v>45445</v>
      </c>
      <c r="D453" s="7">
        <v>45446</v>
      </c>
      <c r="E453" t="s">
        <v>101</v>
      </c>
      <c r="F453" t="s">
        <v>398</v>
      </c>
      <c r="G453" t="s">
        <v>1570</v>
      </c>
      <c r="H453" t="s">
        <v>51</v>
      </c>
      <c r="I453" t="s">
        <v>26</v>
      </c>
      <c r="J453" t="s">
        <v>39</v>
      </c>
      <c r="K453" t="s">
        <v>40</v>
      </c>
      <c r="L453" t="s">
        <v>92</v>
      </c>
      <c r="M453">
        <v>110001</v>
      </c>
      <c r="N453" t="s">
        <v>831</v>
      </c>
      <c r="O453" t="s">
        <v>138</v>
      </c>
      <c r="P453" t="s">
        <v>121</v>
      </c>
      <c r="Q453" t="s">
        <v>122</v>
      </c>
      <c r="R453" s="8">
        <v>2590.85</v>
      </c>
      <c r="S453">
        <v>6</v>
      </c>
      <c r="T453">
        <v>0.3</v>
      </c>
      <c r="U453" s="8">
        <v>13.49</v>
      </c>
      <c r="V453" t="s">
        <v>1561</v>
      </c>
      <c r="W453" t="s">
        <v>1561</v>
      </c>
    </row>
    <row r="454" spans="1:23">
      <c r="A454">
        <v>1453</v>
      </c>
      <c r="B454" t="s">
        <v>1195</v>
      </c>
      <c r="C454" s="7">
        <v>45494</v>
      </c>
      <c r="D454" s="7">
        <v>45496</v>
      </c>
      <c r="E454" t="s">
        <v>69</v>
      </c>
      <c r="F454" t="s">
        <v>225</v>
      </c>
      <c r="G454" t="s">
        <v>1560</v>
      </c>
      <c r="H454" t="s">
        <v>51</v>
      </c>
      <c r="I454" t="s">
        <v>26</v>
      </c>
      <c r="J454" t="s">
        <v>52</v>
      </c>
      <c r="K454" t="s">
        <v>52</v>
      </c>
      <c r="L454" t="s">
        <v>29</v>
      </c>
      <c r="M454">
        <v>110001</v>
      </c>
      <c r="N454" t="s">
        <v>1196</v>
      </c>
      <c r="O454" t="s">
        <v>55</v>
      </c>
      <c r="P454" t="s">
        <v>56</v>
      </c>
      <c r="Q454" t="s">
        <v>57</v>
      </c>
      <c r="R454" s="8">
        <v>31992.66</v>
      </c>
      <c r="S454">
        <v>6</v>
      </c>
      <c r="T454">
        <v>0.25</v>
      </c>
      <c r="U454" s="8">
        <v>-95.68</v>
      </c>
      <c r="V454" t="s">
        <v>1561</v>
      </c>
      <c r="W454" t="s">
        <v>1561</v>
      </c>
    </row>
    <row r="455" spans="1:23">
      <c r="A455">
        <v>1454</v>
      </c>
      <c r="B455" t="s">
        <v>656</v>
      </c>
      <c r="C455" s="7">
        <v>45437</v>
      </c>
      <c r="D455" s="7">
        <v>45443</v>
      </c>
      <c r="E455" t="s">
        <v>48</v>
      </c>
      <c r="F455" t="s">
        <v>271</v>
      </c>
      <c r="G455" t="s">
        <v>1565</v>
      </c>
      <c r="H455" t="s">
        <v>51</v>
      </c>
      <c r="I455" t="s">
        <v>26</v>
      </c>
      <c r="J455" t="s">
        <v>72</v>
      </c>
      <c r="K455" t="s">
        <v>73</v>
      </c>
      <c r="L455" t="s">
        <v>41</v>
      </c>
      <c r="M455">
        <v>682001</v>
      </c>
      <c r="N455" t="s">
        <v>657</v>
      </c>
      <c r="O455" t="s">
        <v>55</v>
      </c>
      <c r="P455" t="s">
        <v>66</v>
      </c>
      <c r="Q455" t="s">
        <v>67</v>
      </c>
      <c r="R455" s="8">
        <v>22775.89</v>
      </c>
      <c r="S455">
        <v>3</v>
      </c>
      <c r="T455">
        <v>0.15</v>
      </c>
      <c r="U455" s="8">
        <v>1310.91</v>
      </c>
      <c r="V455" t="s">
        <v>1561</v>
      </c>
      <c r="W455" t="s">
        <v>1561</v>
      </c>
    </row>
    <row r="456" spans="1:23">
      <c r="A456">
        <v>1455</v>
      </c>
      <c r="B456" t="s">
        <v>1438</v>
      </c>
      <c r="C456" s="7">
        <v>45650</v>
      </c>
      <c r="D456" s="7">
        <v>45655</v>
      </c>
      <c r="E456" t="s">
        <v>101</v>
      </c>
      <c r="F456" t="s">
        <v>355</v>
      </c>
      <c r="G456" t="s">
        <v>1563</v>
      </c>
      <c r="H456" t="s">
        <v>25</v>
      </c>
      <c r="I456" t="s">
        <v>26</v>
      </c>
      <c r="J456" t="s">
        <v>115</v>
      </c>
      <c r="K456" t="s">
        <v>116</v>
      </c>
      <c r="L456" t="s">
        <v>41</v>
      </c>
      <c r="M456">
        <v>682001</v>
      </c>
      <c r="N456" t="s">
        <v>1439</v>
      </c>
      <c r="O456" t="s">
        <v>44</v>
      </c>
      <c r="P456" t="s">
        <v>45</v>
      </c>
      <c r="Q456" t="s">
        <v>46</v>
      </c>
      <c r="R456" s="8">
        <v>88266.41</v>
      </c>
      <c r="S456">
        <v>3</v>
      </c>
      <c r="T456">
        <v>0.15</v>
      </c>
      <c r="U456" s="8">
        <v>1036.96</v>
      </c>
      <c r="V456" t="s">
        <v>1561</v>
      </c>
      <c r="W456" t="s">
        <v>1561</v>
      </c>
    </row>
    <row r="457" spans="1:23">
      <c r="A457">
        <v>1456</v>
      </c>
      <c r="B457" t="s">
        <v>1409</v>
      </c>
      <c r="C457" s="7">
        <v>45356</v>
      </c>
      <c r="D457" s="7">
        <v>45362</v>
      </c>
      <c r="E457" t="s">
        <v>101</v>
      </c>
      <c r="F457" t="s">
        <v>214</v>
      </c>
      <c r="G457" t="s">
        <v>1569</v>
      </c>
      <c r="H457" t="s">
        <v>51</v>
      </c>
      <c r="I457" t="s">
        <v>26</v>
      </c>
      <c r="J457" t="s">
        <v>52</v>
      </c>
      <c r="K457" t="s">
        <v>52</v>
      </c>
      <c r="L457" t="s">
        <v>92</v>
      </c>
      <c r="M457">
        <v>673001</v>
      </c>
      <c r="N457" t="s">
        <v>1410</v>
      </c>
      <c r="O457" t="s">
        <v>44</v>
      </c>
      <c r="P457" t="s">
        <v>207</v>
      </c>
      <c r="Q457" t="s">
        <v>208</v>
      </c>
      <c r="R457" s="8">
        <v>44838.57</v>
      </c>
      <c r="S457">
        <v>1</v>
      </c>
      <c r="T457">
        <v>0</v>
      </c>
      <c r="U457" s="8">
        <v>495.48</v>
      </c>
      <c r="V457" t="s">
        <v>1561</v>
      </c>
      <c r="W457" t="s">
        <v>1561</v>
      </c>
    </row>
    <row r="458" spans="1:23">
      <c r="A458">
        <v>1457</v>
      </c>
      <c r="B458" t="s">
        <v>743</v>
      </c>
      <c r="C458" s="7">
        <v>45482</v>
      </c>
      <c r="D458" s="7">
        <v>45486</v>
      </c>
      <c r="E458" t="s">
        <v>22</v>
      </c>
      <c r="F458" t="s">
        <v>744</v>
      </c>
      <c r="G458" t="s">
        <v>1573</v>
      </c>
      <c r="H458" t="s">
        <v>51</v>
      </c>
      <c r="I458" t="s">
        <v>26</v>
      </c>
      <c r="J458" t="s">
        <v>346</v>
      </c>
      <c r="K458" t="s">
        <v>132</v>
      </c>
      <c r="L458" t="s">
        <v>92</v>
      </c>
      <c r="M458">
        <v>673001</v>
      </c>
      <c r="N458" t="s">
        <v>745</v>
      </c>
      <c r="O458" t="s">
        <v>138</v>
      </c>
      <c r="P458" t="s">
        <v>182</v>
      </c>
      <c r="Q458" t="s">
        <v>183</v>
      </c>
      <c r="R458" s="8">
        <v>642.51</v>
      </c>
      <c r="S458">
        <v>2</v>
      </c>
      <c r="T458">
        <v>0.3</v>
      </c>
      <c r="U458" s="8">
        <v>3.07</v>
      </c>
      <c r="V458" t="s">
        <v>1561</v>
      </c>
      <c r="W458" t="s">
        <v>1561</v>
      </c>
    </row>
    <row r="459" spans="1:23">
      <c r="A459">
        <v>1458</v>
      </c>
      <c r="B459" t="s">
        <v>789</v>
      </c>
      <c r="C459" s="7">
        <v>45420</v>
      </c>
      <c r="D459" s="7">
        <v>45424</v>
      </c>
      <c r="E459" t="s">
        <v>22</v>
      </c>
      <c r="F459" t="s">
        <v>442</v>
      </c>
      <c r="G459" t="s">
        <v>1575</v>
      </c>
      <c r="H459" t="s">
        <v>51</v>
      </c>
      <c r="I459" t="s">
        <v>26</v>
      </c>
      <c r="J459" t="s">
        <v>27</v>
      </c>
      <c r="K459" t="s">
        <v>28</v>
      </c>
      <c r="L459" t="s">
        <v>92</v>
      </c>
      <c r="M459">
        <v>560001</v>
      </c>
      <c r="N459" t="s">
        <v>556</v>
      </c>
      <c r="O459" t="s">
        <v>55</v>
      </c>
      <c r="P459" t="s">
        <v>98</v>
      </c>
      <c r="Q459" t="s">
        <v>99</v>
      </c>
      <c r="R459" s="8">
        <v>17423.900000000001</v>
      </c>
      <c r="S459">
        <v>3</v>
      </c>
      <c r="T459">
        <v>0.1</v>
      </c>
      <c r="U459" s="8">
        <v>1602.41</v>
      </c>
      <c r="V459" t="s">
        <v>1561</v>
      </c>
      <c r="W459" t="s">
        <v>1561</v>
      </c>
    </row>
    <row r="460" spans="1:23">
      <c r="A460">
        <v>1459</v>
      </c>
      <c r="B460" t="s">
        <v>1510</v>
      </c>
      <c r="C460" s="7">
        <v>45340</v>
      </c>
      <c r="D460" s="7">
        <v>45345</v>
      </c>
      <c r="E460" t="s">
        <v>69</v>
      </c>
      <c r="F460" t="s">
        <v>479</v>
      </c>
      <c r="G460" t="s">
        <v>1564</v>
      </c>
      <c r="H460" t="s">
        <v>25</v>
      </c>
      <c r="I460" t="s">
        <v>26</v>
      </c>
      <c r="J460" t="s">
        <v>39</v>
      </c>
      <c r="K460" t="s">
        <v>40</v>
      </c>
      <c r="L460" t="s">
        <v>63</v>
      </c>
      <c r="M460">
        <v>695001</v>
      </c>
      <c r="N460" t="s">
        <v>1511</v>
      </c>
      <c r="O460" t="s">
        <v>44</v>
      </c>
      <c r="P460" t="s">
        <v>211</v>
      </c>
      <c r="Q460" t="s">
        <v>223</v>
      </c>
      <c r="R460" s="8">
        <v>1218.56</v>
      </c>
      <c r="S460">
        <v>1</v>
      </c>
      <c r="T460">
        <v>0.3</v>
      </c>
      <c r="U460" s="8">
        <v>-126.8</v>
      </c>
      <c r="V460" t="s">
        <v>1561</v>
      </c>
      <c r="W460" t="s">
        <v>1561</v>
      </c>
    </row>
    <row r="461" spans="1:23">
      <c r="A461">
        <v>1460</v>
      </c>
      <c r="B461" t="s">
        <v>1488</v>
      </c>
      <c r="C461" s="7">
        <v>45421</v>
      </c>
      <c r="D461" s="7">
        <v>45425</v>
      </c>
      <c r="E461" t="s">
        <v>48</v>
      </c>
      <c r="F461" t="s">
        <v>59</v>
      </c>
      <c r="G461" t="s">
        <v>1563</v>
      </c>
      <c r="H461" t="s">
        <v>51</v>
      </c>
      <c r="I461" t="s">
        <v>26</v>
      </c>
      <c r="J461" t="s">
        <v>90</v>
      </c>
      <c r="K461" t="s">
        <v>91</v>
      </c>
      <c r="L461" t="s">
        <v>41</v>
      </c>
      <c r="M461">
        <v>110001</v>
      </c>
      <c r="N461" t="s">
        <v>1489</v>
      </c>
      <c r="O461" t="s">
        <v>83</v>
      </c>
      <c r="P461" t="s">
        <v>33</v>
      </c>
      <c r="Q461" t="s">
        <v>34</v>
      </c>
      <c r="R461" s="8">
        <v>10213.33</v>
      </c>
      <c r="S461">
        <v>7</v>
      </c>
      <c r="T461">
        <v>0</v>
      </c>
      <c r="U461" s="8">
        <v>2043</v>
      </c>
      <c r="V461" t="s">
        <v>1561</v>
      </c>
      <c r="W461" t="s">
        <v>1561</v>
      </c>
    </row>
    <row r="462" spans="1:23">
      <c r="A462">
        <v>1461</v>
      </c>
      <c r="B462" t="s">
        <v>1331</v>
      </c>
      <c r="C462" s="7">
        <v>45377</v>
      </c>
      <c r="D462" s="7">
        <v>45380</v>
      </c>
      <c r="E462" t="s">
        <v>22</v>
      </c>
      <c r="F462" t="s">
        <v>238</v>
      </c>
      <c r="G462" t="s">
        <v>1575</v>
      </c>
      <c r="H462" t="s">
        <v>51</v>
      </c>
      <c r="I462" t="s">
        <v>26</v>
      </c>
      <c r="J462" t="s">
        <v>72</v>
      </c>
      <c r="K462" t="s">
        <v>73</v>
      </c>
      <c r="L462" t="s">
        <v>92</v>
      </c>
      <c r="M462">
        <v>673001</v>
      </c>
      <c r="N462" t="s">
        <v>1027</v>
      </c>
      <c r="O462" t="s">
        <v>44</v>
      </c>
      <c r="P462" t="s">
        <v>45</v>
      </c>
      <c r="Q462" t="s">
        <v>46</v>
      </c>
      <c r="R462" s="8">
        <v>76244.75</v>
      </c>
      <c r="S462">
        <v>2</v>
      </c>
      <c r="T462">
        <v>0</v>
      </c>
      <c r="U462" s="8">
        <v>8334.2199999999993</v>
      </c>
      <c r="V462" t="s">
        <v>1561</v>
      </c>
      <c r="W462" t="s">
        <v>1561</v>
      </c>
    </row>
    <row r="463" spans="1:23">
      <c r="A463">
        <v>1462</v>
      </c>
      <c r="B463" t="s">
        <v>1407</v>
      </c>
      <c r="C463" s="7">
        <v>45482</v>
      </c>
      <c r="D463" s="7">
        <v>45483</v>
      </c>
      <c r="E463" t="s">
        <v>69</v>
      </c>
      <c r="F463" t="s">
        <v>195</v>
      </c>
      <c r="G463" t="s">
        <v>1562</v>
      </c>
      <c r="H463" t="s">
        <v>25</v>
      </c>
      <c r="I463" t="s">
        <v>26</v>
      </c>
      <c r="J463" t="s">
        <v>79</v>
      </c>
      <c r="K463" t="s">
        <v>80</v>
      </c>
      <c r="L463" t="s">
        <v>41</v>
      </c>
      <c r="M463">
        <v>400001</v>
      </c>
      <c r="N463" t="s">
        <v>1408</v>
      </c>
      <c r="O463" t="s">
        <v>83</v>
      </c>
      <c r="P463" t="s">
        <v>84</v>
      </c>
      <c r="Q463" t="s">
        <v>85</v>
      </c>
      <c r="R463" s="8">
        <v>12927.64</v>
      </c>
      <c r="S463">
        <v>4</v>
      </c>
      <c r="T463">
        <v>0.05</v>
      </c>
      <c r="U463" s="8">
        <v>3233.32</v>
      </c>
      <c r="V463" t="s">
        <v>1561</v>
      </c>
      <c r="W463" t="s">
        <v>1561</v>
      </c>
    </row>
    <row r="464" spans="1:23">
      <c r="A464">
        <v>1463</v>
      </c>
      <c r="B464" t="s">
        <v>326</v>
      </c>
      <c r="C464" s="7">
        <v>45322</v>
      </c>
      <c r="D464" s="7">
        <v>45325</v>
      </c>
      <c r="E464" t="s">
        <v>69</v>
      </c>
      <c r="F464" t="s">
        <v>324</v>
      </c>
      <c r="G464" t="s">
        <v>1568</v>
      </c>
      <c r="H464" t="s">
        <v>108</v>
      </c>
      <c r="I464" t="s">
        <v>26</v>
      </c>
      <c r="J464" t="s">
        <v>226</v>
      </c>
      <c r="K464" t="s">
        <v>110</v>
      </c>
      <c r="L464" t="s">
        <v>41</v>
      </c>
      <c r="M464">
        <v>682001</v>
      </c>
      <c r="N464" t="s">
        <v>327</v>
      </c>
      <c r="O464" t="s">
        <v>188</v>
      </c>
      <c r="P464" t="s">
        <v>189</v>
      </c>
      <c r="Q464" t="s">
        <v>190</v>
      </c>
      <c r="R464" s="8">
        <v>22922.39</v>
      </c>
      <c r="S464">
        <v>4</v>
      </c>
      <c r="T464">
        <v>0</v>
      </c>
      <c r="U464" s="8">
        <v>2268.41</v>
      </c>
      <c r="V464" t="s">
        <v>1561</v>
      </c>
      <c r="W464" t="s">
        <v>1561</v>
      </c>
    </row>
    <row r="465" spans="1:23">
      <c r="A465">
        <v>1464</v>
      </c>
      <c r="B465" t="s">
        <v>1223</v>
      </c>
      <c r="C465" s="7">
        <v>45516</v>
      </c>
      <c r="D465" s="7">
        <v>45522</v>
      </c>
      <c r="E465" t="s">
        <v>69</v>
      </c>
      <c r="F465" t="s">
        <v>701</v>
      </c>
      <c r="G465" t="s">
        <v>1560</v>
      </c>
      <c r="H465" t="s">
        <v>108</v>
      </c>
      <c r="I465" t="s">
        <v>26</v>
      </c>
      <c r="J465" t="s">
        <v>72</v>
      </c>
      <c r="K465" t="s">
        <v>73</v>
      </c>
      <c r="L465" t="s">
        <v>29</v>
      </c>
      <c r="M465">
        <v>695001</v>
      </c>
      <c r="N465" t="s">
        <v>359</v>
      </c>
      <c r="O465" t="s">
        <v>55</v>
      </c>
      <c r="P465" t="s">
        <v>56</v>
      </c>
      <c r="Q465" t="s">
        <v>57</v>
      </c>
      <c r="R465" s="8">
        <v>27734.07</v>
      </c>
      <c r="S465">
        <v>5</v>
      </c>
      <c r="T465">
        <v>0.2</v>
      </c>
      <c r="U465" s="8">
        <v>849.34</v>
      </c>
      <c r="V465" t="s">
        <v>1561</v>
      </c>
      <c r="W465" t="s">
        <v>1561</v>
      </c>
    </row>
    <row r="466" spans="1:23">
      <c r="A466">
        <v>1465</v>
      </c>
      <c r="B466" t="s">
        <v>544</v>
      </c>
      <c r="C466" s="7">
        <v>45578</v>
      </c>
      <c r="D466" s="7">
        <v>45581</v>
      </c>
      <c r="E466" t="s">
        <v>101</v>
      </c>
      <c r="F466" t="s">
        <v>355</v>
      </c>
      <c r="G466" t="s">
        <v>1574</v>
      </c>
      <c r="H466" t="s">
        <v>108</v>
      </c>
      <c r="I466" t="s">
        <v>26</v>
      </c>
      <c r="J466" t="s">
        <v>166</v>
      </c>
      <c r="K466" t="s">
        <v>132</v>
      </c>
      <c r="L466" t="s">
        <v>92</v>
      </c>
      <c r="M466">
        <v>600001</v>
      </c>
      <c r="N466" t="s">
        <v>545</v>
      </c>
      <c r="O466" t="s">
        <v>55</v>
      </c>
      <c r="P466" t="s">
        <v>66</v>
      </c>
      <c r="Q466" t="s">
        <v>67</v>
      </c>
      <c r="R466" s="8">
        <v>18231.21</v>
      </c>
      <c r="S466">
        <v>3</v>
      </c>
      <c r="T466">
        <v>0.3</v>
      </c>
      <c r="U466" s="8">
        <v>-560.85</v>
      </c>
      <c r="V466" t="s">
        <v>1561</v>
      </c>
      <c r="W466" t="s">
        <v>1561</v>
      </c>
    </row>
    <row r="467" spans="1:23">
      <c r="A467">
        <v>1466</v>
      </c>
      <c r="B467" t="s">
        <v>363</v>
      </c>
      <c r="C467" s="7">
        <v>45327</v>
      </c>
      <c r="D467" s="7">
        <v>45332</v>
      </c>
      <c r="E467" t="s">
        <v>69</v>
      </c>
      <c r="F467" t="s">
        <v>260</v>
      </c>
      <c r="G467" t="s">
        <v>1570</v>
      </c>
      <c r="H467" t="s">
        <v>51</v>
      </c>
      <c r="I467" t="s">
        <v>26</v>
      </c>
      <c r="J467" t="s">
        <v>226</v>
      </c>
      <c r="K467" t="s">
        <v>110</v>
      </c>
      <c r="L467" t="s">
        <v>63</v>
      </c>
      <c r="M467">
        <v>600001</v>
      </c>
      <c r="N467" t="s">
        <v>364</v>
      </c>
      <c r="O467" t="s">
        <v>83</v>
      </c>
      <c r="P467" t="s">
        <v>33</v>
      </c>
      <c r="Q467" t="s">
        <v>34</v>
      </c>
      <c r="R467" s="8">
        <v>6266.27</v>
      </c>
      <c r="S467">
        <v>5</v>
      </c>
      <c r="T467">
        <v>0.05</v>
      </c>
      <c r="U467" s="8">
        <v>1591.15</v>
      </c>
      <c r="V467" t="s">
        <v>1561</v>
      </c>
      <c r="W467" t="s">
        <v>1561</v>
      </c>
    </row>
    <row r="468" spans="1:23">
      <c r="A468">
        <v>1467</v>
      </c>
      <c r="B468" t="s">
        <v>1515</v>
      </c>
      <c r="C468" s="7">
        <v>45301</v>
      </c>
      <c r="D468" s="7">
        <v>45306</v>
      </c>
      <c r="E468" t="s">
        <v>48</v>
      </c>
      <c r="F468" t="s">
        <v>87</v>
      </c>
      <c r="G468" t="s">
        <v>1574</v>
      </c>
      <c r="H468" t="s">
        <v>25</v>
      </c>
      <c r="I468" t="s">
        <v>26</v>
      </c>
      <c r="J468" t="s">
        <v>39</v>
      </c>
      <c r="K468" t="s">
        <v>40</v>
      </c>
      <c r="L468" t="s">
        <v>92</v>
      </c>
      <c r="M468">
        <v>695001</v>
      </c>
      <c r="N468" t="s">
        <v>289</v>
      </c>
      <c r="O468" t="s">
        <v>44</v>
      </c>
      <c r="P468" t="s">
        <v>207</v>
      </c>
      <c r="Q468" t="s">
        <v>208</v>
      </c>
      <c r="R468" s="8">
        <v>159686.14000000001</v>
      </c>
      <c r="S468">
        <v>3</v>
      </c>
      <c r="T468">
        <v>0.05</v>
      </c>
      <c r="U468" s="8">
        <v>12534.64</v>
      </c>
      <c r="V468" t="s">
        <v>1561</v>
      </c>
      <c r="W468" t="s">
        <v>1561</v>
      </c>
    </row>
    <row r="469" spans="1:23">
      <c r="A469">
        <v>1468</v>
      </c>
      <c r="B469" t="s">
        <v>312</v>
      </c>
      <c r="C469" s="7">
        <v>45560</v>
      </c>
      <c r="D469" s="7">
        <v>45566</v>
      </c>
      <c r="E469" t="s">
        <v>101</v>
      </c>
      <c r="F469" t="s">
        <v>49</v>
      </c>
      <c r="G469" t="s">
        <v>1568</v>
      </c>
      <c r="H469" t="s">
        <v>108</v>
      </c>
      <c r="I469" t="s">
        <v>26</v>
      </c>
      <c r="J469" t="s">
        <v>131</v>
      </c>
      <c r="K469" t="s">
        <v>132</v>
      </c>
      <c r="L469" t="s">
        <v>92</v>
      </c>
      <c r="M469">
        <v>600001</v>
      </c>
      <c r="N469" t="s">
        <v>313</v>
      </c>
      <c r="O469" t="s">
        <v>138</v>
      </c>
      <c r="P469" t="s">
        <v>156</v>
      </c>
      <c r="Q469" t="s">
        <v>157</v>
      </c>
      <c r="R469" s="8">
        <v>1620.17</v>
      </c>
      <c r="S469">
        <v>5</v>
      </c>
      <c r="T469">
        <v>0.1</v>
      </c>
      <c r="U469" s="8">
        <v>193.82</v>
      </c>
      <c r="V469" t="s">
        <v>1561</v>
      </c>
      <c r="W469" t="s">
        <v>1561</v>
      </c>
    </row>
    <row r="470" spans="1:23">
      <c r="A470">
        <v>1469</v>
      </c>
      <c r="B470" t="s">
        <v>647</v>
      </c>
      <c r="C470" s="7">
        <v>45314</v>
      </c>
      <c r="D470" s="7">
        <v>45316</v>
      </c>
      <c r="E470" t="s">
        <v>69</v>
      </c>
      <c r="F470" t="s">
        <v>301</v>
      </c>
      <c r="G470" t="s">
        <v>1569</v>
      </c>
      <c r="H470" t="s">
        <v>25</v>
      </c>
      <c r="I470" t="s">
        <v>26</v>
      </c>
      <c r="J470" t="s">
        <v>226</v>
      </c>
      <c r="K470" t="s">
        <v>110</v>
      </c>
      <c r="L470" t="s">
        <v>92</v>
      </c>
      <c r="M470">
        <v>673001</v>
      </c>
      <c r="N470" t="s">
        <v>366</v>
      </c>
      <c r="O470" t="s">
        <v>55</v>
      </c>
      <c r="P470" t="s">
        <v>98</v>
      </c>
      <c r="Q470" t="s">
        <v>99</v>
      </c>
      <c r="R470" s="8">
        <v>5906.83</v>
      </c>
      <c r="S470">
        <v>1</v>
      </c>
      <c r="T470">
        <v>0</v>
      </c>
      <c r="U470" s="8">
        <v>1140.8699999999999</v>
      </c>
      <c r="V470" t="s">
        <v>1561</v>
      </c>
      <c r="W470" t="s">
        <v>1561</v>
      </c>
    </row>
    <row r="471" spans="1:23">
      <c r="A471">
        <v>1470</v>
      </c>
      <c r="B471" t="s">
        <v>1107</v>
      </c>
      <c r="C471" s="7">
        <v>45628</v>
      </c>
      <c r="D471" s="7">
        <v>45632</v>
      </c>
      <c r="E471" t="s">
        <v>48</v>
      </c>
      <c r="F471" t="s">
        <v>337</v>
      </c>
      <c r="G471" t="s">
        <v>1563</v>
      </c>
      <c r="H471" t="s">
        <v>51</v>
      </c>
      <c r="I471" t="s">
        <v>26</v>
      </c>
      <c r="J471" t="s">
        <v>72</v>
      </c>
      <c r="K471" t="s">
        <v>73</v>
      </c>
      <c r="L471" t="s">
        <v>92</v>
      </c>
      <c r="M471">
        <v>600001</v>
      </c>
      <c r="N471" t="s">
        <v>1108</v>
      </c>
      <c r="O471" t="s">
        <v>44</v>
      </c>
      <c r="P471" t="s">
        <v>45</v>
      </c>
      <c r="Q471" t="s">
        <v>46</v>
      </c>
      <c r="R471" s="8">
        <v>76046.05</v>
      </c>
      <c r="S471">
        <v>3</v>
      </c>
      <c r="T471">
        <v>0.25</v>
      </c>
      <c r="U471" s="8">
        <v>-4145.16</v>
      </c>
      <c r="V471" t="s">
        <v>1561</v>
      </c>
      <c r="W471" t="s">
        <v>1561</v>
      </c>
    </row>
    <row r="472" spans="1:23">
      <c r="A472">
        <v>1471</v>
      </c>
      <c r="B472" t="s">
        <v>205</v>
      </c>
      <c r="C472" s="7">
        <v>45332</v>
      </c>
      <c r="D472" s="7">
        <v>45336</v>
      </c>
      <c r="E472" t="s">
        <v>22</v>
      </c>
      <c r="F472" t="s">
        <v>203</v>
      </c>
      <c r="G472" t="s">
        <v>1568</v>
      </c>
      <c r="H472" t="s">
        <v>108</v>
      </c>
      <c r="I472" t="s">
        <v>26</v>
      </c>
      <c r="J472" t="s">
        <v>131</v>
      </c>
      <c r="K472" t="s">
        <v>132</v>
      </c>
      <c r="L472" t="s">
        <v>29</v>
      </c>
      <c r="M472">
        <v>110001</v>
      </c>
      <c r="N472" t="s">
        <v>206</v>
      </c>
      <c r="O472" t="s">
        <v>44</v>
      </c>
      <c r="P472" t="s">
        <v>207</v>
      </c>
      <c r="Q472" t="s">
        <v>208</v>
      </c>
      <c r="R472" s="8">
        <v>35084.1</v>
      </c>
      <c r="S472">
        <v>1</v>
      </c>
      <c r="T472">
        <v>0.3</v>
      </c>
      <c r="U472" s="8">
        <v>-3062.93</v>
      </c>
      <c r="V472" t="s">
        <v>1561</v>
      </c>
      <c r="W472" t="s">
        <v>1561</v>
      </c>
    </row>
    <row r="473" spans="1:23">
      <c r="A473">
        <v>1472</v>
      </c>
      <c r="B473" t="s">
        <v>1383</v>
      </c>
      <c r="C473" s="7">
        <v>45328</v>
      </c>
      <c r="D473" s="7">
        <v>45331</v>
      </c>
      <c r="E473" t="s">
        <v>22</v>
      </c>
      <c r="F473" t="s">
        <v>810</v>
      </c>
      <c r="G473" t="s">
        <v>1568</v>
      </c>
      <c r="H473" t="s">
        <v>51</v>
      </c>
      <c r="I473" t="s">
        <v>26</v>
      </c>
      <c r="J473" t="s">
        <v>27</v>
      </c>
      <c r="K473" t="s">
        <v>28</v>
      </c>
      <c r="L473" t="s">
        <v>41</v>
      </c>
      <c r="M473">
        <v>673001</v>
      </c>
      <c r="N473" t="s">
        <v>1326</v>
      </c>
      <c r="O473" t="s">
        <v>83</v>
      </c>
      <c r="P473" t="s">
        <v>33</v>
      </c>
      <c r="Q473" t="s">
        <v>34</v>
      </c>
      <c r="R473" s="8">
        <v>4301.75</v>
      </c>
      <c r="S473">
        <v>3</v>
      </c>
      <c r="T473">
        <v>0</v>
      </c>
      <c r="U473" s="8">
        <v>1252.75</v>
      </c>
      <c r="V473" t="s">
        <v>1561</v>
      </c>
      <c r="W473" t="s">
        <v>1561</v>
      </c>
    </row>
    <row r="474" spans="1:23">
      <c r="A474">
        <v>1473</v>
      </c>
      <c r="B474" t="s">
        <v>253</v>
      </c>
      <c r="C474" s="7">
        <v>45583</v>
      </c>
      <c r="D474" s="7">
        <v>45589</v>
      </c>
      <c r="E474" t="s">
        <v>69</v>
      </c>
      <c r="F474" t="s">
        <v>142</v>
      </c>
      <c r="G474" t="s">
        <v>1560</v>
      </c>
      <c r="H474" t="s">
        <v>51</v>
      </c>
      <c r="I474" t="s">
        <v>26</v>
      </c>
      <c r="J474" t="s">
        <v>72</v>
      </c>
      <c r="K474" t="s">
        <v>73</v>
      </c>
      <c r="L474" t="s">
        <v>29</v>
      </c>
      <c r="M474">
        <v>400001</v>
      </c>
      <c r="N474" t="s">
        <v>199</v>
      </c>
      <c r="O474" t="s">
        <v>138</v>
      </c>
      <c r="P474" t="s">
        <v>121</v>
      </c>
      <c r="Q474" t="s">
        <v>122</v>
      </c>
      <c r="R474" s="8">
        <v>557.52</v>
      </c>
      <c r="S474">
        <v>1</v>
      </c>
      <c r="T474">
        <v>0.1</v>
      </c>
      <c r="U474" s="8">
        <v>56.86</v>
      </c>
      <c r="V474" t="s">
        <v>1561</v>
      </c>
      <c r="W474" t="s">
        <v>1561</v>
      </c>
    </row>
    <row r="475" spans="1:23">
      <c r="A475">
        <v>1474</v>
      </c>
      <c r="B475" t="s">
        <v>952</v>
      </c>
      <c r="C475" s="7">
        <v>45345</v>
      </c>
      <c r="D475" s="7">
        <v>45347</v>
      </c>
      <c r="E475" t="s">
        <v>69</v>
      </c>
      <c r="F475" t="s">
        <v>198</v>
      </c>
      <c r="G475" t="s">
        <v>1564</v>
      </c>
      <c r="H475" t="s">
        <v>25</v>
      </c>
      <c r="I475" t="s">
        <v>26</v>
      </c>
      <c r="J475" t="s">
        <v>27</v>
      </c>
      <c r="K475" t="s">
        <v>28</v>
      </c>
      <c r="L475" t="s">
        <v>63</v>
      </c>
      <c r="M475">
        <v>400001</v>
      </c>
      <c r="N475" t="s">
        <v>602</v>
      </c>
      <c r="O475" t="s">
        <v>138</v>
      </c>
      <c r="P475" t="s">
        <v>156</v>
      </c>
      <c r="Q475" t="s">
        <v>157</v>
      </c>
      <c r="R475" s="8">
        <v>1073.77</v>
      </c>
      <c r="S475">
        <v>4</v>
      </c>
      <c r="T475">
        <v>0.25</v>
      </c>
      <c r="U475" s="8">
        <v>48.32</v>
      </c>
      <c r="V475" t="s">
        <v>1561</v>
      </c>
      <c r="W475" t="s">
        <v>1561</v>
      </c>
    </row>
    <row r="476" spans="1:23">
      <c r="A476">
        <v>1475</v>
      </c>
      <c r="B476" t="s">
        <v>1481</v>
      </c>
      <c r="C476" s="7">
        <v>45573</v>
      </c>
      <c r="D476" s="7">
        <v>45576</v>
      </c>
      <c r="E476" t="s">
        <v>48</v>
      </c>
      <c r="F476" t="s">
        <v>271</v>
      </c>
      <c r="G476" t="s">
        <v>1575</v>
      </c>
      <c r="H476" t="s">
        <v>51</v>
      </c>
      <c r="I476" t="s">
        <v>26</v>
      </c>
      <c r="J476" t="s">
        <v>52</v>
      </c>
      <c r="K476" t="s">
        <v>52</v>
      </c>
      <c r="L476" t="s">
        <v>29</v>
      </c>
      <c r="M476">
        <v>110001</v>
      </c>
      <c r="N476" t="s">
        <v>1482</v>
      </c>
      <c r="O476" t="s">
        <v>138</v>
      </c>
      <c r="P476" t="s">
        <v>139</v>
      </c>
      <c r="Q476" t="s">
        <v>140</v>
      </c>
      <c r="R476" s="8">
        <v>1610.93</v>
      </c>
      <c r="S476">
        <v>2</v>
      </c>
      <c r="T476">
        <v>0.2</v>
      </c>
      <c r="U476" s="8">
        <v>118.26</v>
      </c>
      <c r="V476" t="s">
        <v>1561</v>
      </c>
      <c r="W476" t="s">
        <v>1561</v>
      </c>
    </row>
    <row r="477" spans="1:23">
      <c r="A477">
        <v>1476</v>
      </c>
      <c r="B477" t="s">
        <v>1473</v>
      </c>
      <c r="C477" s="7">
        <v>45573</v>
      </c>
      <c r="D477" s="7">
        <v>45579</v>
      </c>
      <c r="E477" t="s">
        <v>48</v>
      </c>
      <c r="F477" t="s">
        <v>203</v>
      </c>
      <c r="G477" t="s">
        <v>1562</v>
      </c>
      <c r="H477" t="s">
        <v>51</v>
      </c>
      <c r="I477" t="s">
        <v>26</v>
      </c>
      <c r="J477" t="s">
        <v>226</v>
      </c>
      <c r="K477" t="s">
        <v>110</v>
      </c>
      <c r="L477" t="s">
        <v>29</v>
      </c>
      <c r="M477">
        <v>560001</v>
      </c>
      <c r="N477" t="s">
        <v>1474</v>
      </c>
      <c r="O477" t="s">
        <v>138</v>
      </c>
      <c r="P477" t="s">
        <v>139</v>
      </c>
      <c r="Q477" t="s">
        <v>140</v>
      </c>
      <c r="R477" s="8">
        <v>2171.88</v>
      </c>
      <c r="S477">
        <v>3</v>
      </c>
      <c r="T477">
        <v>0.25</v>
      </c>
      <c r="U477" s="8">
        <v>88.17</v>
      </c>
      <c r="V477" t="s">
        <v>1561</v>
      </c>
      <c r="W477" t="s">
        <v>1561</v>
      </c>
    </row>
    <row r="478" spans="1:23">
      <c r="A478">
        <v>1477</v>
      </c>
      <c r="B478" t="s">
        <v>1419</v>
      </c>
      <c r="C478" s="7">
        <v>45446</v>
      </c>
      <c r="D478" s="7">
        <v>45447</v>
      </c>
      <c r="E478" t="s">
        <v>48</v>
      </c>
      <c r="F478" t="s">
        <v>583</v>
      </c>
      <c r="G478" t="s">
        <v>1565</v>
      </c>
      <c r="H478" t="s">
        <v>108</v>
      </c>
      <c r="I478" t="s">
        <v>26</v>
      </c>
      <c r="J478" t="s">
        <v>160</v>
      </c>
      <c r="K478" t="s">
        <v>161</v>
      </c>
      <c r="L478" t="s">
        <v>63</v>
      </c>
      <c r="M478">
        <v>673001</v>
      </c>
      <c r="N478" t="s">
        <v>1420</v>
      </c>
      <c r="O478" t="s">
        <v>44</v>
      </c>
      <c r="P478" t="s">
        <v>207</v>
      </c>
      <c r="Q478" t="s">
        <v>208</v>
      </c>
      <c r="R478" s="8">
        <v>140502.39999999999</v>
      </c>
      <c r="S478">
        <v>3</v>
      </c>
      <c r="T478">
        <v>0.05</v>
      </c>
      <c r="U478" s="8">
        <v>13145.19</v>
      </c>
      <c r="V478" t="s">
        <v>1561</v>
      </c>
      <c r="W478" t="s">
        <v>1561</v>
      </c>
    </row>
    <row r="479" spans="1:23">
      <c r="A479">
        <v>1478</v>
      </c>
      <c r="B479" t="s">
        <v>1057</v>
      </c>
      <c r="C479" s="7">
        <v>45340</v>
      </c>
      <c r="D479" s="7">
        <v>45341</v>
      </c>
      <c r="E479" t="s">
        <v>101</v>
      </c>
      <c r="F479" t="s">
        <v>551</v>
      </c>
      <c r="G479" t="s">
        <v>1571</v>
      </c>
      <c r="H479" t="s">
        <v>25</v>
      </c>
      <c r="I479" t="s">
        <v>26</v>
      </c>
      <c r="J479" t="s">
        <v>61</v>
      </c>
      <c r="K479" t="s">
        <v>62</v>
      </c>
      <c r="L479" t="s">
        <v>92</v>
      </c>
      <c r="M479">
        <v>695001</v>
      </c>
      <c r="N479" t="s">
        <v>364</v>
      </c>
      <c r="O479" t="s">
        <v>83</v>
      </c>
      <c r="P479" t="s">
        <v>33</v>
      </c>
      <c r="Q479" t="s">
        <v>34</v>
      </c>
      <c r="R479" s="8">
        <v>7876.29</v>
      </c>
      <c r="S479">
        <v>6</v>
      </c>
      <c r="T479">
        <v>0.05</v>
      </c>
      <c r="U479" s="8">
        <v>1613</v>
      </c>
      <c r="V479" t="s">
        <v>1561</v>
      </c>
      <c r="W479" t="s">
        <v>1561</v>
      </c>
    </row>
    <row r="480" spans="1:23">
      <c r="A480">
        <v>1479</v>
      </c>
      <c r="B480" t="s">
        <v>823</v>
      </c>
      <c r="C480" s="7">
        <v>45584</v>
      </c>
      <c r="D480" s="7">
        <v>45588</v>
      </c>
      <c r="E480" t="s">
        <v>69</v>
      </c>
      <c r="F480" t="s">
        <v>214</v>
      </c>
      <c r="G480" t="s">
        <v>1573</v>
      </c>
      <c r="H480" t="s">
        <v>51</v>
      </c>
      <c r="I480" t="s">
        <v>26</v>
      </c>
      <c r="J480" t="s">
        <v>79</v>
      </c>
      <c r="K480" t="s">
        <v>80</v>
      </c>
      <c r="L480" t="s">
        <v>63</v>
      </c>
      <c r="M480">
        <v>110001</v>
      </c>
      <c r="N480" t="s">
        <v>824</v>
      </c>
      <c r="O480" t="s">
        <v>44</v>
      </c>
      <c r="P480" t="s">
        <v>211</v>
      </c>
      <c r="Q480" t="s">
        <v>223</v>
      </c>
      <c r="R480" s="8">
        <v>9027.24</v>
      </c>
      <c r="S480">
        <v>5</v>
      </c>
      <c r="T480">
        <v>0</v>
      </c>
      <c r="U480" s="8">
        <v>768.07</v>
      </c>
      <c r="V480" t="s">
        <v>1561</v>
      </c>
      <c r="W480" t="s">
        <v>1561</v>
      </c>
    </row>
    <row r="481" spans="1:23">
      <c r="A481">
        <v>1480</v>
      </c>
      <c r="B481" t="s">
        <v>279</v>
      </c>
      <c r="C481" s="7">
        <v>45596</v>
      </c>
      <c r="D481" s="7">
        <v>45602</v>
      </c>
      <c r="E481" t="s">
        <v>48</v>
      </c>
      <c r="F481" t="s">
        <v>280</v>
      </c>
      <c r="G481" t="s">
        <v>1560</v>
      </c>
      <c r="H481" t="s">
        <v>25</v>
      </c>
      <c r="I481" t="s">
        <v>26</v>
      </c>
      <c r="J481" t="s">
        <v>166</v>
      </c>
      <c r="K481" t="s">
        <v>132</v>
      </c>
      <c r="L481" t="s">
        <v>29</v>
      </c>
      <c r="M481">
        <v>673001</v>
      </c>
      <c r="N481" t="s">
        <v>281</v>
      </c>
      <c r="O481" t="s">
        <v>138</v>
      </c>
      <c r="P481" t="s">
        <v>182</v>
      </c>
      <c r="Q481" t="s">
        <v>183</v>
      </c>
      <c r="R481" s="8">
        <v>1703.89</v>
      </c>
      <c r="S481">
        <v>4</v>
      </c>
      <c r="T481">
        <v>0</v>
      </c>
      <c r="U481" s="8">
        <v>381.34</v>
      </c>
      <c r="V481" t="s">
        <v>1561</v>
      </c>
      <c r="W481" t="s">
        <v>1561</v>
      </c>
    </row>
    <row r="482" spans="1:23">
      <c r="A482">
        <v>1481</v>
      </c>
      <c r="B482" t="s">
        <v>644</v>
      </c>
      <c r="C482" s="7">
        <v>45505</v>
      </c>
      <c r="D482" s="7">
        <v>45506</v>
      </c>
      <c r="E482" t="s">
        <v>69</v>
      </c>
      <c r="F482" t="s">
        <v>645</v>
      </c>
      <c r="G482" t="s">
        <v>1566</v>
      </c>
      <c r="H482" t="s">
        <v>25</v>
      </c>
      <c r="I482" t="s">
        <v>26</v>
      </c>
      <c r="J482" t="s">
        <v>346</v>
      </c>
      <c r="K482" t="s">
        <v>132</v>
      </c>
      <c r="L482" t="s">
        <v>41</v>
      </c>
      <c r="M482">
        <v>400001</v>
      </c>
      <c r="N482" t="s">
        <v>646</v>
      </c>
      <c r="O482" t="s">
        <v>188</v>
      </c>
      <c r="P482" t="s">
        <v>189</v>
      </c>
      <c r="Q482" t="s">
        <v>190</v>
      </c>
      <c r="R482" s="8">
        <v>8119.26</v>
      </c>
      <c r="S482">
        <v>2</v>
      </c>
      <c r="T482">
        <v>0.25</v>
      </c>
      <c r="U482" s="8">
        <v>-277.49</v>
      </c>
      <c r="V482" t="s">
        <v>1561</v>
      </c>
      <c r="W482" t="s">
        <v>1561</v>
      </c>
    </row>
    <row r="483" spans="1:23">
      <c r="A483">
        <v>1482</v>
      </c>
      <c r="B483" t="s">
        <v>552</v>
      </c>
      <c r="C483" s="7">
        <v>45568</v>
      </c>
      <c r="D483" s="7">
        <v>45573</v>
      </c>
      <c r="E483" t="s">
        <v>69</v>
      </c>
      <c r="F483" t="s">
        <v>553</v>
      </c>
      <c r="G483" t="s">
        <v>1568</v>
      </c>
      <c r="H483" t="s">
        <v>51</v>
      </c>
      <c r="I483" t="s">
        <v>26</v>
      </c>
      <c r="J483" t="s">
        <v>90</v>
      </c>
      <c r="K483" t="s">
        <v>91</v>
      </c>
      <c r="L483" t="s">
        <v>92</v>
      </c>
      <c r="M483">
        <v>682001</v>
      </c>
      <c r="N483" t="s">
        <v>554</v>
      </c>
      <c r="O483" t="s">
        <v>55</v>
      </c>
      <c r="P483" t="s">
        <v>98</v>
      </c>
      <c r="Q483" t="s">
        <v>99</v>
      </c>
      <c r="R483" s="8">
        <v>14734.17</v>
      </c>
      <c r="S483">
        <v>3</v>
      </c>
      <c r="T483">
        <v>0.2</v>
      </c>
      <c r="U483" s="8">
        <v>417.56</v>
      </c>
      <c r="V483" t="s">
        <v>1561</v>
      </c>
      <c r="W483" t="s">
        <v>1561</v>
      </c>
    </row>
    <row r="484" spans="1:23">
      <c r="A484">
        <v>1483</v>
      </c>
      <c r="B484" t="s">
        <v>963</v>
      </c>
      <c r="C484" s="7">
        <v>45405</v>
      </c>
      <c r="D484" s="7">
        <v>45409</v>
      </c>
      <c r="E484" t="s">
        <v>48</v>
      </c>
      <c r="F484" t="s">
        <v>274</v>
      </c>
      <c r="G484" t="s">
        <v>1564</v>
      </c>
      <c r="H484" t="s">
        <v>108</v>
      </c>
      <c r="I484" t="s">
        <v>26</v>
      </c>
      <c r="J484" t="s">
        <v>90</v>
      </c>
      <c r="K484" t="s">
        <v>91</v>
      </c>
      <c r="L484" t="s">
        <v>92</v>
      </c>
      <c r="M484">
        <v>682001</v>
      </c>
      <c r="N484" t="s">
        <v>964</v>
      </c>
      <c r="O484" t="s">
        <v>83</v>
      </c>
      <c r="P484" t="s">
        <v>33</v>
      </c>
      <c r="Q484" t="s">
        <v>34</v>
      </c>
      <c r="R484" s="8">
        <v>10821.34</v>
      </c>
      <c r="S484">
        <v>8</v>
      </c>
      <c r="T484">
        <v>0</v>
      </c>
      <c r="U484" s="8">
        <v>2510.11</v>
      </c>
      <c r="V484" t="s">
        <v>1561</v>
      </c>
      <c r="W484" t="s">
        <v>1561</v>
      </c>
    </row>
    <row r="485" spans="1:23">
      <c r="A485">
        <v>1484</v>
      </c>
      <c r="B485" t="s">
        <v>1140</v>
      </c>
      <c r="C485" s="7">
        <v>45426</v>
      </c>
      <c r="D485" s="7">
        <v>45427</v>
      </c>
      <c r="E485" t="s">
        <v>101</v>
      </c>
      <c r="F485" t="s">
        <v>490</v>
      </c>
      <c r="G485" t="s">
        <v>1564</v>
      </c>
      <c r="H485" t="s">
        <v>25</v>
      </c>
      <c r="I485" t="s">
        <v>26</v>
      </c>
      <c r="J485" t="s">
        <v>131</v>
      </c>
      <c r="K485" t="s">
        <v>132</v>
      </c>
      <c r="L485" t="s">
        <v>92</v>
      </c>
      <c r="M485">
        <v>110001</v>
      </c>
      <c r="N485" t="s">
        <v>1075</v>
      </c>
      <c r="O485" t="s">
        <v>138</v>
      </c>
      <c r="P485" t="s">
        <v>182</v>
      </c>
      <c r="Q485" t="s">
        <v>183</v>
      </c>
      <c r="R485" s="8">
        <v>349.33</v>
      </c>
      <c r="S485">
        <v>1</v>
      </c>
      <c r="T485">
        <v>0.25</v>
      </c>
      <c r="U485" s="8">
        <v>11.77</v>
      </c>
      <c r="V485" t="s">
        <v>1561</v>
      </c>
      <c r="W485" t="s">
        <v>1561</v>
      </c>
    </row>
    <row r="486" spans="1:23">
      <c r="A486">
        <v>1485</v>
      </c>
      <c r="B486" t="s">
        <v>1457</v>
      </c>
      <c r="C486" s="7">
        <v>45579</v>
      </c>
      <c r="D486" s="7">
        <v>45584</v>
      </c>
      <c r="E486" t="s">
        <v>69</v>
      </c>
      <c r="F486" t="s">
        <v>1124</v>
      </c>
      <c r="G486" t="s">
        <v>1573</v>
      </c>
      <c r="H486" t="s">
        <v>51</v>
      </c>
      <c r="I486" t="s">
        <v>26</v>
      </c>
      <c r="J486" t="s">
        <v>39</v>
      </c>
      <c r="K486" t="s">
        <v>40</v>
      </c>
      <c r="L486" t="s">
        <v>63</v>
      </c>
      <c r="M486">
        <v>110001</v>
      </c>
      <c r="N486" t="s">
        <v>1176</v>
      </c>
      <c r="O486" t="s">
        <v>138</v>
      </c>
      <c r="P486" t="s">
        <v>121</v>
      </c>
      <c r="Q486" t="s">
        <v>122</v>
      </c>
      <c r="R486" s="8">
        <v>1182.43</v>
      </c>
      <c r="S486">
        <v>2</v>
      </c>
      <c r="T486">
        <v>0.1</v>
      </c>
      <c r="U486" s="8">
        <v>157.72</v>
      </c>
      <c r="V486" t="s">
        <v>1561</v>
      </c>
      <c r="W486" t="s">
        <v>1561</v>
      </c>
    </row>
    <row r="487" spans="1:23">
      <c r="A487">
        <v>1486</v>
      </c>
      <c r="B487" t="s">
        <v>987</v>
      </c>
      <c r="C487" s="7">
        <v>45508</v>
      </c>
      <c r="D487" s="7">
        <v>45511</v>
      </c>
      <c r="E487" t="s">
        <v>48</v>
      </c>
      <c r="F487" t="s">
        <v>355</v>
      </c>
      <c r="G487" t="s">
        <v>1563</v>
      </c>
      <c r="H487" t="s">
        <v>108</v>
      </c>
      <c r="I487" t="s">
        <v>26</v>
      </c>
      <c r="J487" t="s">
        <v>226</v>
      </c>
      <c r="K487" t="s">
        <v>110</v>
      </c>
      <c r="L487" t="s">
        <v>63</v>
      </c>
      <c r="M487">
        <v>600001</v>
      </c>
      <c r="N487" t="s">
        <v>383</v>
      </c>
      <c r="O487" t="s">
        <v>138</v>
      </c>
      <c r="P487" t="s">
        <v>156</v>
      </c>
      <c r="Q487" t="s">
        <v>157</v>
      </c>
      <c r="R487" s="8">
        <v>292.45999999999998</v>
      </c>
      <c r="S487">
        <v>1</v>
      </c>
      <c r="T487">
        <v>0.25</v>
      </c>
      <c r="U487" s="8">
        <v>13.36</v>
      </c>
      <c r="V487" t="s">
        <v>1561</v>
      </c>
      <c r="W487" t="s">
        <v>1561</v>
      </c>
    </row>
    <row r="488" spans="1:23">
      <c r="A488">
        <v>1487</v>
      </c>
      <c r="B488" t="s">
        <v>769</v>
      </c>
      <c r="C488" s="7">
        <v>45611</v>
      </c>
      <c r="D488" s="7">
        <v>45613</v>
      </c>
      <c r="E488" t="s">
        <v>101</v>
      </c>
      <c r="F488" t="s">
        <v>517</v>
      </c>
      <c r="G488" t="s">
        <v>1567</v>
      </c>
      <c r="H488" t="s">
        <v>51</v>
      </c>
      <c r="I488" t="s">
        <v>26</v>
      </c>
      <c r="J488" t="s">
        <v>346</v>
      </c>
      <c r="K488" t="s">
        <v>132</v>
      </c>
      <c r="L488" t="s">
        <v>92</v>
      </c>
      <c r="M488">
        <v>682001</v>
      </c>
      <c r="N488" t="s">
        <v>128</v>
      </c>
      <c r="O488" t="s">
        <v>83</v>
      </c>
      <c r="P488" t="s">
        <v>84</v>
      </c>
      <c r="Q488" t="s">
        <v>85</v>
      </c>
      <c r="R488" s="8">
        <v>18586.830000000002</v>
      </c>
      <c r="S488">
        <v>8</v>
      </c>
      <c r="T488">
        <v>0.3</v>
      </c>
      <c r="U488" s="8">
        <v>876.57</v>
      </c>
      <c r="V488" t="s">
        <v>1561</v>
      </c>
      <c r="W488" t="s">
        <v>1561</v>
      </c>
    </row>
    <row r="489" spans="1:23">
      <c r="A489">
        <v>1488</v>
      </c>
      <c r="B489" t="s">
        <v>1025</v>
      </c>
      <c r="C489" s="7">
        <v>45319</v>
      </c>
      <c r="D489" s="7">
        <v>45321</v>
      </c>
      <c r="E489" t="s">
        <v>69</v>
      </c>
      <c r="F489" t="s">
        <v>301</v>
      </c>
      <c r="G489" t="s">
        <v>1572</v>
      </c>
      <c r="H489" t="s">
        <v>25</v>
      </c>
      <c r="I489" t="s">
        <v>26</v>
      </c>
      <c r="J489" t="s">
        <v>226</v>
      </c>
      <c r="K489" t="s">
        <v>110</v>
      </c>
      <c r="L489" t="s">
        <v>63</v>
      </c>
      <c r="M489">
        <v>673001</v>
      </c>
      <c r="N489" t="s">
        <v>879</v>
      </c>
      <c r="O489" t="s">
        <v>44</v>
      </c>
      <c r="P489" t="s">
        <v>211</v>
      </c>
      <c r="Q489" t="s">
        <v>212</v>
      </c>
      <c r="R489" s="8">
        <v>5549.94</v>
      </c>
      <c r="S489">
        <v>5</v>
      </c>
      <c r="T489">
        <v>0</v>
      </c>
      <c r="U489" s="8">
        <v>537.92999999999995</v>
      </c>
      <c r="V489" t="s">
        <v>1561</v>
      </c>
      <c r="W489" t="s">
        <v>1561</v>
      </c>
    </row>
    <row r="490" spans="1:23">
      <c r="A490">
        <v>1489</v>
      </c>
      <c r="B490" t="s">
        <v>1213</v>
      </c>
      <c r="C490" s="7">
        <v>45461</v>
      </c>
      <c r="D490" s="7">
        <v>45463</v>
      </c>
      <c r="E490" t="s">
        <v>69</v>
      </c>
      <c r="F490" t="s">
        <v>781</v>
      </c>
      <c r="G490" t="s">
        <v>1568</v>
      </c>
      <c r="H490" t="s">
        <v>51</v>
      </c>
      <c r="I490" t="s">
        <v>26</v>
      </c>
      <c r="J490" t="s">
        <v>160</v>
      </c>
      <c r="K490" t="s">
        <v>161</v>
      </c>
      <c r="L490" t="s">
        <v>63</v>
      </c>
      <c r="M490">
        <v>600001</v>
      </c>
      <c r="N490" t="s">
        <v>824</v>
      </c>
      <c r="O490" t="s">
        <v>83</v>
      </c>
      <c r="P490" t="s">
        <v>84</v>
      </c>
      <c r="Q490" t="s">
        <v>85</v>
      </c>
      <c r="R490" s="8">
        <v>6497.36</v>
      </c>
      <c r="S490">
        <v>2</v>
      </c>
      <c r="T490">
        <v>0</v>
      </c>
      <c r="U490" s="8">
        <v>1260.02</v>
      </c>
      <c r="V490" t="s">
        <v>1561</v>
      </c>
      <c r="W490" t="s">
        <v>1561</v>
      </c>
    </row>
    <row r="491" spans="1:23">
      <c r="A491">
        <v>1490</v>
      </c>
      <c r="B491" t="s">
        <v>1367</v>
      </c>
      <c r="C491" s="7">
        <v>45603</v>
      </c>
      <c r="D491" s="7">
        <v>45489</v>
      </c>
      <c r="E491" t="s">
        <v>22</v>
      </c>
      <c r="F491" t="s">
        <v>330</v>
      </c>
      <c r="G491" t="s">
        <v>1571</v>
      </c>
      <c r="H491" t="s">
        <v>108</v>
      </c>
      <c r="I491" t="s">
        <v>26</v>
      </c>
      <c r="J491" t="s">
        <v>79</v>
      </c>
      <c r="K491" t="s">
        <v>80</v>
      </c>
      <c r="L491" t="s">
        <v>41</v>
      </c>
      <c r="M491">
        <v>695001</v>
      </c>
      <c r="N491" t="s">
        <v>1368</v>
      </c>
      <c r="O491" t="s">
        <v>83</v>
      </c>
      <c r="P491" t="s">
        <v>33</v>
      </c>
      <c r="Q491" t="s">
        <v>34</v>
      </c>
      <c r="R491" s="8">
        <v>5596.74</v>
      </c>
      <c r="S491">
        <v>4</v>
      </c>
      <c r="T491">
        <v>0</v>
      </c>
      <c r="U491" s="8">
        <v>1466.94</v>
      </c>
      <c r="V491" t="s">
        <v>1561</v>
      </c>
      <c r="W491" t="s">
        <v>1561</v>
      </c>
    </row>
    <row r="492" spans="1:23">
      <c r="A492">
        <v>1491</v>
      </c>
      <c r="B492" t="s">
        <v>322</v>
      </c>
      <c r="C492" s="7">
        <v>45326</v>
      </c>
      <c r="D492" s="7">
        <v>45330</v>
      </c>
      <c r="E492" t="s">
        <v>48</v>
      </c>
      <c r="F492" t="s">
        <v>221</v>
      </c>
      <c r="G492" t="s">
        <v>1572</v>
      </c>
      <c r="H492" t="s">
        <v>25</v>
      </c>
      <c r="I492" t="s">
        <v>26</v>
      </c>
      <c r="J492" t="s">
        <v>27</v>
      </c>
      <c r="K492" t="s">
        <v>28</v>
      </c>
      <c r="L492" t="s">
        <v>63</v>
      </c>
      <c r="M492">
        <v>110001</v>
      </c>
      <c r="N492" t="s">
        <v>93</v>
      </c>
      <c r="O492" t="s">
        <v>83</v>
      </c>
      <c r="P492" t="s">
        <v>33</v>
      </c>
      <c r="Q492" t="s">
        <v>34</v>
      </c>
      <c r="R492" s="8">
        <v>1362.87</v>
      </c>
      <c r="S492">
        <v>1</v>
      </c>
      <c r="T492">
        <v>0</v>
      </c>
      <c r="U492" s="8">
        <v>386.87</v>
      </c>
      <c r="V492" t="s">
        <v>1561</v>
      </c>
      <c r="W492" t="s">
        <v>1561</v>
      </c>
    </row>
    <row r="493" spans="1:23">
      <c r="A493">
        <v>1492</v>
      </c>
      <c r="B493" t="s">
        <v>1498</v>
      </c>
      <c r="C493" s="7">
        <v>45486</v>
      </c>
      <c r="D493" s="7">
        <v>45491</v>
      </c>
      <c r="E493" t="s">
        <v>22</v>
      </c>
      <c r="F493" t="s">
        <v>315</v>
      </c>
      <c r="G493" t="s">
        <v>1563</v>
      </c>
      <c r="H493" t="s">
        <v>108</v>
      </c>
      <c r="I493" t="s">
        <v>26</v>
      </c>
      <c r="J493" t="s">
        <v>346</v>
      </c>
      <c r="K493" t="s">
        <v>132</v>
      </c>
      <c r="L493" t="s">
        <v>29</v>
      </c>
      <c r="M493">
        <v>110001</v>
      </c>
      <c r="N493" t="s">
        <v>243</v>
      </c>
      <c r="O493" t="s">
        <v>55</v>
      </c>
      <c r="P493" t="s">
        <v>66</v>
      </c>
      <c r="Q493" t="s">
        <v>67</v>
      </c>
      <c r="R493" s="8">
        <v>21505.43</v>
      </c>
      <c r="S493">
        <v>3</v>
      </c>
      <c r="T493">
        <v>0.1</v>
      </c>
      <c r="U493" s="8">
        <v>1609.02</v>
      </c>
      <c r="V493" t="s">
        <v>1561</v>
      </c>
      <c r="W493" t="s">
        <v>1561</v>
      </c>
    </row>
    <row r="494" spans="1:23">
      <c r="A494">
        <v>1493</v>
      </c>
      <c r="B494" t="s">
        <v>1395</v>
      </c>
      <c r="C494" s="7">
        <v>45579</v>
      </c>
      <c r="D494" s="7">
        <v>45585</v>
      </c>
      <c r="E494" t="s">
        <v>22</v>
      </c>
      <c r="F494" t="s">
        <v>517</v>
      </c>
      <c r="G494" t="s">
        <v>1565</v>
      </c>
      <c r="H494" t="s">
        <v>51</v>
      </c>
      <c r="I494" t="s">
        <v>26</v>
      </c>
      <c r="J494" t="s">
        <v>52</v>
      </c>
      <c r="K494" t="s">
        <v>52</v>
      </c>
      <c r="L494" t="s">
        <v>63</v>
      </c>
      <c r="M494">
        <v>695001</v>
      </c>
      <c r="N494" t="s">
        <v>256</v>
      </c>
      <c r="O494" t="s">
        <v>44</v>
      </c>
      <c r="P494" t="s">
        <v>45</v>
      </c>
      <c r="Q494" t="s">
        <v>46</v>
      </c>
      <c r="R494" s="8">
        <v>78360.17</v>
      </c>
      <c r="S494">
        <v>3</v>
      </c>
      <c r="T494">
        <v>0.3</v>
      </c>
      <c r="U494" s="8">
        <v>-6645.6</v>
      </c>
      <c r="V494" t="s">
        <v>1561</v>
      </c>
      <c r="W494" t="s">
        <v>1561</v>
      </c>
    </row>
    <row r="495" spans="1:23">
      <c r="A495">
        <v>1494</v>
      </c>
      <c r="B495" t="s">
        <v>841</v>
      </c>
      <c r="C495" s="7">
        <v>45473</v>
      </c>
      <c r="D495" s="7">
        <v>45479</v>
      </c>
      <c r="E495" t="s">
        <v>48</v>
      </c>
      <c r="F495" t="s">
        <v>395</v>
      </c>
      <c r="G495" t="s">
        <v>1568</v>
      </c>
      <c r="H495" t="s">
        <v>51</v>
      </c>
      <c r="I495" t="s">
        <v>26</v>
      </c>
      <c r="J495" t="s">
        <v>109</v>
      </c>
      <c r="K495" t="s">
        <v>110</v>
      </c>
      <c r="L495" t="s">
        <v>63</v>
      </c>
      <c r="M495">
        <v>110001</v>
      </c>
      <c r="N495" t="s">
        <v>842</v>
      </c>
      <c r="O495" t="s">
        <v>83</v>
      </c>
      <c r="P495" t="s">
        <v>33</v>
      </c>
      <c r="Q495" t="s">
        <v>34</v>
      </c>
      <c r="R495" s="8">
        <v>2307.52</v>
      </c>
      <c r="S495">
        <v>2</v>
      </c>
      <c r="T495">
        <v>0.2</v>
      </c>
      <c r="U495" s="8">
        <v>267.88</v>
      </c>
      <c r="V495" t="s">
        <v>1561</v>
      </c>
      <c r="W495" t="s">
        <v>1561</v>
      </c>
    </row>
    <row r="496" spans="1:23">
      <c r="A496">
        <v>1495</v>
      </c>
      <c r="B496" t="s">
        <v>1068</v>
      </c>
      <c r="C496" s="7">
        <v>45576</v>
      </c>
      <c r="D496" s="7">
        <v>45579</v>
      </c>
      <c r="E496" t="s">
        <v>69</v>
      </c>
      <c r="F496" t="s">
        <v>309</v>
      </c>
      <c r="G496" t="s">
        <v>1563</v>
      </c>
      <c r="H496" t="s">
        <v>108</v>
      </c>
      <c r="I496" t="s">
        <v>26</v>
      </c>
      <c r="J496" t="s">
        <v>90</v>
      </c>
      <c r="K496" t="s">
        <v>91</v>
      </c>
      <c r="L496" t="s">
        <v>29</v>
      </c>
      <c r="M496">
        <v>400001</v>
      </c>
      <c r="N496" t="s">
        <v>351</v>
      </c>
      <c r="O496" t="s">
        <v>55</v>
      </c>
      <c r="P496" t="s">
        <v>66</v>
      </c>
      <c r="Q496" t="s">
        <v>67</v>
      </c>
      <c r="R496" s="8">
        <v>48930.64</v>
      </c>
      <c r="S496">
        <v>6</v>
      </c>
      <c r="T496">
        <v>0</v>
      </c>
      <c r="U496" s="8">
        <v>9078.01</v>
      </c>
      <c r="V496" t="s">
        <v>1561</v>
      </c>
      <c r="W496" t="s">
        <v>1561</v>
      </c>
    </row>
    <row r="497" spans="1:23">
      <c r="A497">
        <v>1496</v>
      </c>
      <c r="B497" t="s">
        <v>1082</v>
      </c>
      <c r="C497" s="7">
        <v>45505</v>
      </c>
      <c r="D497" s="7">
        <v>45507</v>
      </c>
      <c r="E497" t="s">
        <v>69</v>
      </c>
      <c r="F497" t="s">
        <v>791</v>
      </c>
      <c r="G497" t="s">
        <v>1570</v>
      </c>
      <c r="H497" t="s">
        <v>51</v>
      </c>
      <c r="I497" t="s">
        <v>26</v>
      </c>
      <c r="J497" t="s">
        <v>131</v>
      </c>
      <c r="K497" t="s">
        <v>132</v>
      </c>
      <c r="L497" t="s">
        <v>63</v>
      </c>
      <c r="M497">
        <v>560001</v>
      </c>
      <c r="N497" t="s">
        <v>1083</v>
      </c>
      <c r="O497" t="s">
        <v>83</v>
      </c>
      <c r="P497" t="s">
        <v>33</v>
      </c>
      <c r="Q497" t="s">
        <v>34</v>
      </c>
      <c r="R497" s="8">
        <v>9242.5400000000009</v>
      </c>
      <c r="S497">
        <v>7</v>
      </c>
      <c r="T497">
        <v>0.1</v>
      </c>
      <c r="U497" s="8">
        <v>1876.32</v>
      </c>
      <c r="V497" t="s">
        <v>1561</v>
      </c>
      <c r="W497" t="s">
        <v>1561</v>
      </c>
    </row>
    <row r="498" spans="1:23">
      <c r="A498">
        <v>1497</v>
      </c>
      <c r="B498" t="s">
        <v>1271</v>
      </c>
      <c r="C498" s="7">
        <v>45362</v>
      </c>
      <c r="D498" s="7">
        <v>45365</v>
      </c>
      <c r="E498" t="s">
        <v>69</v>
      </c>
      <c r="F498" t="s">
        <v>235</v>
      </c>
      <c r="G498" t="s">
        <v>1577</v>
      </c>
      <c r="H498" t="s">
        <v>25</v>
      </c>
      <c r="I498" t="s">
        <v>26</v>
      </c>
      <c r="J498" t="s">
        <v>166</v>
      </c>
      <c r="K498" t="s">
        <v>132</v>
      </c>
      <c r="L498" t="s">
        <v>92</v>
      </c>
      <c r="M498">
        <v>400001</v>
      </c>
      <c r="N498" t="s">
        <v>1272</v>
      </c>
      <c r="O498" t="s">
        <v>44</v>
      </c>
      <c r="P498" t="s">
        <v>211</v>
      </c>
      <c r="Q498" t="s">
        <v>223</v>
      </c>
      <c r="R498" s="8">
        <v>4682.82</v>
      </c>
      <c r="S498">
        <v>3</v>
      </c>
      <c r="T498">
        <v>0.1</v>
      </c>
      <c r="U498" s="8">
        <v>220.23</v>
      </c>
      <c r="V498" t="s">
        <v>1561</v>
      </c>
      <c r="W498" t="s">
        <v>1561</v>
      </c>
    </row>
    <row r="499" spans="1:23">
      <c r="A499">
        <v>1498</v>
      </c>
      <c r="B499" t="s">
        <v>813</v>
      </c>
      <c r="C499" s="7">
        <v>45386</v>
      </c>
      <c r="D499" s="7">
        <v>45389</v>
      </c>
      <c r="E499" t="s">
        <v>69</v>
      </c>
      <c r="F499" t="s">
        <v>214</v>
      </c>
      <c r="G499" t="s">
        <v>1569</v>
      </c>
      <c r="H499" t="s">
        <v>51</v>
      </c>
      <c r="I499" t="s">
        <v>26</v>
      </c>
      <c r="J499" t="s">
        <v>166</v>
      </c>
      <c r="K499" t="s">
        <v>132</v>
      </c>
      <c r="L499" t="s">
        <v>63</v>
      </c>
      <c r="M499">
        <v>560001</v>
      </c>
      <c r="N499" t="s">
        <v>814</v>
      </c>
      <c r="O499" t="s">
        <v>55</v>
      </c>
      <c r="P499" t="s">
        <v>56</v>
      </c>
      <c r="Q499" t="s">
        <v>57</v>
      </c>
      <c r="R499" s="8">
        <v>21119.53</v>
      </c>
      <c r="S499">
        <v>3</v>
      </c>
      <c r="T499">
        <v>0</v>
      </c>
      <c r="U499" s="8">
        <v>2689.08</v>
      </c>
      <c r="V499" t="s">
        <v>1561</v>
      </c>
      <c r="W499" t="s">
        <v>1561</v>
      </c>
    </row>
    <row r="500" spans="1:23">
      <c r="A500">
        <v>1499</v>
      </c>
      <c r="B500" t="s">
        <v>1377</v>
      </c>
      <c r="C500" s="7">
        <v>45369</v>
      </c>
      <c r="D500" s="7">
        <v>45371</v>
      </c>
      <c r="E500" t="s">
        <v>22</v>
      </c>
      <c r="F500" t="s">
        <v>736</v>
      </c>
      <c r="G500" t="s">
        <v>1571</v>
      </c>
      <c r="H500" t="s">
        <v>25</v>
      </c>
      <c r="I500" t="s">
        <v>26</v>
      </c>
      <c r="J500" t="s">
        <v>115</v>
      </c>
      <c r="K500" t="s">
        <v>116</v>
      </c>
      <c r="L500" t="s">
        <v>41</v>
      </c>
      <c r="M500">
        <v>110001</v>
      </c>
      <c r="N500" t="s">
        <v>1378</v>
      </c>
      <c r="O500" t="s">
        <v>138</v>
      </c>
      <c r="P500" t="s">
        <v>182</v>
      </c>
      <c r="Q500" t="s">
        <v>183</v>
      </c>
      <c r="R500" s="8">
        <v>2040.2</v>
      </c>
      <c r="S500">
        <v>5</v>
      </c>
      <c r="T500">
        <v>0.15</v>
      </c>
      <c r="U500" s="8">
        <v>171.15</v>
      </c>
      <c r="V500" t="s">
        <v>1561</v>
      </c>
      <c r="W500" t="s">
        <v>1561</v>
      </c>
    </row>
    <row r="501" spans="1:23">
      <c r="A501">
        <v>1500</v>
      </c>
      <c r="B501" t="s">
        <v>1029</v>
      </c>
      <c r="C501" s="7">
        <v>45410</v>
      </c>
      <c r="D501" s="7">
        <v>45416</v>
      </c>
      <c r="E501" t="s">
        <v>22</v>
      </c>
      <c r="F501" t="s">
        <v>551</v>
      </c>
      <c r="G501" t="s">
        <v>1573</v>
      </c>
      <c r="H501" t="s">
        <v>25</v>
      </c>
      <c r="I501" t="s">
        <v>26</v>
      </c>
      <c r="J501" t="s">
        <v>79</v>
      </c>
      <c r="K501" t="s">
        <v>80</v>
      </c>
      <c r="L501" t="s">
        <v>29</v>
      </c>
      <c r="M501">
        <v>682001</v>
      </c>
      <c r="N501" t="s">
        <v>1030</v>
      </c>
      <c r="O501" t="s">
        <v>55</v>
      </c>
      <c r="P501" t="s">
        <v>66</v>
      </c>
      <c r="Q501" t="s">
        <v>67</v>
      </c>
      <c r="R501" s="8">
        <v>24603.27</v>
      </c>
      <c r="S501">
        <v>3</v>
      </c>
      <c r="T501">
        <v>0.1</v>
      </c>
      <c r="U501" s="8">
        <v>2274.21</v>
      </c>
      <c r="V501" t="s">
        <v>1561</v>
      </c>
      <c r="W501" t="s">
        <v>1561</v>
      </c>
    </row>
    <row r="502" spans="1:23">
      <c r="A502">
        <v>1501</v>
      </c>
      <c r="B502" t="s">
        <v>1008</v>
      </c>
      <c r="C502" s="7">
        <v>45490</v>
      </c>
      <c r="D502" s="7">
        <v>45494</v>
      </c>
      <c r="E502" t="s">
        <v>101</v>
      </c>
      <c r="F502" t="s">
        <v>526</v>
      </c>
      <c r="G502" t="s">
        <v>1571</v>
      </c>
      <c r="H502" t="s">
        <v>51</v>
      </c>
      <c r="I502" t="s">
        <v>26</v>
      </c>
      <c r="J502" t="s">
        <v>61</v>
      </c>
      <c r="K502" t="s">
        <v>62</v>
      </c>
      <c r="L502" t="s">
        <v>92</v>
      </c>
      <c r="M502">
        <v>682001</v>
      </c>
      <c r="N502" t="s">
        <v>150</v>
      </c>
      <c r="O502" t="s">
        <v>138</v>
      </c>
      <c r="P502" t="s">
        <v>139</v>
      </c>
      <c r="Q502" t="s">
        <v>140</v>
      </c>
      <c r="R502" s="8">
        <v>999999.99</v>
      </c>
      <c r="S502">
        <v>3</v>
      </c>
      <c r="T502">
        <v>0.05</v>
      </c>
      <c r="U502" s="8">
        <v>439.68</v>
      </c>
      <c r="V502" t="s">
        <v>1561</v>
      </c>
      <c r="W502" t="s">
        <v>1561</v>
      </c>
    </row>
    <row r="503" spans="1:23">
      <c r="A503">
        <v>1502</v>
      </c>
      <c r="B503" t="s">
        <v>105</v>
      </c>
      <c r="C503" s="7">
        <v>45405</v>
      </c>
      <c r="D503" s="7">
        <v>45411</v>
      </c>
      <c r="E503" t="s">
        <v>69</v>
      </c>
      <c r="F503" t="s">
        <v>106</v>
      </c>
      <c r="G503" t="s">
        <v>1565</v>
      </c>
      <c r="H503" t="s">
        <v>108</v>
      </c>
      <c r="I503" t="s">
        <v>26</v>
      </c>
      <c r="J503" t="s">
        <v>109</v>
      </c>
      <c r="K503" t="s">
        <v>110</v>
      </c>
      <c r="L503" t="s">
        <v>41</v>
      </c>
      <c r="M503">
        <v>682001</v>
      </c>
      <c r="N503" t="s">
        <v>111</v>
      </c>
      <c r="O503" t="s">
        <v>83</v>
      </c>
      <c r="P503" t="s">
        <v>84</v>
      </c>
      <c r="Q503" t="s">
        <v>85</v>
      </c>
      <c r="R503" s="8">
        <v>15259.27</v>
      </c>
      <c r="S503">
        <v>6</v>
      </c>
      <c r="T503">
        <v>0.25</v>
      </c>
      <c r="U503" s="8">
        <v>1490.22</v>
      </c>
      <c r="V503" t="s">
        <v>1561</v>
      </c>
      <c r="W503" t="s">
        <v>1561</v>
      </c>
    </row>
    <row r="504" spans="1:23">
      <c r="A504">
        <v>1503</v>
      </c>
      <c r="B504" t="s">
        <v>1352</v>
      </c>
      <c r="C504" s="7">
        <v>45418</v>
      </c>
      <c r="D504" s="7">
        <v>45422</v>
      </c>
      <c r="E504" t="s">
        <v>101</v>
      </c>
      <c r="F504" t="s">
        <v>87</v>
      </c>
      <c r="G504" t="s">
        <v>1569</v>
      </c>
      <c r="H504" t="s">
        <v>51</v>
      </c>
      <c r="I504" t="s">
        <v>26</v>
      </c>
      <c r="J504" t="s">
        <v>61</v>
      </c>
      <c r="K504" t="s">
        <v>62</v>
      </c>
      <c r="L504" t="s">
        <v>29</v>
      </c>
      <c r="M504">
        <v>400001</v>
      </c>
      <c r="N504" t="s">
        <v>1353</v>
      </c>
      <c r="O504" t="s">
        <v>138</v>
      </c>
      <c r="P504" t="s">
        <v>139</v>
      </c>
      <c r="Q504" t="s">
        <v>140</v>
      </c>
      <c r="R504" s="8">
        <v>1395.24</v>
      </c>
      <c r="S504">
        <v>2</v>
      </c>
      <c r="T504">
        <v>0.3</v>
      </c>
      <c r="U504" s="8">
        <v>7.53</v>
      </c>
      <c r="V504" t="s">
        <v>1561</v>
      </c>
      <c r="W504" t="s">
        <v>1561</v>
      </c>
    </row>
    <row r="505" spans="1:23">
      <c r="A505">
        <v>1504</v>
      </c>
      <c r="B505" t="s">
        <v>501</v>
      </c>
      <c r="C505" s="7">
        <v>45558</v>
      </c>
      <c r="D505" s="7">
        <v>45559</v>
      </c>
      <c r="E505" t="s">
        <v>101</v>
      </c>
      <c r="F505" t="s">
        <v>192</v>
      </c>
      <c r="G505" t="s">
        <v>1572</v>
      </c>
      <c r="H505" t="s">
        <v>108</v>
      </c>
      <c r="I505" t="s">
        <v>26</v>
      </c>
      <c r="J505" t="s">
        <v>109</v>
      </c>
      <c r="K505" t="s">
        <v>110</v>
      </c>
      <c r="L505" t="s">
        <v>41</v>
      </c>
      <c r="M505">
        <v>682001</v>
      </c>
      <c r="N505" t="s">
        <v>502</v>
      </c>
      <c r="O505" t="s">
        <v>138</v>
      </c>
      <c r="P505" t="s">
        <v>139</v>
      </c>
      <c r="Q505" t="s">
        <v>140</v>
      </c>
      <c r="R505" s="8">
        <v>2937.68</v>
      </c>
      <c r="S505">
        <v>3</v>
      </c>
      <c r="T505">
        <v>0</v>
      </c>
      <c r="U505" s="8">
        <v>690.12</v>
      </c>
      <c r="V505" t="s">
        <v>1561</v>
      </c>
      <c r="W505" t="s">
        <v>1561</v>
      </c>
    </row>
    <row r="506" spans="1:23">
      <c r="A506">
        <v>1505</v>
      </c>
      <c r="B506" t="s">
        <v>1460</v>
      </c>
      <c r="C506" s="7">
        <v>45556</v>
      </c>
      <c r="D506" s="7">
        <v>45562</v>
      </c>
      <c r="E506" t="s">
        <v>22</v>
      </c>
      <c r="F506" t="s">
        <v>355</v>
      </c>
      <c r="G506" t="s">
        <v>1570</v>
      </c>
      <c r="H506" t="s">
        <v>108</v>
      </c>
      <c r="I506" t="s">
        <v>26</v>
      </c>
      <c r="J506" t="s">
        <v>52</v>
      </c>
      <c r="K506" t="s">
        <v>52</v>
      </c>
      <c r="L506" t="s">
        <v>29</v>
      </c>
      <c r="M506">
        <v>560001</v>
      </c>
      <c r="N506" t="s">
        <v>1461</v>
      </c>
      <c r="O506" t="s">
        <v>55</v>
      </c>
      <c r="P506" t="s">
        <v>98</v>
      </c>
      <c r="Q506" t="s">
        <v>99</v>
      </c>
      <c r="R506" s="8">
        <v>4607.75</v>
      </c>
      <c r="S506">
        <v>1</v>
      </c>
      <c r="T506">
        <v>0.25</v>
      </c>
      <c r="U506" s="8">
        <v>-11.46</v>
      </c>
      <c r="V506" t="s">
        <v>1561</v>
      </c>
      <c r="W506" t="s">
        <v>1561</v>
      </c>
    </row>
    <row r="507" spans="1:23">
      <c r="A507">
        <v>1506</v>
      </c>
      <c r="B507" t="s">
        <v>1297</v>
      </c>
      <c r="C507" s="7">
        <v>45328</v>
      </c>
      <c r="D507" s="7">
        <v>45606</v>
      </c>
      <c r="E507" t="s">
        <v>69</v>
      </c>
      <c r="F507" t="s">
        <v>598</v>
      </c>
      <c r="G507" t="s">
        <v>1572</v>
      </c>
      <c r="H507" t="s">
        <v>51</v>
      </c>
      <c r="I507" t="s">
        <v>26</v>
      </c>
      <c r="J507" t="s">
        <v>27</v>
      </c>
      <c r="K507" t="s">
        <v>28</v>
      </c>
      <c r="L507" t="s">
        <v>29</v>
      </c>
      <c r="M507">
        <v>673001</v>
      </c>
      <c r="N507" t="s">
        <v>379</v>
      </c>
      <c r="O507" t="s">
        <v>188</v>
      </c>
      <c r="P507" t="s">
        <v>189</v>
      </c>
      <c r="Q507" t="s">
        <v>386</v>
      </c>
      <c r="R507" s="8">
        <v>1786.59</v>
      </c>
      <c r="S507">
        <v>1</v>
      </c>
      <c r="T507">
        <v>0.15</v>
      </c>
      <c r="U507" s="8">
        <v>72.22</v>
      </c>
      <c r="V507" t="s">
        <v>1561</v>
      </c>
      <c r="W507" t="s">
        <v>1561</v>
      </c>
    </row>
    <row r="508" spans="1:23">
      <c r="A508">
        <v>1507</v>
      </c>
      <c r="B508" t="s">
        <v>320</v>
      </c>
      <c r="C508" s="7">
        <v>45493</v>
      </c>
      <c r="D508" s="7">
        <v>45497</v>
      </c>
      <c r="E508" t="s">
        <v>48</v>
      </c>
      <c r="F508" t="s">
        <v>260</v>
      </c>
      <c r="G508" t="s">
        <v>1569</v>
      </c>
      <c r="H508" t="s">
        <v>51</v>
      </c>
      <c r="I508" t="s">
        <v>26</v>
      </c>
      <c r="J508" t="s">
        <v>52</v>
      </c>
      <c r="K508" t="s">
        <v>52</v>
      </c>
      <c r="L508" t="s">
        <v>92</v>
      </c>
      <c r="M508">
        <v>560001</v>
      </c>
      <c r="N508" t="s">
        <v>321</v>
      </c>
      <c r="O508" t="s">
        <v>44</v>
      </c>
      <c r="P508" t="s">
        <v>45</v>
      </c>
      <c r="Q508" t="s">
        <v>46</v>
      </c>
      <c r="R508" s="8">
        <v>109889.68</v>
      </c>
      <c r="S508">
        <v>3</v>
      </c>
      <c r="T508">
        <v>0.05</v>
      </c>
      <c r="U508" s="8">
        <v>6555.23</v>
      </c>
      <c r="V508" t="s">
        <v>1561</v>
      </c>
      <c r="W508" t="s">
        <v>1561</v>
      </c>
    </row>
    <row r="509" spans="1:23">
      <c r="A509">
        <v>1508</v>
      </c>
      <c r="B509" t="s">
        <v>783</v>
      </c>
      <c r="C509" s="7">
        <v>45457</v>
      </c>
      <c r="D509" s="7">
        <v>45463</v>
      </c>
      <c r="E509" t="s">
        <v>69</v>
      </c>
      <c r="F509" t="s">
        <v>225</v>
      </c>
      <c r="G509" t="s">
        <v>1560</v>
      </c>
      <c r="H509" t="s">
        <v>51</v>
      </c>
      <c r="I509" t="s">
        <v>26</v>
      </c>
      <c r="J509" t="s">
        <v>160</v>
      </c>
      <c r="K509" t="s">
        <v>161</v>
      </c>
      <c r="L509" t="s">
        <v>41</v>
      </c>
      <c r="M509">
        <v>673001</v>
      </c>
      <c r="N509" t="s">
        <v>407</v>
      </c>
      <c r="O509" t="s">
        <v>188</v>
      </c>
      <c r="P509" t="s">
        <v>189</v>
      </c>
      <c r="Q509" t="s">
        <v>190</v>
      </c>
      <c r="R509" s="8">
        <v>10184.32</v>
      </c>
      <c r="S509">
        <v>2</v>
      </c>
      <c r="T509">
        <v>0.15</v>
      </c>
      <c r="U509" s="8">
        <v>401.37</v>
      </c>
      <c r="V509" t="s">
        <v>1561</v>
      </c>
      <c r="W509" t="s">
        <v>1561</v>
      </c>
    </row>
    <row r="510" spans="1:23">
      <c r="A510">
        <v>1509</v>
      </c>
      <c r="B510" t="s">
        <v>1435</v>
      </c>
      <c r="C510" s="7">
        <v>45553</v>
      </c>
      <c r="D510" s="7">
        <v>45558</v>
      </c>
      <c r="E510" t="s">
        <v>69</v>
      </c>
      <c r="F510" t="s">
        <v>678</v>
      </c>
      <c r="G510" t="s">
        <v>1568</v>
      </c>
      <c r="H510" t="s">
        <v>25</v>
      </c>
      <c r="I510" t="s">
        <v>26</v>
      </c>
      <c r="J510" t="s">
        <v>160</v>
      </c>
      <c r="K510" t="s">
        <v>161</v>
      </c>
      <c r="L510" t="s">
        <v>29</v>
      </c>
      <c r="M510">
        <v>673001</v>
      </c>
      <c r="N510" t="s">
        <v>137</v>
      </c>
      <c r="O510" t="s">
        <v>138</v>
      </c>
      <c r="P510" t="s">
        <v>182</v>
      </c>
      <c r="Q510" t="s">
        <v>183</v>
      </c>
      <c r="R510" s="8">
        <v>320.25</v>
      </c>
      <c r="S510">
        <v>1</v>
      </c>
      <c r="T510">
        <v>0.25</v>
      </c>
      <c r="U510" s="8">
        <v>12.42</v>
      </c>
      <c r="V510" t="s">
        <v>1561</v>
      </c>
      <c r="W510" t="s">
        <v>1561</v>
      </c>
    </row>
    <row r="511" spans="1:23">
      <c r="A511">
        <v>1510</v>
      </c>
      <c r="B511" t="s">
        <v>1264</v>
      </c>
      <c r="C511" s="7">
        <v>45375</v>
      </c>
      <c r="D511" s="7">
        <v>45377</v>
      </c>
      <c r="E511" t="s">
        <v>69</v>
      </c>
      <c r="F511" t="s">
        <v>295</v>
      </c>
      <c r="G511" t="s">
        <v>1560</v>
      </c>
      <c r="H511" t="s">
        <v>51</v>
      </c>
      <c r="I511" t="s">
        <v>26</v>
      </c>
      <c r="J511" t="s">
        <v>166</v>
      </c>
      <c r="K511" t="s">
        <v>132</v>
      </c>
      <c r="L511" t="s">
        <v>41</v>
      </c>
      <c r="M511">
        <v>560001</v>
      </c>
      <c r="N511" t="s">
        <v>1265</v>
      </c>
      <c r="O511" t="s">
        <v>188</v>
      </c>
      <c r="P511" t="s">
        <v>189</v>
      </c>
      <c r="Q511" t="s">
        <v>190</v>
      </c>
      <c r="R511" s="8">
        <v>35257.769999999997</v>
      </c>
      <c r="S511">
        <v>6</v>
      </c>
      <c r="T511">
        <v>0.05</v>
      </c>
      <c r="U511" s="8">
        <v>2636.57</v>
      </c>
      <c r="V511" t="s">
        <v>1561</v>
      </c>
      <c r="W511" t="s">
        <v>1561</v>
      </c>
    </row>
    <row r="512" spans="1:23">
      <c r="A512">
        <v>1511</v>
      </c>
      <c r="B512" t="s">
        <v>1477</v>
      </c>
      <c r="C512" s="7">
        <v>45352</v>
      </c>
      <c r="D512" s="7">
        <v>45354</v>
      </c>
      <c r="E512" t="s">
        <v>69</v>
      </c>
      <c r="F512" t="s">
        <v>180</v>
      </c>
      <c r="G512" t="s">
        <v>1574</v>
      </c>
      <c r="H512" t="s">
        <v>25</v>
      </c>
      <c r="I512" t="s">
        <v>26</v>
      </c>
      <c r="J512" t="s">
        <v>115</v>
      </c>
      <c r="K512" t="s">
        <v>116</v>
      </c>
      <c r="L512" t="s">
        <v>63</v>
      </c>
      <c r="M512">
        <v>673001</v>
      </c>
      <c r="N512" t="s">
        <v>1478</v>
      </c>
      <c r="O512" t="s">
        <v>83</v>
      </c>
      <c r="P512" t="s">
        <v>33</v>
      </c>
      <c r="Q512" t="s">
        <v>34</v>
      </c>
      <c r="R512" s="8">
        <v>2744.02</v>
      </c>
      <c r="S512">
        <v>2</v>
      </c>
      <c r="T512">
        <v>0.05</v>
      </c>
      <c r="U512" s="8">
        <v>536.35</v>
      </c>
      <c r="V512" t="s">
        <v>1561</v>
      </c>
      <c r="W512" t="s">
        <v>1561</v>
      </c>
    </row>
    <row r="513" spans="1:23">
      <c r="A513">
        <v>1512</v>
      </c>
      <c r="B513" t="s">
        <v>1042</v>
      </c>
      <c r="C513" s="7">
        <v>45413</v>
      </c>
      <c r="D513" s="7">
        <v>45415</v>
      </c>
      <c r="E513" t="s">
        <v>101</v>
      </c>
      <c r="F513" t="s">
        <v>192</v>
      </c>
      <c r="G513" t="s">
        <v>1564</v>
      </c>
      <c r="H513" t="s">
        <v>51</v>
      </c>
      <c r="I513" t="s">
        <v>26</v>
      </c>
      <c r="J513" t="s">
        <v>39</v>
      </c>
      <c r="K513" t="s">
        <v>40</v>
      </c>
      <c r="L513" t="s">
        <v>29</v>
      </c>
      <c r="M513">
        <v>673001</v>
      </c>
      <c r="N513" t="s">
        <v>1043</v>
      </c>
      <c r="O513" t="s">
        <v>188</v>
      </c>
      <c r="P513" t="s">
        <v>189</v>
      </c>
      <c r="Q513" t="s">
        <v>386</v>
      </c>
      <c r="R513" s="8">
        <v>8222.86</v>
      </c>
      <c r="S513">
        <v>5</v>
      </c>
      <c r="T513">
        <v>0.3</v>
      </c>
      <c r="U513" s="8">
        <v>-660.37</v>
      </c>
      <c r="V513" t="s">
        <v>1561</v>
      </c>
      <c r="W513" t="s">
        <v>1561</v>
      </c>
    </row>
    <row r="514" spans="1:23">
      <c r="A514">
        <v>1513</v>
      </c>
      <c r="B514" t="s">
        <v>950</v>
      </c>
      <c r="C514" s="7">
        <v>45317</v>
      </c>
      <c r="D514" s="7">
        <v>45319</v>
      </c>
      <c r="E514" t="s">
        <v>69</v>
      </c>
      <c r="F514" t="s">
        <v>345</v>
      </c>
      <c r="G514" t="s">
        <v>1566</v>
      </c>
      <c r="H514" t="s">
        <v>51</v>
      </c>
      <c r="I514" t="s">
        <v>26</v>
      </c>
      <c r="J514" t="s">
        <v>79</v>
      </c>
      <c r="K514" t="s">
        <v>80</v>
      </c>
      <c r="L514" t="s">
        <v>63</v>
      </c>
      <c r="M514">
        <v>673001</v>
      </c>
      <c r="N514" t="s">
        <v>951</v>
      </c>
      <c r="O514" t="s">
        <v>44</v>
      </c>
      <c r="P514" t="s">
        <v>207</v>
      </c>
      <c r="Q514" t="s">
        <v>208</v>
      </c>
      <c r="R514" s="8">
        <v>150380</v>
      </c>
      <c r="S514">
        <v>3</v>
      </c>
      <c r="T514">
        <v>0.1</v>
      </c>
      <c r="U514" s="8">
        <v>6679.85</v>
      </c>
      <c r="V514" t="s">
        <v>1561</v>
      </c>
      <c r="W514" t="s">
        <v>1561</v>
      </c>
    </row>
    <row r="515" spans="1:23">
      <c r="A515">
        <v>1514</v>
      </c>
      <c r="B515" t="s">
        <v>1051</v>
      </c>
      <c r="C515" s="7">
        <v>45461</v>
      </c>
      <c r="D515" s="7">
        <v>45462</v>
      </c>
      <c r="E515" t="s">
        <v>22</v>
      </c>
      <c r="F515" t="s">
        <v>173</v>
      </c>
      <c r="G515" t="s">
        <v>1564</v>
      </c>
      <c r="H515" t="s">
        <v>25</v>
      </c>
      <c r="I515" t="s">
        <v>26</v>
      </c>
      <c r="J515" t="s">
        <v>61</v>
      </c>
      <c r="K515" t="s">
        <v>62</v>
      </c>
      <c r="L515" t="s">
        <v>92</v>
      </c>
      <c r="M515">
        <v>682001</v>
      </c>
      <c r="N515" t="s">
        <v>1052</v>
      </c>
      <c r="O515" t="s">
        <v>44</v>
      </c>
      <c r="P515" t="s">
        <v>207</v>
      </c>
      <c r="Q515" t="s">
        <v>208</v>
      </c>
      <c r="R515" s="8">
        <v>233801.83</v>
      </c>
      <c r="S515">
        <v>5</v>
      </c>
      <c r="T515">
        <v>0.15</v>
      </c>
      <c r="U515" s="8">
        <v>3426</v>
      </c>
      <c r="V515" t="s">
        <v>1561</v>
      </c>
      <c r="W515" t="s">
        <v>1561</v>
      </c>
    </row>
    <row r="516" spans="1:23">
      <c r="A516">
        <v>1515</v>
      </c>
      <c r="B516" t="s">
        <v>696</v>
      </c>
      <c r="C516" s="7">
        <v>45525</v>
      </c>
      <c r="D516" s="7">
        <v>45531</v>
      </c>
      <c r="E516" t="s">
        <v>48</v>
      </c>
      <c r="F516" t="s">
        <v>242</v>
      </c>
      <c r="G516" t="s">
        <v>1569</v>
      </c>
      <c r="H516" t="s">
        <v>25</v>
      </c>
      <c r="I516" t="s">
        <v>26</v>
      </c>
      <c r="J516" t="s">
        <v>115</v>
      </c>
      <c r="K516" t="s">
        <v>116</v>
      </c>
      <c r="L516" t="s">
        <v>41</v>
      </c>
      <c r="M516">
        <v>110001</v>
      </c>
      <c r="N516" t="s">
        <v>655</v>
      </c>
      <c r="O516" t="s">
        <v>138</v>
      </c>
      <c r="P516" t="s">
        <v>139</v>
      </c>
      <c r="Q516" t="s">
        <v>140</v>
      </c>
      <c r="R516" s="8">
        <v>3505.51</v>
      </c>
      <c r="S516">
        <v>4</v>
      </c>
      <c r="T516">
        <v>0.05</v>
      </c>
      <c r="U516" s="8">
        <v>683.74</v>
      </c>
      <c r="V516" t="s">
        <v>1561</v>
      </c>
      <c r="W516" t="s">
        <v>1561</v>
      </c>
    </row>
    <row r="517" spans="1:23">
      <c r="A517">
        <v>1516</v>
      </c>
      <c r="B517" t="s">
        <v>1128</v>
      </c>
      <c r="C517" s="7">
        <v>45573</v>
      </c>
      <c r="D517" s="7">
        <v>45574</v>
      </c>
      <c r="E517" t="s">
        <v>48</v>
      </c>
      <c r="F517" t="s">
        <v>479</v>
      </c>
      <c r="G517" t="s">
        <v>1571</v>
      </c>
      <c r="H517" t="s">
        <v>108</v>
      </c>
      <c r="I517" t="s">
        <v>26</v>
      </c>
      <c r="J517" t="s">
        <v>226</v>
      </c>
      <c r="K517" t="s">
        <v>110</v>
      </c>
      <c r="L517" t="s">
        <v>41</v>
      </c>
      <c r="M517">
        <v>400001</v>
      </c>
      <c r="N517" t="s">
        <v>1129</v>
      </c>
      <c r="O517" t="s">
        <v>55</v>
      </c>
      <c r="P517" t="s">
        <v>56</v>
      </c>
      <c r="Q517" t="s">
        <v>57</v>
      </c>
      <c r="R517" s="8">
        <v>24999.87</v>
      </c>
      <c r="S517">
        <v>5</v>
      </c>
      <c r="T517">
        <v>0.25</v>
      </c>
      <c r="U517" s="8">
        <v>-65.510000000000005</v>
      </c>
      <c r="V517" t="s">
        <v>1561</v>
      </c>
      <c r="W517" t="s">
        <v>1561</v>
      </c>
    </row>
    <row r="518" spans="1:23">
      <c r="A518">
        <v>1517</v>
      </c>
      <c r="B518" t="s">
        <v>648</v>
      </c>
      <c r="C518" s="7">
        <v>45605</v>
      </c>
      <c r="D518" s="7">
        <v>45606</v>
      </c>
      <c r="E518" t="s">
        <v>22</v>
      </c>
      <c r="F518" t="s">
        <v>649</v>
      </c>
      <c r="G518" t="s">
        <v>1560</v>
      </c>
      <c r="H518" t="s">
        <v>51</v>
      </c>
      <c r="I518" t="s">
        <v>26</v>
      </c>
      <c r="J518" t="s">
        <v>115</v>
      </c>
      <c r="K518" t="s">
        <v>116</v>
      </c>
      <c r="L518" t="s">
        <v>41</v>
      </c>
      <c r="M518">
        <v>560001</v>
      </c>
      <c r="N518" t="s">
        <v>359</v>
      </c>
      <c r="O518" t="s">
        <v>55</v>
      </c>
      <c r="P518" t="s">
        <v>56</v>
      </c>
      <c r="Q518" t="s">
        <v>57</v>
      </c>
      <c r="R518" s="8">
        <v>18600.22</v>
      </c>
      <c r="S518">
        <v>3</v>
      </c>
      <c r="T518">
        <v>0.1</v>
      </c>
      <c r="U518" s="8">
        <v>1431.79</v>
      </c>
      <c r="V518" t="s">
        <v>1561</v>
      </c>
      <c r="W518" t="s">
        <v>1561</v>
      </c>
    </row>
    <row r="519" spans="1:23">
      <c r="A519">
        <v>1518</v>
      </c>
      <c r="B519" t="s">
        <v>699</v>
      </c>
      <c r="C519" s="7">
        <v>45510</v>
      </c>
      <c r="D519" s="7">
        <v>45515</v>
      </c>
      <c r="E519" t="s">
        <v>48</v>
      </c>
      <c r="F519" t="s">
        <v>601</v>
      </c>
      <c r="G519" t="s">
        <v>1568</v>
      </c>
      <c r="H519" t="s">
        <v>108</v>
      </c>
      <c r="I519" t="s">
        <v>26</v>
      </c>
      <c r="J519" t="s">
        <v>160</v>
      </c>
      <c r="K519" t="s">
        <v>161</v>
      </c>
      <c r="L519" t="s">
        <v>63</v>
      </c>
      <c r="M519">
        <v>682001</v>
      </c>
      <c r="N519" t="s">
        <v>362</v>
      </c>
      <c r="O519" t="s">
        <v>138</v>
      </c>
      <c r="P519" t="s">
        <v>139</v>
      </c>
      <c r="Q519" t="s">
        <v>140</v>
      </c>
      <c r="R519" s="8">
        <v>6022.74</v>
      </c>
      <c r="S519">
        <v>8</v>
      </c>
      <c r="T519">
        <v>0.15</v>
      </c>
      <c r="U519" s="8">
        <v>677.92</v>
      </c>
      <c r="V519" t="s">
        <v>1561</v>
      </c>
      <c r="W519" t="s">
        <v>1561</v>
      </c>
    </row>
    <row r="520" spans="1:23">
      <c r="A520">
        <v>1519</v>
      </c>
      <c r="B520" t="s">
        <v>811</v>
      </c>
      <c r="C520" s="7">
        <v>45384</v>
      </c>
      <c r="D520" s="7">
        <v>45389</v>
      </c>
      <c r="E520" t="s">
        <v>69</v>
      </c>
      <c r="F520" t="s">
        <v>663</v>
      </c>
      <c r="G520" t="s">
        <v>1570</v>
      </c>
      <c r="H520" t="s">
        <v>51</v>
      </c>
      <c r="I520" t="s">
        <v>26</v>
      </c>
      <c r="J520" t="s">
        <v>79</v>
      </c>
      <c r="K520" t="s">
        <v>80</v>
      </c>
      <c r="L520" t="s">
        <v>92</v>
      </c>
      <c r="M520">
        <v>673001</v>
      </c>
      <c r="N520" t="s">
        <v>812</v>
      </c>
      <c r="O520" t="s">
        <v>138</v>
      </c>
      <c r="P520" t="s">
        <v>182</v>
      </c>
      <c r="Q520" t="s">
        <v>183</v>
      </c>
      <c r="R520" s="8">
        <v>920.79</v>
      </c>
      <c r="S520">
        <v>3</v>
      </c>
      <c r="T520">
        <v>0.3</v>
      </c>
      <c r="U520" s="8">
        <v>5.12</v>
      </c>
      <c r="V520" t="s">
        <v>1561</v>
      </c>
      <c r="W520" t="s">
        <v>1561</v>
      </c>
    </row>
    <row r="521" spans="1:23">
      <c r="A521">
        <v>1520</v>
      </c>
      <c r="B521" t="s">
        <v>993</v>
      </c>
      <c r="C521" s="7">
        <v>45607</v>
      </c>
      <c r="D521" s="7">
        <v>45611</v>
      </c>
      <c r="E521" t="s">
        <v>101</v>
      </c>
      <c r="F521" t="s">
        <v>517</v>
      </c>
      <c r="G521" t="s">
        <v>1563</v>
      </c>
      <c r="H521" t="s">
        <v>25</v>
      </c>
      <c r="I521" t="s">
        <v>26</v>
      </c>
      <c r="J521" t="s">
        <v>346</v>
      </c>
      <c r="K521" t="s">
        <v>132</v>
      </c>
      <c r="L521" t="s">
        <v>63</v>
      </c>
      <c r="M521">
        <v>600001</v>
      </c>
      <c r="N521" t="s">
        <v>994</v>
      </c>
      <c r="O521" t="s">
        <v>138</v>
      </c>
      <c r="P521" t="s">
        <v>182</v>
      </c>
      <c r="Q521" t="s">
        <v>183</v>
      </c>
      <c r="R521" s="8">
        <v>376.84</v>
      </c>
      <c r="S521">
        <v>1</v>
      </c>
      <c r="T521">
        <v>0.1</v>
      </c>
      <c r="U521" s="8">
        <v>46.17</v>
      </c>
      <c r="V521" t="s">
        <v>1561</v>
      </c>
      <c r="W521" t="s">
        <v>1561</v>
      </c>
    </row>
    <row r="522" spans="1:23">
      <c r="A522">
        <v>1521</v>
      </c>
      <c r="B522" t="s">
        <v>1388</v>
      </c>
      <c r="C522" s="7">
        <v>45570</v>
      </c>
      <c r="D522" s="7">
        <v>45423</v>
      </c>
      <c r="E522" t="s">
        <v>48</v>
      </c>
      <c r="F522" t="s">
        <v>520</v>
      </c>
      <c r="G522" t="s">
        <v>1568</v>
      </c>
      <c r="H522" t="s">
        <v>51</v>
      </c>
      <c r="I522" t="s">
        <v>26</v>
      </c>
      <c r="J522" t="s">
        <v>90</v>
      </c>
      <c r="K522" t="s">
        <v>91</v>
      </c>
      <c r="L522" t="s">
        <v>63</v>
      </c>
      <c r="M522">
        <v>110001</v>
      </c>
      <c r="N522" t="s">
        <v>162</v>
      </c>
      <c r="O522" t="s">
        <v>44</v>
      </c>
      <c r="P522" t="s">
        <v>211</v>
      </c>
      <c r="Q522" t="s">
        <v>223</v>
      </c>
      <c r="R522" s="8">
        <v>1539.67</v>
      </c>
      <c r="S522">
        <v>1</v>
      </c>
      <c r="T522">
        <v>0.15</v>
      </c>
      <c r="U522" s="8">
        <v>22.04</v>
      </c>
      <c r="V522" t="s">
        <v>1561</v>
      </c>
      <c r="W522" t="s">
        <v>1561</v>
      </c>
    </row>
    <row r="523" spans="1:23">
      <c r="A523">
        <v>1522</v>
      </c>
      <c r="B523" t="s">
        <v>784</v>
      </c>
      <c r="C523" s="7">
        <v>45328</v>
      </c>
      <c r="D523" s="7">
        <v>45383</v>
      </c>
      <c r="E523" t="s">
        <v>48</v>
      </c>
      <c r="F523" t="s">
        <v>340</v>
      </c>
      <c r="G523" t="s">
        <v>1563</v>
      </c>
      <c r="H523" t="s">
        <v>51</v>
      </c>
      <c r="I523" t="s">
        <v>26</v>
      </c>
      <c r="J523" t="s">
        <v>131</v>
      </c>
      <c r="K523" t="s">
        <v>132</v>
      </c>
      <c r="L523" t="s">
        <v>29</v>
      </c>
      <c r="M523">
        <v>560001</v>
      </c>
      <c r="N523" t="s">
        <v>785</v>
      </c>
      <c r="O523" t="s">
        <v>138</v>
      </c>
      <c r="P523" t="s">
        <v>156</v>
      </c>
      <c r="Q523" t="s">
        <v>157</v>
      </c>
      <c r="R523" s="8">
        <v>737.96</v>
      </c>
      <c r="S523">
        <v>2</v>
      </c>
      <c r="T523">
        <v>0</v>
      </c>
      <c r="U523" s="8">
        <v>156.88</v>
      </c>
      <c r="V523" t="s">
        <v>1561</v>
      </c>
      <c r="W523" t="s">
        <v>1561</v>
      </c>
    </row>
    <row r="524" spans="1:23">
      <c r="A524">
        <v>1523</v>
      </c>
      <c r="B524" t="s">
        <v>885</v>
      </c>
      <c r="C524" s="7">
        <v>45566</v>
      </c>
      <c r="D524" s="7">
        <v>45569</v>
      </c>
      <c r="E524" t="s">
        <v>101</v>
      </c>
      <c r="F524" t="s">
        <v>274</v>
      </c>
      <c r="G524" t="s">
        <v>1572</v>
      </c>
      <c r="H524" t="s">
        <v>51</v>
      </c>
      <c r="I524" t="s">
        <v>26</v>
      </c>
      <c r="J524" t="s">
        <v>346</v>
      </c>
      <c r="K524" t="s">
        <v>132</v>
      </c>
      <c r="L524" t="s">
        <v>29</v>
      </c>
      <c r="M524">
        <v>400001</v>
      </c>
      <c r="N524" t="s">
        <v>801</v>
      </c>
      <c r="O524" t="s">
        <v>138</v>
      </c>
      <c r="P524" t="s">
        <v>156</v>
      </c>
      <c r="Q524" t="s">
        <v>157</v>
      </c>
      <c r="R524" s="8">
        <v>282.43</v>
      </c>
      <c r="S524">
        <v>1</v>
      </c>
      <c r="T524">
        <v>0.3</v>
      </c>
      <c r="U524" s="8">
        <v>1.49</v>
      </c>
      <c r="V524" t="s">
        <v>1561</v>
      </c>
      <c r="W524" t="s">
        <v>1561</v>
      </c>
    </row>
    <row r="525" spans="1:23">
      <c r="A525">
        <v>1524</v>
      </c>
      <c r="B525" t="s">
        <v>1017</v>
      </c>
      <c r="C525" s="7">
        <v>45576</v>
      </c>
      <c r="D525" s="7">
        <v>45581</v>
      </c>
      <c r="E525" t="s">
        <v>22</v>
      </c>
      <c r="F525" t="s">
        <v>781</v>
      </c>
      <c r="G525" t="s">
        <v>1574</v>
      </c>
      <c r="H525" t="s">
        <v>51</v>
      </c>
      <c r="I525" t="s">
        <v>26</v>
      </c>
      <c r="J525" t="s">
        <v>61</v>
      </c>
      <c r="K525" t="s">
        <v>62</v>
      </c>
      <c r="L525" t="s">
        <v>63</v>
      </c>
      <c r="M525">
        <v>110001</v>
      </c>
      <c r="N525" t="s">
        <v>1018</v>
      </c>
      <c r="O525" t="s">
        <v>138</v>
      </c>
      <c r="P525" t="s">
        <v>121</v>
      </c>
      <c r="Q525" t="s">
        <v>122</v>
      </c>
      <c r="R525" s="8">
        <v>1991.13</v>
      </c>
      <c r="S525">
        <v>4</v>
      </c>
      <c r="T525">
        <v>0.2</v>
      </c>
      <c r="U525" s="8">
        <v>106.23</v>
      </c>
      <c r="V525" t="s">
        <v>1561</v>
      </c>
      <c r="W525" t="s">
        <v>1561</v>
      </c>
    </row>
    <row r="526" spans="1:23">
      <c r="A526">
        <v>1525</v>
      </c>
      <c r="B526" t="s">
        <v>1313</v>
      </c>
      <c r="C526" s="7">
        <v>45465</v>
      </c>
      <c r="D526" s="7">
        <v>45469</v>
      </c>
      <c r="E526" t="s">
        <v>69</v>
      </c>
      <c r="F526" t="s">
        <v>649</v>
      </c>
      <c r="G526" t="s">
        <v>1574</v>
      </c>
      <c r="H526" t="s">
        <v>108</v>
      </c>
      <c r="I526" t="s">
        <v>26</v>
      </c>
      <c r="J526" t="s">
        <v>226</v>
      </c>
      <c r="K526" t="s">
        <v>110</v>
      </c>
      <c r="L526" t="s">
        <v>29</v>
      </c>
      <c r="M526">
        <v>682001</v>
      </c>
      <c r="N526" t="s">
        <v>1314</v>
      </c>
      <c r="O526" t="s">
        <v>44</v>
      </c>
      <c r="P526" t="s">
        <v>45</v>
      </c>
      <c r="Q526" t="s">
        <v>46</v>
      </c>
      <c r="R526" s="8">
        <v>76263.539999999994</v>
      </c>
      <c r="S526">
        <v>2</v>
      </c>
      <c r="T526">
        <v>0</v>
      </c>
      <c r="U526" s="8">
        <v>6380.96</v>
      </c>
      <c r="V526" t="s">
        <v>1561</v>
      </c>
      <c r="W526" t="s">
        <v>1561</v>
      </c>
    </row>
    <row r="527" spans="1:23">
      <c r="A527">
        <v>1526</v>
      </c>
      <c r="B527" t="s">
        <v>1130</v>
      </c>
      <c r="C527" s="7">
        <v>45655</v>
      </c>
      <c r="D527" s="7">
        <v>45656</v>
      </c>
      <c r="E527" t="s">
        <v>48</v>
      </c>
      <c r="F527" t="s">
        <v>271</v>
      </c>
      <c r="G527" t="s">
        <v>1573</v>
      </c>
      <c r="H527" t="s">
        <v>25</v>
      </c>
      <c r="I527" t="s">
        <v>26</v>
      </c>
      <c r="J527" t="s">
        <v>131</v>
      </c>
      <c r="K527" t="s">
        <v>132</v>
      </c>
      <c r="L527" t="s">
        <v>29</v>
      </c>
      <c r="M527">
        <v>682001</v>
      </c>
      <c r="N527" t="s">
        <v>1131</v>
      </c>
      <c r="O527" t="s">
        <v>188</v>
      </c>
      <c r="P527" t="s">
        <v>189</v>
      </c>
      <c r="Q527" t="s">
        <v>386</v>
      </c>
      <c r="R527" s="8">
        <v>3731.03</v>
      </c>
      <c r="S527">
        <v>2</v>
      </c>
      <c r="T527">
        <v>0.2</v>
      </c>
      <c r="U527" s="8">
        <v>-149.24</v>
      </c>
      <c r="V527" t="s">
        <v>1561</v>
      </c>
      <c r="W527" t="s">
        <v>1561</v>
      </c>
    </row>
    <row r="528" spans="1:23">
      <c r="A528">
        <v>1527</v>
      </c>
      <c r="B528" t="s">
        <v>487</v>
      </c>
      <c r="C528" s="7">
        <v>45381</v>
      </c>
      <c r="D528" s="7">
        <v>45382</v>
      </c>
      <c r="E528" t="s">
        <v>48</v>
      </c>
      <c r="F528" t="s">
        <v>274</v>
      </c>
      <c r="G528" t="s">
        <v>1569</v>
      </c>
      <c r="H528" t="s">
        <v>108</v>
      </c>
      <c r="I528" t="s">
        <v>26</v>
      </c>
      <c r="J528" t="s">
        <v>39</v>
      </c>
      <c r="K528" t="s">
        <v>40</v>
      </c>
      <c r="L528" t="s">
        <v>92</v>
      </c>
      <c r="M528">
        <v>673001</v>
      </c>
      <c r="N528" t="s">
        <v>488</v>
      </c>
      <c r="O528" t="s">
        <v>188</v>
      </c>
      <c r="P528" t="s">
        <v>189</v>
      </c>
      <c r="Q528" t="s">
        <v>386</v>
      </c>
      <c r="R528" s="8">
        <v>2001.37</v>
      </c>
      <c r="S528">
        <v>1</v>
      </c>
      <c r="T528">
        <v>0.15</v>
      </c>
      <c r="U528" s="8">
        <v>74.760000000000005</v>
      </c>
      <c r="V528" t="s">
        <v>1561</v>
      </c>
      <c r="W528" t="s">
        <v>1561</v>
      </c>
    </row>
    <row r="529" spans="1:23">
      <c r="A529">
        <v>1528</v>
      </c>
      <c r="B529" t="s">
        <v>1145</v>
      </c>
      <c r="C529" s="7">
        <v>45389</v>
      </c>
      <c r="D529" s="7">
        <v>45392</v>
      </c>
      <c r="E529" t="s">
        <v>101</v>
      </c>
      <c r="F529" t="s">
        <v>214</v>
      </c>
      <c r="G529" t="s">
        <v>1572</v>
      </c>
      <c r="H529" t="s">
        <v>25</v>
      </c>
      <c r="I529" t="s">
        <v>26</v>
      </c>
      <c r="J529" t="s">
        <v>52</v>
      </c>
      <c r="K529" t="s">
        <v>52</v>
      </c>
      <c r="L529" t="s">
        <v>63</v>
      </c>
      <c r="M529">
        <v>110001</v>
      </c>
      <c r="N529" t="s">
        <v>1146</v>
      </c>
      <c r="O529" t="s">
        <v>44</v>
      </c>
      <c r="P529" t="s">
        <v>207</v>
      </c>
      <c r="Q529" t="s">
        <v>208</v>
      </c>
      <c r="R529" s="8">
        <v>320014.03000000003</v>
      </c>
      <c r="S529">
        <v>6</v>
      </c>
      <c r="T529">
        <v>0.05</v>
      </c>
      <c r="U529" s="8">
        <v>22949.83</v>
      </c>
      <c r="V529" t="s">
        <v>1561</v>
      </c>
      <c r="W529" t="s">
        <v>1561</v>
      </c>
    </row>
    <row r="530" spans="1:23">
      <c r="A530">
        <v>1529</v>
      </c>
      <c r="B530" t="s">
        <v>1161</v>
      </c>
      <c r="C530" s="7">
        <v>45397</v>
      </c>
      <c r="D530" s="7">
        <v>45403</v>
      </c>
      <c r="E530" t="s">
        <v>22</v>
      </c>
      <c r="F530" t="s">
        <v>192</v>
      </c>
      <c r="G530" t="s">
        <v>1564</v>
      </c>
      <c r="H530" t="s">
        <v>108</v>
      </c>
      <c r="I530" t="s">
        <v>26</v>
      </c>
      <c r="J530" t="s">
        <v>166</v>
      </c>
      <c r="K530" t="s">
        <v>132</v>
      </c>
      <c r="L530" t="s">
        <v>41</v>
      </c>
      <c r="M530">
        <v>673001</v>
      </c>
      <c r="N530" t="s">
        <v>1162</v>
      </c>
      <c r="O530" t="s">
        <v>83</v>
      </c>
      <c r="P530" t="s">
        <v>84</v>
      </c>
      <c r="Q530" t="s">
        <v>85</v>
      </c>
      <c r="R530" s="8">
        <v>15849.8</v>
      </c>
      <c r="S530">
        <v>5</v>
      </c>
      <c r="T530">
        <v>0.05</v>
      </c>
      <c r="U530" s="8">
        <v>3278.29</v>
      </c>
      <c r="V530" t="s">
        <v>1561</v>
      </c>
      <c r="W530" t="s">
        <v>1561</v>
      </c>
    </row>
    <row r="531" spans="1:23">
      <c r="A531">
        <v>1530</v>
      </c>
      <c r="B531" t="s">
        <v>1048</v>
      </c>
      <c r="C531" s="7">
        <v>45328</v>
      </c>
      <c r="D531" s="7">
        <v>45532</v>
      </c>
      <c r="E531" t="s">
        <v>22</v>
      </c>
      <c r="F531" t="s">
        <v>277</v>
      </c>
      <c r="G531" t="s">
        <v>1575</v>
      </c>
      <c r="H531" t="s">
        <v>25</v>
      </c>
      <c r="I531" t="s">
        <v>26</v>
      </c>
      <c r="J531" t="s">
        <v>346</v>
      </c>
      <c r="K531" t="s">
        <v>132</v>
      </c>
      <c r="L531" t="s">
        <v>63</v>
      </c>
      <c r="M531">
        <v>673001</v>
      </c>
      <c r="N531" t="s">
        <v>1049</v>
      </c>
      <c r="O531" t="s">
        <v>138</v>
      </c>
      <c r="P531" t="s">
        <v>156</v>
      </c>
      <c r="Q531" t="s">
        <v>157</v>
      </c>
      <c r="R531" s="8">
        <v>1818.13</v>
      </c>
      <c r="S531">
        <v>6</v>
      </c>
      <c r="T531">
        <v>0</v>
      </c>
      <c r="U531" s="8">
        <v>135.38</v>
      </c>
      <c r="V531" t="s">
        <v>1561</v>
      </c>
      <c r="W531" t="s">
        <v>1561</v>
      </c>
    </row>
    <row r="532" spans="1:23">
      <c r="A532">
        <v>1531</v>
      </c>
      <c r="B532" t="s">
        <v>627</v>
      </c>
      <c r="C532" s="7">
        <v>45390</v>
      </c>
      <c r="D532" s="7">
        <v>45393</v>
      </c>
      <c r="E532" t="s">
        <v>48</v>
      </c>
      <c r="F532" t="s">
        <v>420</v>
      </c>
      <c r="G532" t="s">
        <v>1563</v>
      </c>
      <c r="H532" t="s">
        <v>25</v>
      </c>
      <c r="I532" t="s">
        <v>26</v>
      </c>
      <c r="J532" t="s">
        <v>27</v>
      </c>
      <c r="K532" t="s">
        <v>28</v>
      </c>
      <c r="L532" t="s">
        <v>29</v>
      </c>
      <c r="M532">
        <v>400001</v>
      </c>
      <c r="N532" t="s">
        <v>628</v>
      </c>
      <c r="O532" t="s">
        <v>55</v>
      </c>
      <c r="P532" t="s">
        <v>66</v>
      </c>
      <c r="Q532" t="s">
        <v>67</v>
      </c>
      <c r="R532" s="8">
        <v>8107.38</v>
      </c>
      <c r="S532">
        <v>1</v>
      </c>
      <c r="T532">
        <v>0.1</v>
      </c>
      <c r="U532" s="8">
        <v>956.62</v>
      </c>
      <c r="V532" t="s">
        <v>1561</v>
      </c>
      <c r="W532" t="s">
        <v>1561</v>
      </c>
    </row>
    <row r="533" spans="1:23">
      <c r="A533">
        <v>1532</v>
      </c>
      <c r="B533" t="s">
        <v>778</v>
      </c>
      <c r="C533" s="7">
        <v>45397</v>
      </c>
      <c r="D533" s="7">
        <v>45402</v>
      </c>
      <c r="E533" t="s">
        <v>48</v>
      </c>
      <c r="F533" t="s">
        <v>198</v>
      </c>
      <c r="G533" t="s">
        <v>1563</v>
      </c>
      <c r="H533" t="s">
        <v>51</v>
      </c>
      <c r="I533" t="s">
        <v>26</v>
      </c>
      <c r="J533" t="s">
        <v>115</v>
      </c>
      <c r="K533" t="s">
        <v>116</v>
      </c>
      <c r="L533" t="s">
        <v>63</v>
      </c>
      <c r="M533">
        <v>682001</v>
      </c>
      <c r="N533" t="s">
        <v>779</v>
      </c>
      <c r="O533" t="s">
        <v>44</v>
      </c>
      <c r="P533" t="s">
        <v>211</v>
      </c>
      <c r="Q533" t="s">
        <v>212</v>
      </c>
      <c r="R533" s="8">
        <v>999999.99</v>
      </c>
      <c r="S533">
        <v>1</v>
      </c>
      <c r="T533">
        <v>0</v>
      </c>
      <c r="U533" s="8">
        <v>132.01</v>
      </c>
      <c r="V533" t="s">
        <v>1561</v>
      </c>
      <c r="W533" t="s">
        <v>1561</v>
      </c>
    </row>
    <row r="534" spans="1:23">
      <c r="A534">
        <v>1533</v>
      </c>
      <c r="B534" t="s">
        <v>1046</v>
      </c>
      <c r="C534" s="7">
        <v>45605</v>
      </c>
      <c r="D534" s="7">
        <v>45608</v>
      </c>
      <c r="E534" t="s">
        <v>101</v>
      </c>
      <c r="F534" t="s">
        <v>337</v>
      </c>
      <c r="G534" t="s">
        <v>1571</v>
      </c>
      <c r="H534" t="s">
        <v>25</v>
      </c>
      <c r="I534" t="s">
        <v>26</v>
      </c>
      <c r="J534" t="s">
        <v>27</v>
      </c>
      <c r="K534" t="s">
        <v>28</v>
      </c>
      <c r="L534" t="s">
        <v>41</v>
      </c>
      <c r="M534">
        <v>560001</v>
      </c>
      <c r="N534" t="s">
        <v>1047</v>
      </c>
      <c r="O534" t="s">
        <v>55</v>
      </c>
      <c r="P534" t="s">
        <v>66</v>
      </c>
      <c r="Q534" t="s">
        <v>67</v>
      </c>
      <c r="R534" s="8">
        <v>7134.09</v>
      </c>
      <c r="S534">
        <v>1</v>
      </c>
      <c r="T534">
        <v>0.15</v>
      </c>
      <c r="U534" s="8">
        <v>498.85</v>
      </c>
      <c r="V534" t="s">
        <v>1561</v>
      </c>
      <c r="W534" t="s">
        <v>1561</v>
      </c>
    </row>
    <row r="535" spans="1:23">
      <c r="A535">
        <v>1534</v>
      </c>
      <c r="B535" t="s">
        <v>1071</v>
      </c>
      <c r="C535" s="7">
        <v>45383</v>
      </c>
      <c r="D535" s="7">
        <v>45389</v>
      </c>
      <c r="E535" t="s">
        <v>101</v>
      </c>
      <c r="F535" t="s">
        <v>113</v>
      </c>
      <c r="G535" t="s">
        <v>1563</v>
      </c>
      <c r="H535" t="s">
        <v>51</v>
      </c>
      <c r="I535" t="s">
        <v>26</v>
      </c>
      <c r="J535" t="s">
        <v>346</v>
      </c>
      <c r="K535" t="s">
        <v>132</v>
      </c>
      <c r="L535" t="s">
        <v>63</v>
      </c>
      <c r="M535">
        <v>695001</v>
      </c>
      <c r="N535" t="s">
        <v>504</v>
      </c>
      <c r="O535" t="s">
        <v>44</v>
      </c>
      <c r="P535" t="s">
        <v>45</v>
      </c>
      <c r="Q535" t="s">
        <v>46</v>
      </c>
      <c r="R535" s="8">
        <v>25871.52</v>
      </c>
      <c r="S535">
        <v>1</v>
      </c>
      <c r="T535">
        <v>0.25</v>
      </c>
      <c r="U535" s="8">
        <v>-1093.72</v>
      </c>
      <c r="V535" t="s">
        <v>1561</v>
      </c>
      <c r="W535" t="s">
        <v>1561</v>
      </c>
    </row>
    <row r="536" spans="1:23">
      <c r="A536">
        <v>1535</v>
      </c>
      <c r="B536" t="s">
        <v>1169</v>
      </c>
      <c r="C536" s="7">
        <v>45530</v>
      </c>
      <c r="D536" s="7">
        <v>45535</v>
      </c>
      <c r="E536" t="s">
        <v>69</v>
      </c>
      <c r="F536" t="s">
        <v>185</v>
      </c>
      <c r="G536" t="s">
        <v>1572</v>
      </c>
      <c r="H536" t="s">
        <v>25</v>
      </c>
      <c r="I536" t="s">
        <v>26</v>
      </c>
      <c r="J536" t="s">
        <v>72</v>
      </c>
      <c r="K536" t="s">
        <v>73</v>
      </c>
      <c r="L536" t="s">
        <v>29</v>
      </c>
      <c r="M536">
        <v>673001</v>
      </c>
      <c r="N536" t="s">
        <v>1021</v>
      </c>
      <c r="O536" t="s">
        <v>83</v>
      </c>
      <c r="P536" t="s">
        <v>33</v>
      </c>
      <c r="Q536" t="s">
        <v>34</v>
      </c>
      <c r="R536" s="8">
        <v>6837.18</v>
      </c>
      <c r="S536">
        <v>5</v>
      </c>
      <c r="T536">
        <v>0</v>
      </c>
      <c r="U536" s="8">
        <v>1527.46</v>
      </c>
      <c r="V536" t="s">
        <v>1561</v>
      </c>
      <c r="W536" t="s">
        <v>1561</v>
      </c>
    </row>
    <row r="537" spans="1:23">
      <c r="A537">
        <v>1536</v>
      </c>
      <c r="B537" t="s">
        <v>1132</v>
      </c>
      <c r="C537" s="7">
        <v>45410</v>
      </c>
      <c r="D537" s="7">
        <v>45412</v>
      </c>
      <c r="E537" t="s">
        <v>69</v>
      </c>
      <c r="F537" t="s">
        <v>295</v>
      </c>
      <c r="G537" t="s">
        <v>1567</v>
      </c>
      <c r="H537" t="s">
        <v>25</v>
      </c>
      <c r="I537" t="s">
        <v>26</v>
      </c>
      <c r="J537" t="s">
        <v>115</v>
      </c>
      <c r="K537" t="s">
        <v>116</v>
      </c>
      <c r="L537" t="s">
        <v>63</v>
      </c>
      <c r="M537">
        <v>695001</v>
      </c>
      <c r="N537" t="s">
        <v>996</v>
      </c>
      <c r="O537" t="s">
        <v>138</v>
      </c>
      <c r="P537" t="s">
        <v>156</v>
      </c>
      <c r="Q537" t="s">
        <v>157</v>
      </c>
      <c r="R537" s="8">
        <v>1029.32</v>
      </c>
      <c r="S537">
        <v>4</v>
      </c>
      <c r="T537">
        <v>0.3</v>
      </c>
      <c r="U537" s="8">
        <v>4.46</v>
      </c>
      <c r="V537" t="s">
        <v>1561</v>
      </c>
      <c r="W537" t="s">
        <v>1561</v>
      </c>
    </row>
    <row r="538" spans="1:23">
      <c r="A538">
        <v>1537</v>
      </c>
      <c r="B538" t="s">
        <v>163</v>
      </c>
      <c r="C538" s="7">
        <v>45524</v>
      </c>
      <c r="D538" s="7">
        <v>45528</v>
      </c>
      <c r="E538" t="s">
        <v>22</v>
      </c>
      <c r="F538" t="s">
        <v>164</v>
      </c>
      <c r="G538" t="s">
        <v>1562</v>
      </c>
      <c r="H538" t="s">
        <v>108</v>
      </c>
      <c r="I538" t="s">
        <v>26</v>
      </c>
      <c r="J538" t="s">
        <v>166</v>
      </c>
      <c r="K538" t="s">
        <v>132</v>
      </c>
      <c r="L538" t="s">
        <v>41</v>
      </c>
      <c r="M538">
        <v>695001</v>
      </c>
      <c r="N538" t="s">
        <v>167</v>
      </c>
      <c r="O538" t="s">
        <v>83</v>
      </c>
      <c r="P538" t="s">
        <v>33</v>
      </c>
      <c r="Q538" t="s">
        <v>34</v>
      </c>
      <c r="R538" s="8">
        <v>2075.89</v>
      </c>
      <c r="S538">
        <v>2</v>
      </c>
      <c r="T538">
        <v>0.2</v>
      </c>
      <c r="U538" s="8">
        <v>189.06</v>
      </c>
      <c r="V538" t="s">
        <v>1561</v>
      </c>
      <c r="W538" t="s">
        <v>1561</v>
      </c>
    </row>
    <row r="539" spans="1:23">
      <c r="A539">
        <v>1538</v>
      </c>
      <c r="B539" t="s">
        <v>563</v>
      </c>
      <c r="C539" s="7">
        <v>45552</v>
      </c>
      <c r="D539" s="7">
        <v>45553</v>
      </c>
      <c r="E539" t="s">
        <v>101</v>
      </c>
      <c r="F539" t="s">
        <v>159</v>
      </c>
      <c r="G539" t="s">
        <v>1560</v>
      </c>
      <c r="H539" t="s">
        <v>51</v>
      </c>
      <c r="I539" t="s">
        <v>26</v>
      </c>
      <c r="J539" t="s">
        <v>39</v>
      </c>
      <c r="K539" t="s">
        <v>40</v>
      </c>
      <c r="L539" t="s">
        <v>41</v>
      </c>
      <c r="M539">
        <v>695001</v>
      </c>
      <c r="N539" t="s">
        <v>564</v>
      </c>
      <c r="O539" t="s">
        <v>188</v>
      </c>
      <c r="P539" t="s">
        <v>189</v>
      </c>
      <c r="Q539" t="s">
        <v>386</v>
      </c>
      <c r="R539" s="8">
        <v>9012.3799999999992</v>
      </c>
      <c r="S539">
        <v>4</v>
      </c>
      <c r="T539">
        <v>0.05</v>
      </c>
      <c r="U539" s="8">
        <v>846.97</v>
      </c>
      <c r="V539" t="s">
        <v>1561</v>
      </c>
      <c r="W539" t="s">
        <v>1561</v>
      </c>
    </row>
    <row r="540" spans="1:23">
      <c r="A540">
        <v>1539</v>
      </c>
      <c r="B540" t="s">
        <v>898</v>
      </c>
      <c r="C540" s="7">
        <v>45594</v>
      </c>
      <c r="D540" s="7">
        <v>45598</v>
      </c>
      <c r="E540" t="s">
        <v>69</v>
      </c>
      <c r="F540" t="s">
        <v>604</v>
      </c>
      <c r="G540" t="s">
        <v>1565</v>
      </c>
      <c r="H540" t="s">
        <v>25</v>
      </c>
      <c r="I540" t="s">
        <v>26</v>
      </c>
      <c r="J540" t="s">
        <v>90</v>
      </c>
      <c r="K540" t="s">
        <v>91</v>
      </c>
      <c r="L540" t="s">
        <v>92</v>
      </c>
      <c r="M540">
        <v>560001</v>
      </c>
      <c r="N540" t="s">
        <v>899</v>
      </c>
      <c r="O540" t="s">
        <v>44</v>
      </c>
      <c r="P540" t="s">
        <v>45</v>
      </c>
      <c r="Q540" t="s">
        <v>46</v>
      </c>
      <c r="R540" s="8">
        <v>79500.87</v>
      </c>
      <c r="S540">
        <v>3</v>
      </c>
      <c r="T540">
        <v>0.25</v>
      </c>
      <c r="U540" s="8">
        <v>-4548.7</v>
      </c>
      <c r="V540" t="s">
        <v>1561</v>
      </c>
      <c r="W540" t="s">
        <v>1561</v>
      </c>
    </row>
    <row r="541" spans="1:23">
      <c r="A541">
        <v>1540</v>
      </c>
      <c r="B541" t="s">
        <v>129</v>
      </c>
      <c r="C541" s="7">
        <v>45514</v>
      </c>
      <c r="D541" s="7">
        <v>45519</v>
      </c>
      <c r="E541" t="s">
        <v>48</v>
      </c>
      <c r="F541" t="s">
        <v>130</v>
      </c>
      <c r="G541" t="s">
        <v>1560</v>
      </c>
      <c r="H541" t="s">
        <v>51</v>
      </c>
      <c r="I541" t="s">
        <v>26</v>
      </c>
      <c r="J541" t="s">
        <v>131</v>
      </c>
      <c r="K541" t="s">
        <v>132</v>
      </c>
      <c r="L541" t="s">
        <v>92</v>
      </c>
      <c r="M541">
        <v>682001</v>
      </c>
      <c r="N541" t="s">
        <v>133</v>
      </c>
      <c r="O541" t="s">
        <v>55</v>
      </c>
      <c r="P541" t="s">
        <v>56</v>
      </c>
      <c r="Q541" t="s">
        <v>57</v>
      </c>
      <c r="R541" s="8">
        <v>20626.29</v>
      </c>
      <c r="S541">
        <v>4</v>
      </c>
      <c r="T541">
        <v>0.25</v>
      </c>
      <c r="U541" s="8">
        <v>-63.17</v>
      </c>
      <c r="V541" t="s">
        <v>1561</v>
      </c>
      <c r="W541" t="s">
        <v>1561</v>
      </c>
    </row>
    <row r="542" spans="1:23">
      <c r="A542">
        <v>1541</v>
      </c>
      <c r="B542" t="s">
        <v>1316</v>
      </c>
      <c r="C542" s="7">
        <v>45350</v>
      </c>
      <c r="D542" s="7">
        <v>45355</v>
      </c>
      <c r="E542" t="s">
        <v>101</v>
      </c>
      <c r="F542" t="s">
        <v>553</v>
      </c>
      <c r="G542" t="s">
        <v>1568</v>
      </c>
      <c r="H542" t="s">
        <v>25</v>
      </c>
      <c r="I542" t="s">
        <v>26</v>
      </c>
      <c r="J542" t="s">
        <v>90</v>
      </c>
      <c r="K542" t="s">
        <v>91</v>
      </c>
      <c r="L542" t="s">
        <v>41</v>
      </c>
      <c r="M542">
        <v>110001</v>
      </c>
      <c r="N542" t="s">
        <v>1317</v>
      </c>
      <c r="O542" t="s">
        <v>44</v>
      </c>
      <c r="P542" t="s">
        <v>45</v>
      </c>
      <c r="Q542" t="s">
        <v>46</v>
      </c>
      <c r="R542" s="8">
        <v>105418.17</v>
      </c>
      <c r="S542">
        <v>4</v>
      </c>
      <c r="T542">
        <v>0.3</v>
      </c>
      <c r="U542" s="8">
        <v>-7120.99</v>
      </c>
      <c r="V542" t="s">
        <v>1561</v>
      </c>
      <c r="W542" t="s">
        <v>1561</v>
      </c>
    </row>
    <row r="543" spans="1:23">
      <c r="A543">
        <v>1542</v>
      </c>
      <c r="B543" t="s">
        <v>870</v>
      </c>
      <c r="C543" s="7">
        <v>45642</v>
      </c>
      <c r="D543" s="7">
        <v>45647</v>
      </c>
      <c r="E543" t="s">
        <v>101</v>
      </c>
      <c r="F543" t="s">
        <v>553</v>
      </c>
      <c r="G543" t="s">
        <v>1562</v>
      </c>
      <c r="H543" t="s">
        <v>108</v>
      </c>
      <c r="I543" t="s">
        <v>26</v>
      </c>
      <c r="J543" t="s">
        <v>166</v>
      </c>
      <c r="K543" t="s">
        <v>132</v>
      </c>
      <c r="L543" t="s">
        <v>41</v>
      </c>
      <c r="M543">
        <v>673001</v>
      </c>
      <c r="N543" t="s">
        <v>569</v>
      </c>
      <c r="O543" t="s">
        <v>55</v>
      </c>
      <c r="P543" t="s">
        <v>66</v>
      </c>
      <c r="Q543" t="s">
        <v>67</v>
      </c>
      <c r="R543" s="8">
        <v>8387.91</v>
      </c>
      <c r="S543">
        <v>1</v>
      </c>
      <c r="T543">
        <v>0</v>
      </c>
      <c r="U543" s="8">
        <v>1596.47</v>
      </c>
      <c r="V543" t="s">
        <v>1561</v>
      </c>
      <c r="W543" t="s">
        <v>1561</v>
      </c>
    </row>
    <row r="544" spans="1:23">
      <c r="A544">
        <v>1543</v>
      </c>
      <c r="B544" t="s">
        <v>1002</v>
      </c>
      <c r="C544" s="7">
        <v>45367</v>
      </c>
      <c r="D544" s="7">
        <v>45373</v>
      </c>
      <c r="E544" t="s">
        <v>69</v>
      </c>
      <c r="F544" t="s">
        <v>260</v>
      </c>
      <c r="G544" t="s">
        <v>1568</v>
      </c>
      <c r="H544" t="s">
        <v>108</v>
      </c>
      <c r="I544" t="s">
        <v>26</v>
      </c>
      <c r="J544" t="s">
        <v>61</v>
      </c>
      <c r="K544" t="s">
        <v>62</v>
      </c>
      <c r="L544" t="s">
        <v>63</v>
      </c>
      <c r="M544">
        <v>560001</v>
      </c>
      <c r="N544" t="s">
        <v>681</v>
      </c>
      <c r="O544" t="s">
        <v>44</v>
      </c>
      <c r="P544" t="s">
        <v>211</v>
      </c>
      <c r="Q544" t="s">
        <v>212</v>
      </c>
      <c r="R544" s="8">
        <v>7712.33</v>
      </c>
      <c r="S544">
        <v>6</v>
      </c>
      <c r="T544">
        <v>0</v>
      </c>
      <c r="U544" s="8">
        <v>834.53</v>
      </c>
      <c r="V544" t="s">
        <v>1561</v>
      </c>
      <c r="W544" t="s">
        <v>1561</v>
      </c>
    </row>
    <row r="545" spans="1:23">
      <c r="A545">
        <v>1544</v>
      </c>
      <c r="B545" t="s">
        <v>1163</v>
      </c>
      <c r="C545" s="7">
        <v>45445</v>
      </c>
      <c r="D545" s="7">
        <v>45450</v>
      </c>
      <c r="E545" t="s">
        <v>48</v>
      </c>
      <c r="F545" t="s">
        <v>404</v>
      </c>
      <c r="G545" t="s">
        <v>1567</v>
      </c>
      <c r="H545" t="s">
        <v>51</v>
      </c>
      <c r="I545" t="s">
        <v>26</v>
      </c>
      <c r="J545" t="s">
        <v>79</v>
      </c>
      <c r="K545" t="s">
        <v>80</v>
      </c>
      <c r="L545" t="s">
        <v>29</v>
      </c>
      <c r="M545">
        <v>400001</v>
      </c>
      <c r="N545" t="s">
        <v>1164</v>
      </c>
      <c r="O545" t="s">
        <v>138</v>
      </c>
      <c r="P545" t="s">
        <v>182</v>
      </c>
      <c r="Q545" t="s">
        <v>183</v>
      </c>
      <c r="R545" s="8">
        <v>1466.13</v>
      </c>
      <c r="S545">
        <v>4</v>
      </c>
      <c r="T545">
        <v>0.2</v>
      </c>
      <c r="U545" s="8">
        <v>85.54</v>
      </c>
      <c r="V545" t="s">
        <v>1561</v>
      </c>
      <c r="W545" t="s">
        <v>1561</v>
      </c>
    </row>
    <row r="546" spans="1:23">
      <c r="A546">
        <v>1545</v>
      </c>
      <c r="B546" t="s">
        <v>1152</v>
      </c>
      <c r="C546" s="7">
        <v>45357</v>
      </c>
      <c r="D546" s="7">
        <v>45360</v>
      </c>
      <c r="E546" t="s">
        <v>22</v>
      </c>
      <c r="F546" t="s">
        <v>446</v>
      </c>
      <c r="G546" t="s">
        <v>1567</v>
      </c>
      <c r="H546" t="s">
        <v>51</v>
      </c>
      <c r="I546" t="s">
        <v>26</v>
      </c>
      <c r="J546" t="s">
        <v>131</v>
      </c>
      <c r="K546" t="s">
        <v>132</v>
      </c>
      <c r="L546" t="s">
        <v>41</v>
      </c>
      <c r="M546">
        <v>673001</v>
      </c>
      <c r="N546" t="s">
        <v>1153</v>
      </c>
      <c r="O546" t="s">
        <v>138</v>
      </c>
      <c r="P546" t="s">
        <v>139</v>
      </c>
      <c r="Q546" t="s">
        <v>140</v>
      </c>
      <c r="R546" s="8">
        <v>6147.95</v>
      </c>
      <c r="S546">
        <v>10</v>
      </c>
      <c r="T546">
        <v>0.25</v>
      </c>
      <c r="U546" s="8">
        <v>199.62</v>
      </c>
      <c r="V546" t="s">
        <v>1561</v>
      </c>
      <c r="W546" t="s">
        <v>1583</v>
      </c>
    </row>
    <row r="547" spans="1:23">
      <c r="A547">
        <v>1546</v>
      </c>
      <c r="B547" t="s">
        <v>384</v>
      </c>
      <c r="C547" s="7">
        <v>45307</v>
      </c>
      <c r="D547" s="7">
        <v>45309</v>
      </c>
      <c r="E547" t="s">
        <v>101</v>
      </c>
      <c r="F547" t="s">
        <v>324</v>
      </c>
      <c r="G547" t="s">
        <v>1574</v>
      </c>
      <c r="H547" t="s">
        <v>108</v>
      </c>
      <c r="I547" t="s">
        <v>26</v>
      </c>
      <c r="J547" t="s">
        <v>52</v>
      </c>
      <c r="K547" t="s">
        <v>52</v>
      </c>
      <c r="L547" t="s">
        <v>29</v>
      </c>
      <c r="M547">
        <v>400001</v>
      </c>
      <c r="N547" t="s">
        <v>385</v>
      </c>
      <c r="O547" t="s">
        <v>188</v>
      </c>
      <c r="P547" t="s">
        <v>189</v>
      </c>
      <c r="Q547" t="s">
        <v>386</v>
      </c>
      <c r="R547" s="8">
        <v>2002.47</v>
      </c>
      <c r="S547">
        <v>1</v>
      </c>
      <c r="T547">
        <v>0.15</v>
      </c>
      <c r="U547" s="8">
        <v>69.95</v>
      </c>
      <c r="V547" t="s">
        <v>1561</v>
      </c>
      <c r="W547" t="s">
        <v>1561</v>
      </c>
    </row>
    <row r="548" spans="1:23">
      <c r="A548">
        <v>1547</v>
      </c>
      <c r="B548" t="s">
        <v>1346</v>
      </c>
      <c r="C548" s="7">
        <v>45631</v>
      </c>
      <c r="D548" s="7">
        <v>45633</v>
      </c>
      <c r="E548" t="s">
        <v>101</v>
      </c>
      <c r="F548" t="s">
        <v>526</v>
      </c>
      <c r="G548" t="s">
        <v>1565</v>
      </c>
      <c r="H548" t="s">
        <v>51</v>
      </c>
      <c r="I548" t="s">
        <v>26</v>
      </c>
      <c r="J548" t="s">
        <v>160</v>
      </c>
      <c r="K548" t="s">
        <v>161</v>
      </c>
      <c r="L548" t="s">
        <v>29</v>
      </c>
      <c r="M548">
        <v>110001</v>
      </c>
      <c r="N548" t="s">
        <v>1347</v>
      </c>
      <c r="O548" t="s">
        <v>55</v>
      </c>
      <c r="P548" t="s">
        <v>98</v>
      </c>
      <c r="Q548" t="s">
        <v>99</v>
      </c>
      <c r="R548" s="8">
        <v>11718.58</v>
      </c>
      <c r="S548">
        <v>2</v>
      </c>
      <c r="T548">
        <v>0.1</v>
      </c>
      <c r="U548" s="8">
        <v>1120.33</v>
      </c>
      <c r="V548" t="s">
        <v>1561</v>
      </c>
      <c r="W548" t="s">
        <v>1561</v>
      </c>
    </row>
    <row r="549" spans="1:23">
      <c r="A549">
        <v>1548</v>
      </c>
      <c r="B549" t="s">
        <v>1066</v>
      </c>
      <c r="C549" s="7">
        <v>45360</v>
      </c>
      <c r="D549" s="7">
        <v>45361</v>
      </c>
      <c r="E549" t="s">
        <v>22</v>
      </c>
      <c r="F549" t="s">
        <v>499</v>
      </c>
      <c r="G549" t="s">
        <v>1569</v>
      </c>
      <c r="H549" t="s">
        <v>51</v>
      </c>
      <c r="I549" t="s">
        <v>26</v>
      </c>
      <c r="J549" t="s">
        <v>61</v>
      </c>
      <c r="K549" t="s">
        <v>62</v>
      </c>
      <c r="L549" t="s">
        <v>92</v>
      </c>
      <c r="M549">
        <v>400001</v>
      </c>
      <c r="N549" t="s">
        <v>1067</v>
      </c>
      <c r="O549" t="s">
        <v>55</v>
      </c>
      <c r="P549" t="s">
        <v>98</v>
      </c>
      <c r="Q549" t="s">
        <v>99</v>
      </c>
      <c r="R549" s="8">
        <v>46543.96</v>
      </c>
      <c r="S549">
        <v>8</v>
      </c>
      <c r="T549">
        <v>0.05</v>
      </c>
      <c r="U549" s="8">
        <v>4974.5600000000004</v>
      </c>
      <c r="V549" t="s">
        <v>1561</v>
      </c>
      <c r="W549" t="s">
        <v>1561</v>
      </c>
    </row>
    <row r="550" spans="1:23">
      <c r="A550">
        <v>1549</v>
      </c>
      <c r="B550" t="s">
        <v>904</v>
      </c>
      <c r="C550" s="7">
        <v>45620</v>
      </c>
      <c r="D550" s="7">
        <v>45624</v>
      </c>
      <c r="E550" t="s">
        <v>101</v>
      </c>
      <c r="F550" t="s">
        <v>177</v>
      </c>
      <c r="G550" t="s">
        <v>1575</v>
      </c>
      <c r="H550" t="s">
        <v>108</v>
      </c>
      <c r="I550" t="s">
        <v>26</v>
      </c>
      <c r="J550" t="s">
        <v>90</v>
      </c>
      <c r="K550" t="s">
        <v>91</v>
      </c>
      <c r="L550" t="s">
        <v>29</v>
      </c>
      <c r="M550">
        <v>600001</v>
      </c>
      <c r="N550" t="s">
        <v>905</v>
      </c>
      <c r="O550" t="s">
        <v>55</v>
      </c>
      <c r="P550" t="s">
        <v>98</v>
      </c>
      <c r="Q550" t="s">
        <v>99</v>
      </c>
      <c r="R550" s="8">
        <v>5808.09</v>
      </c>
      <c r="S550">
        <v>1</v>
      </c>
      <c r="T550">
        <v>0.05</v>
      </c>
      <c r="U550" s="8">
        <v>624.42999999999995</v>
      </c>
      <c r="V550" t="s">
        <v>1561</v>
      </c>
      <c r="W550" t="s">
        <v>1561</v>
      </c>
    </row>
    <row r="551" spans="1:23">
      <c r="A551">
        <v>1550</v>
      </c>
      <c r="B551" t="s">
        <v>1201</v>
      </c>
      <c r="C551" s="7">
        <v>45473</v>
      </c>
      <c r="D551" s="7">
        <v>45475</v>
      </c>
      <c r="E551" t="s">
        <v>69</v>
      </c>
      <c r="F551" t="s">
        <v>791</v>
      </c>
      <c r="G551" t="s">
        <v>1574</v>
      </c>
      <c r="H551" t="s">
        <v>51</v>
      </c>
      <c r="I551" t="s">
        <v>26</v>
      </c>
      <c r="J551" t="s">
        <v>39</v>
      </c>
      <c r="K551" t="s">
        <v>40</v>
      </c>
      <c r="L551" t="s">
        <v>41</v>
      </c>
      <c r="M551">
        <v>600001</v>
      </c>
      <c r="N551" t="s">
        <v>1202</v>
      </c>
      <c r="O551" t="s">
        <v>138</v>
      </c>
      <c r="P551" t="s">
        <v>121</v>
      </c>
      <c r="Q551" t="s">
        <v>122</v>
      </c>
      <c r="R551" s="8">
        <v>2546.54</v>
      </c>
      <c r="S551">
        <v>5</v>
      </c>
      <c r="T551">
        <v>0.25</v>
      </c>
      <c r="U551" s="8">
        <v>88.34</v>
      </c>
      <c r="V551" t="s">
        <v>1561</v>
      </c>
      <c r="W551" t="s">
        <v>1561</v>
      </c>
    </row>
    <row r="552" spans="1:23">
      <c r="A552">
        <v>1551</v>
      </c>
      <c r="B552" t="s">
        <v>283</v>
      </c>
      <c r="C552" s="7">
        <v>45571</v>
      </c>
      <c r="D552" s="7">
        <v>45576</v>
      </c>
      <c r="E552" t="s">
        <v>48</v>
      </c>
      <c r="F552" t="s">
        <v>280</v>
      </c>
      <c r="G552" t="s">
        <v>1569</v>
      </c>
      <c r="H552" t="s">
        <v>51</v>
      </c>
      <c r="I552" t="s">
        <v>26</v>
      </c>
      <c r="J552" t="s">
        <v>61</v>
      </c>
      <c r="K552" t="s">
        <v>62</v>
      </c>
      <c r="L552" t="s">
        <v>29</v>
      </c>
      <c r="M552">
        <v>400001</v>
      </c>
      <c r="N552" t="s">
        <v>206</v>
      </c>
      <c r="O552" t="s">
        <v>83</v>
      </c>
      <c r="P552" t="s">
        <v>33</v>
      </c>
      <c r="Q552" t="s">
        <v>34</v>
      </c>
      <c r="R552" s="8">
        <v>2927.15</v>
      </c>
      <c r="S552">
        <v>3</v>
      </c>
      <c r="T552">
        <v>0.25</v>
      </c>
      <c r="U552" s="8">
        <v>316.2</v>
      </c>
      <c r="V552" t="s">
        <v>1561</v>
      </c>
      <c r="W552" t="s">
        <v>1561</v>
      </c>
    </row>
    <row r="553" spans="1:23">
      <c r="A553">
        <v>1552</v>
      </c>
      <c r="B553" t="s">
        <v>1158</v>
      </c>
      <c r="C553" s="7">
        <v>45561</v>
      </c>
      <c r="D553" s="7">
        <v>45564</v>
      </c>
      <c r="E553" t="s">
        <v>101</v>
      </c>
      <c r="F553" t="s">
        <v>295</v>
      </c>
      <c r="G553" t="s">
        <v>1573</v>
      </c>
      <c r="H553" t="s">
        <v>51</v>
      </c>
      <c r="I553" t="s">
        <v>26</v>
      </c>
      <c r="J553" t="s">
        <v>131</v>
      </c>
      <c r="K553" t="s">
        <v>132</v>
      </c>
      <c r="L553" t="s">
        <v>41</v>
      </c>
      <c r="M553">
        <v>682001</v>
      </c>
      <c r="N553" t="s">
        <v>1159</v>
      </c>
      <c r="O553" t="s">
        <v>138</v>
      </c>
      <c r="P553" t="s">
        <v>139</v>
      </c>
      <c r="Q553" t="s">
        <v>140</v>
      </c>
      <c r="R553" s="8">
        <v>3831.67</v>
      </c>
      <c r="S553">
        <v>4</v>
      </c>
      <c r="T553">
        <v>0.05</v>
      </c>
      <c r="U553" s="8">
        <v>779.07</v>
      </c>
      <c r="V553" t="s">
        <v>1561</v>
      </c>
      <c r="W553" t="s">
        <v>1561</v>
      </c>
    </row>
    <row r="554" spans="1:23">
      <c r="A554">
        <v>1553</v>
      </c>
      <c r="B554" t="s">
        <v>419</v>
      </c>
      <c r="C554" s="7">
        <v>45605</v>
      </c>
      <c r="D554" s="7">
        <v>45606</v>
      </c>
      <c r="E554" t="s">
        <v>48</v>
      </c>
      <c r="F554" t="s">
        <v>420</v>
      </c>
      <c r="G554" t="s">
        <v>1575</v>
      </c>
      <c r="H554" t="s">
        <v>25</v>
      </c>
      <c r="I554" t="s">
        <v>26</v>
      </c>
      <c r="J554" t="s">
        <v>90</v>
      </c>
      <c r="K554" t="s">
        <v>91</v>
      </c>
      <c r="L554" t="s">
        <v>41</v>
      </c>
      <c r="M554">
        <v>560001</v>
      </c>
      <c r="N554" t="s">
        <v>421</v>
      </c>
      <c r="O554" t="s">
        <v>83</v>
      </c>
      <c r="P554" t="s">
        <v>33</v>
      </c>
      <c r="Q554" t="s">
        <v>34</v>
      </c>
      <c r="R554" s="8">
        <v>5136.92</v>
      </c>
      <c r="S554">
        <v>4</v>
      </c>
      <c r="T554">
        <v>0.15</v>
      </c>
      <c r="U554" s="8">
        <v>655.65</v>
      </c>
      <c r="V554" t="s">
        <v>1561</v>
      </c>
      <c r="W554" t="s">
        <v>1561</v>
      </c>
    </row>
    <row r="555" spans="1:23">
      <c r="A555">
        <v>1554</v>
      </c>
      <c r="B555" t="s">
        <v>1332</v>
      </c>
      <c r="C555" s="7">
        <v>45472</v>
      </c>
      <c r="D555" s="7">
        <v>45475</v>
      </c>
      <c r="E555" t="s">
        <v>48</v>
      </c>
      <c r="F555" t="s">
        <v>633</v>
      </c>
      <c r="G555" t="s">
        <v>1569</v>
      </c>
      <c r="H555" t="s">
        <v>51</v>
      </c>
      <c r="I555" t="s">
        <v>26</v>
      </c>
      <c r="J555" t="s">
        <v>52</v>
      </c>
      <c r="K555" t="s">
        <v>52</v>
      </c>
      <c r="L555" t="s">
        <v>63</v>
      </c>
      <c r="M555">
        <v>400001</v>
      </c>
      <c r="N555" t="s">
        <v>1024</v>
      </c>
      <c r="O555" t="s">
        <v>188</v>
      </c>
      <c r="P555" t="s">
        <v>189</v>
      </c>
      <c r="Q555" t="s">
        <v>190</v>
      </c>
      <c r="R555" s="8">
        <v>17111.14</v>
      </c>
      <c r="S555">
        <v>4</v>
      </c>
      <c r="T555">
        <v>0.25</v>
      </c>
      <c r="U555" s="8">
        <v>-627.91999999999996</v>
      </c>
      <c r="V555" t="s">
        <v>1561</v>
      </c>
      <c r="W555" t="s">
        <v>1561</v>
      </c>
    </row>
    <row r="556" spans="1:23">
      <c r="A556">
        <v>1555</v>
      </c>
      <c r="B556" t="s">
        <v>641</v>
      </c>
      <c r="C556" s="7">
        <v>45585</v>
      </c>
      <c r="D556" s="7">
        <v>45586</v>
      </c>
      <c r="E556" t="s">
        <v>48</v>
      </c>
      <c r="F556" t="s">
        <v>414</v>
      </c>
      <c r="G556" t="s">
        <v>1560</v>
      </c>
      <c r="H556" t="s">
        <v>51</v>
      </c>
      <c r="I556" t="s">
        <v>26</v>
      </c>
      <c r="J556" t="s">
        <v>79</v>
      </c>
      <c r="K556" t="s">
        <v>80</v>
      </c>
      <c r="L556" t="s">
        <v>41</v>
      </c>
      <c r="M556">
        <v>695001</v>
      </c>
      <c r="N556" t="s">
        <v>82</v>
      </c>
      <c r="O556" t="s">
        <v>55</v>
      </c>
      <c r="P556" t="s">
        <v>66</v>
      </c>
      <c r="Q556" t="s">
        <v>67</v>
      </c>
      <c r="R556" s="8">
        <v>24984.78</v>
      </c>
      <c r="S556">
        <v>3</v>
      </c>
      <c r="T556">
        <v>0.05</v>
      </c>
      <c r="U556" s="8">
        <v>2634.29</v>
      </c>
      <c r="V556" t="s">
        <v>1561</v>
      </c>
      <c r="W556" t="s">
        <v>1561</v>
      </c>
    </row>
    <row r="557" spans="1:23">
      <c r="A557">
        <v>1556</v>
      </c>
      <c r="B557" t="s">
        <v>1416</v>
      </c>
      <c r="C557" s="7">
        <v>45421</v>
      </c>
      <c r="D557" s="7">
        <v>45423</v>
      </c>
      <c r="E557" t="s">
        <v>48</v>
      </c>
      <c r="F557" t="s">
        <v>660</v>
      </c>
      <c r="G557" t="s">
        <v>1572</v>
      </c>
      <c r="H557" t="s">
        <v>51</v>
      </c>
      <c r="I557" t="s">
        <v>26</v>
      </c>
      <c r="J557" t="s">
        <v>131</v>
      </c>
      <c r="K557" t="s">
        <v>132</v>
      </c>
      <c r="L557" t="s">
        <v>63</v>
      </c>
      <c r="M557">
        <v>673001</v>
      </c>
      <c r="N557" t="s">
        <v>818</v>
      </c>
      <c r="O557" t="s">
        <v>44</v>
      </c>
      <c r="P557" t="s">
        <v>211</v>
      </c>
      <c r="Q557" t="s">
        <v>212</v>
      </c>
      <c r="R557" s="8">
        <v>5357.72</v>
      </c>
      <c r="S557">
        <v>5</v>
      </c>
      <c r="T557">
        <v>0.15</v>
      </c>
      <c r="U557" s="8">
        <v>57.74</v>
      </c>
      <c r="V557" t="s">
        <v>1561</v>
      </c>
      <c r="W557" t="s">
        <v>1561</v>
      </c>
    </row>
    <row r="558" spans="1:23">
      <c r="A558">
        <v>1557</v>
      </c>
      <c r="B558" t="s">
        <v>1303</v>
      </c>
      <c r="C558" s="7">
        <v>45629</v>
      </c>
      <c r="D558" s="7">
        <v>45633</v>
      </c>
      <c r="E558" t="s">
        <v>48</v>
      </c>
      <c r="F558" t="s">
        <v>414</v>
      </c>
      <c r="G558" t="s">
        <v>1571</v>
      </c>
      <c r="H558" t="s">
        <v>51</v>
      </c>
      <c r="I558" t="s">
        <v>26</v>
      </c>
      <c r="J558" t="s">
        <v>131</v>
      </c>
      <c r="K558" t="s">
        <v>132</v>
      </c>
      <c r="L558" t="s">
        <v>63</v>
      </c>
      <c r="M558">
        <v>110001</v>
      </c>
      <c r="N558" t="s">
        <v>1304</v>
      </c>
      <c r="O558" t="s">
        <v>138</v>
      </c>
      <c r="P558" t="s">
        <v>139</v>
      </c>
      <c r="Q558" t="s">
        <v>140</v>
      </c>
      <c r="R558" s="8">
        <v>2587.86</v>
      </c>
      <c r="S558">
        <v>3</v>
      </c>
      <c r="T558">
        <v>0.05</v>
      </c>
      <c r="U558" s="8">
        <v>441.48</v>
      </c>
      <c r="V558" t="s">
        <v>1561</v>
      </c>
      <c r="W558" t="s">
        <v>1561</v>
      </c>
    </row>
    <row r="559" spans="1:23">
      <c r="A559">
        <v>1558</v>
      </c>
      <c r="B559" t="s">
        <v>1203</v>
      </c>
      <c r="C559" s="7">
        <v>45467</v>
      </c>
      <c r="D559" s="7">
        <v>45468</v>
      </c>
      <c r="E559" t="s">
        <v>69</v>
      </c>
      <c r="F559" t="s">
        <v>146</v>
      </c>
      <c r="G559" t="s">
        <v>1567</v>
      </c>
      <c r="H559" t="s">
        <v>51</v>
      </c>
      <c r="I559" t="s">
        <v>26</v>
      </c>
      <c r="J559" t="s">
        <v>72</v>
      </c>
      <c r="K559" t="s">
        <v>73</v>
      </c>
      <c r="L559" t="s">
        <v>92</v>
      </c>
      <c r="M559">
        <v>110001</v>
      </c>
      <c r="N559" t="s">
        <v>596</v>
      </c>
      <c r="O559" t="s">
        <v>138</v>
      </c>
      <c r="P559" t="s">
        <v>182</v>
      </c>
      <c r="Q559" t="s">
        <v>183</v>
      </c>
      <c r="R559" s="8">
        <v>1370.08</v>
      </c>
      <c r="S559">
        <v>3</v>
      </c>
      <c r="T559">
        <v>0</v>
      </c>
      <c r="U559" s="8">
        <v>284.99</v>
      </c>
      <c r="V559" t="s">
        <v>1561</v>
      </c>
      <c r="W559" t="s">
        <v>1561</v>
      </c>
    </row>
    <row r="560" spans="1:23">
      <c r="A560">
        <v>1559</v>
      </c>
      <c r="B560" t="s">
        <v>1216</v>
      </c>
      <c r="C560" s="7">
        <v>45618</v>
      </c>
      <c r="D560" s="7">
        <v>45620</v>
      </c>
      <c r="E560" t="s">
        <v>69</v>
      </c>
      <c r="F560" t="s">
        <v>649</v>
      </c>
      <c r="G560" t="s">
        <v>1560</v>
      </c>
      <c r="H560" t="s">
        <v>25</v>
      </c>
      <c r="I560" t="s">
        <v>26</v>
      </c>
      <c r="J560" t="s">
        <v>27</v>
      </c>
      <c r="K560" t="s">
        <v>28</v>
      </c>
      <c r="L560" t="s">
        <v>63</v>
      </c>
      <c r="M560">
        <v>673001</v>
      </c>
      <c r="N560" t="s">
        <v>1217</v>
      </c>
      <c r="O560" t="s">
        <v>55</v>
      </c>
      <c r="P560" t="s">
        <v>98</v>
      </c>
      <c r="Q560" t="s">
        <v>99</v>
      </c>
      <c r="R560" s="8">
        <v>4187.18</v>
      </c>
      <c r="S560">
        <v>1</v>
      </c>
      <c r="T560">
        <v>0.3</v>
      </c>
      <c r="U560" s="8">
        <v>-174.21</v>
      </c>
      <c r="V560" t="s">
        <v>1561</v>
      </c>
      <c r="W560" t="s">
        <v>1561</v>
      </c>
    </row>
    <row r="561" spans="1:23">
      <c r="A561">
        <v>1560</v>
      </c>
      <c r="B561" t="s">
        <v>478</v>
      </c>
      <c r="C561" s="7">
        <v>45496</v>
      </c>
      <c r="D561" s="7">
        <v>45500</v>
      </c>
      <c r="E561" t="s">
        <v>48</v>
      </c>
      <c r="F561" t="s">
        <v>479</v>
      </c>
      <c r="G561" t="s">
        <v>1560</v>
      </c>
      <c r="H561" t="s">
        <v>25</v>
      </c>
      <c r="I561" t="s">
        <v>26</v>
      </c>
      <c r="J561" t="s">
        <v>115</v>
      </c>
      <c r="K561" t="s">
        <v>116</v>
      </c>
      <c r="L561" t="s">
        <v>92</v>
      </c>
      <c r="M561">
        <v>560001</v>
      </c>
      <c r="N561" t="s">
        <v>480</v>
      </c>
      <c r="O561" t="s">
        <v>83</v>
      </c>
      <c r="P561" t="s">
        <v>84</v>
      </c>
      <c r="Q561" t="s">
        <v>85</v>
      </c>
      <c r="R561" s="8">
        <v>2155.9899999999998</v>
      </c>
      <c r="S561">
        <v>1</v>
      </c>
      <c r="T561">
        <v>0.3</v>
      </c>
      <c r="U561" s="8">
        <v>96.61</v>
      </c>
      <c r="V561" t="s">
        <v>1561</v>
      </c>
      <c r="W561" t="s">
        <v>1561</v>
      </c>
    </row>
    <row r="562" spans="1:23">
      <c r="A562">
        <v>1561</v>
      </c>
      <c r="B562" t="s">
        <v>1483</v>
      </c>
      <c r="C562" s="7">
        <v>45298</v>
      </c>
      <c r="D562" s="7">
        <v>45301</v>
      </c>
      <c r="E562" t="s">
        <v>101</v>
      </c>
      <c r="F562" t="s">
        <v>678</v>
      </c>
      <c r="G562" t="s">
        <v>1566</v>
      </c>
      <c r="H562" t="s">
        <v>51</v>
      </c>
      <c r="I562" t="s">
        <v>26</v>
      </c>
      <c r="J562" t="s">
        <v>160</v>
      </c>
      <c r="K562" t="s">
        <v>161</v>
      </c>
      <c r="L562" t="s">
        <v>63</v>
      </c>
      <c r="M562">
        <v>600001</v>
      </c>
      <c r="N562" t="s">
        <v>480</v>
      </c>
      <c r="O562" t="s">
        <v>55</v>
      </c>
      <c r="P562" t="s">
        <v>98</v>
      </c>
      <c r="Q562" t="s">
        <v>99</v>
      </c>
      <c r="R562" s="8">
        <v>5098.5600000000004</v>
      </c>
      <c r="S562">
        <v>1</v>
      </c>
      <c r="T562">
        <v>0.25</v>
      </c>
      <c r="U562" s="8">
        <v>-15.65</v>
      </c>
      <c r="V562" t="s">
        <v>1561</v>
      </c>
      <c r="W562" t="s">
        <v>1561</v>
      </c>
    </row>
    <row r="563" spans="1:23">
      <c r="A563">
        <v>1562</v>
      </c>
      <c r="B563" t="s">
        <v>1429</v>
      </c>
      <c r="C563" s="7">
        <v>45604</v>
      </c>
      <c r="D563" s="7">
        <v>45610</v>
      </c>
      <c r="E563" t="s">
        <v>48</v>
      </c>
      <c r="F563" t="s">
        <v>744</v>
      </c>
      <c r="G563" t="s">
        <v>1570</v>
      </c>
      <c r="H563" t="s">
        <v>108</v>
      </c>
      <c r="I563" t="s">
        <v>26</v>
      </c>
      <c r="J563" t="s">
        <v>346</v>
      </c>
      <c r="K563" t="s">
        <v>132</v>
      </c>
      <c r="L563" t="s">
        <v>63</v>
      </c>
      <c r="M563">
        <v>110001</v>
      </c>
      <c r="N563" t="s">
        <v>1430</v>
      </c>
      <c r="O563" t="s">
        <v>44</v>
      </c>
      <c r="P563" t="s">
        <v>45</v>
      </c>
      <c r="Q563" t="s">
        <v>46</v>
      </c>
      <c r="R563" s="8">
        <v>85693.17</v>
      </c>
      <c r="S563">
        <v>3</v>
      </c>
      <c r="T563">
        <v>0.25</v>
      </c>
      <c r="U563" s="8">
        <v>-5195.13</v>
      </c>
      <c r="V563" t="s">
        <v>1561</v>
      </c>
      <c r="W563" t="s">
        <v>1561</v>
      </c>
    </row>
    <row r="564" spans="1:23">
      <c r="A564">
        <v>1563</v>
      </c>
      <c r="B564" t="s">
        <v>1465</v>
      </c>
      <c r="C564" s="7">
        <v>45636</v>
      </c>
      <c r="D564" s="7">
        <v>45641</v>
      </c>
      <c r="E564" t="s">
        <v>69</v>
      </c>
      <c r="F564" t="s">
        <v>277</v>
      </c>
      <c r="G564" t="s">
        <v>1563</v>
      </c>
      <c r="H564" t="s">
        <v>25</v>
      </c>
      <c r="I564" t="s">
        <v>26</v>
      </c>
      <c r="J564" t="s">
        <v>115</v>
      </c>
      <c r="K564" t="s">
        <v>116</v>
      </c>
      <c r="L564" t="s">
        <v>92</v>
      </c>
      <c r="M564">
        <v>695001</v>
      </c>
      <c r="N564" t="s">
        <v>1466</v>
      </c>
      <c r="O564" t="s">
        <v>138</v>
      </c>
      <c r="P564" t="s">
        <v>156</v>
      </c>
      <c r="Q564" t="s">
        <v>157</v>
      </c>
      <c r="R564" s="8">
        <v>700.99</v>
      </c>
      <c r="S564">
        <v>2</v>
      </c>
      <c r="T564">
        <v>0.1</v>
      </c>
      <c r="U564" s="8">
        <v>97.04</v>
      </c>
      <c r="V564" t="s">
        <v>1561</v>
      </c>
      <c r="W564" t="s">
        <v>1561</v>
      </c>
    </row>
    <row r="565" spans="1:23">
      <c r="A565">
        <v>1564</v>
      </c>
      <c r="B565" t="s">
        <v>1325</v>
      </c>
      <c r="C565" s="7">
        <v>45342</v>
      </c>
      <c r="D565" s="7">
        <v>45347</v>
      </c>
      <c r="E565" t="s">
        <v>22</v>
      </c>
      <c r="F565" t="s">
        <v>1118</v>
      </c>
      <c r="G565" t="s">
        <v>1562</v>
      </c>
      <c r="H565" t="s">
        <v>51</v>
      </c>
      <c r="I565" t="s">
        <v>26</v>
      </c>
      <c r="J565" t="s">
        <v>346</v>
      </c>
      <c r="K565" t="s">
        <v>132</v>
      </c>
      <c r="L565" t="s">
        <v>63</v>
      </c>
      <c r="M565">
        <v>682001</v>
      </c>
      <c r="N565" t="s">
        <v>1326</v>
      </c>
      <c r="O565" t="s">
        <v>138</v>
      </c>
      <c r="P565" t="s">
        <v>156</v>
      </c>
      <c r="Q565" t="s">
        <v>157</v>
      </c>
      <c r="R565" s="8">
        <v>266.17</v>
      </c>
      <c r="S565">
        <v>1</v>
      </c>
      <c r="T565">
        <v>0.25</v>
      </c>
      <c r="U565" s="8">
        <v>9.52</v>
      </c>
      <c r="V565" t="s">
        <v>1561</v>
      </c>
      <c r="W565" t="s">
        <v>1561</v>
      </c>
    </row>
    <row r="566" spans="1:23">
      <c r="A566">
        <v>1565</v>
      </c>
      <c r="B566" t="s">
        <v>1443</v>
      </c>
      <c r="C566" s="7">
        <v>45321</v>
      </c>
      <c r="D566" s="7">
        <v>45326</v>
      </c>
      <c r="E566" t="s">
        <v>69</v>
      </c>
      <c r="F566" t="s">
        <v>146</v>
      </c>
      <c r="G566" t="s">
        <v>1566</v>
      </c>
      <c r="H566" t="s">
        <v>51</v>
      </c>
      <c r="I566" t="s">
        <v>26</v>
      </c>
      <c r="J566" t="s">
        <v>115</v>
      </c>
      <c r="K566" t="s">
        <v>116</v>
      </c>
      <c r="L566" t="s">
        <v>41</v>
      </c>
      <c r="M566">
        <v>400001</v>
      </c>
      <c r="N566" t="s">
        <v>666</v>
      </c>
      <c r="O566" t="s">
        <v>55</v>
      </c>
      <c r="P566" t="s">
        <v>66</v>
      </c>
      <c r="Q566" t="s">
        <v>67</v>
      </c>
      <c r="R566" s="8">
        <v>8326.86</v>
      </c>
      <c r="S566">
        <v>1</v>
      </c>
      <c r="T566">
        <v>0</v>
      </c>
      <c r="U566" s="8">
        <v>1172.26</v>
      </c>
      <c r="V566" t="s">
        <v>1561</v>
      </c>
      <c r="W566" t="s">
        <v>1561</v>
      </c>
    </row>
    <row r="567" spans="1:23">
      <c r="A567">
        <v>1566</v>
      </c>
      <c r="B567" t="s">
        <v>1422</v>
      </c>
      <c r="C567" s="7">
        <v>45348</v>
      </c>
      <c r="D567" s="7">
        <v>45354</v>
      </c>
      <c r="E567" t="s">
        <v>69</v>
      </c>
      <c r="F567" t="s">
        <v>330</v>
      </c>
      <c r="G567" t="s">
        <v>1570</v>
      </c>
      <c r="H567" t="s">
        <v>25</v>
      </c>
      <c r="I567" t="s">
        <v>26</v>
      </c>
      <c r="J567" t="s">
        <v>131</v>
      </c>
      <c r="K567" t="s">
        <v>132</v>
      </c>
      <c r="L567" t="s">
        <v>29</v>
      </c>
      <c r="M567">
        <v>400001</v>
      </c>
      <c r="N567" t="s">
        <v>1236</v>
      </c>
      <c r="O567" t="s">
        <v>188</v>
      </c>
      <c r="P567" t="s">
        <v>189</v>
      </c>
      <c r="Q567" t="s">
        <v>386</v>
      </c>
      <c r="R567" s="8">
        <v>4329.42</v>
      </c>
      <c r="S567">
        <v>2</v>
      </c>
      <c r="T567">
        <v>0.05</v>
      </c>
      <c r="U567" s="8">
        <v>421.25</v>
      </c>
      <c r="V567" t="s">
        <v>1561</v>
      </c>
      <c r="W567" t="s">
        <v>1561</v>
      </c>
    </row>
    <row r="568" spans="1:23">
      <c r="A568">
        <v>1567</v>
      </c>
      <c r="B568" t="s">
        <v>1463</v>
      </c>
      <c r="C568" s="7">
        <v>45646</v>
      </c>
      <c r="D568" s="7">
        <v>45652</v>
      </c>
      <c r="E568" t="s">
        <v>48</v>
      </c>
      <c r="F568" t="s">
        <v>330</v>
      </c>
      <c r="G568" t="s">
        <v>1571</v>
      </c>
      <c r="H568" t="s">
        <v>108</v>
      </c>
      <c r="I568" t="s">
        <v>26</v>
      </c>
      <c r="J568" t="s">
        <v>90</v>
      </c>
      <c r="K568" t="s">
        <v>91</v>
      </c>
      <c r="L568" t="s">
        <v>41</v>
      </c>
      <c r="M568">
        <v>695001</v>
      </c>
      <c r="N568" t="s">
        <v>1464</v>
      </c>
      <c r="O568" t="s">
        <v>138</v>
      </c>
      <c r="P568" t="s">
        <v>182</v>
      </c>
      <c r="Q568" t="s">
        <v>183</v>
      </c>
      <c r="R568" s="8">
        <v>629.75</v>
      </c>
      <c r="S568">
        <v>2</v>
      </c>
      <c r="T568">
        <v>0.25</v>
      </c>
      <c r="U568" s="8">
        <v>20.309999999999999</v>
      </c>
      <c r="V568" t="s">
        <v>1561</v>
      </c>
      <c r="W568" t="s">
        <v>1561</v>
      </c>
    </row>
    <row r="569" spans="1:23">
      <c r="A569">
        <v>1568</v>
      </c>
      <c r="B569" t="s">
        <v>983</v>
      </c>
      <c r="C569" s="7">
        <v>45427</v>
      </c>
      <c r="D569" s="7">
        <v>45429</v>
      </c>
      <c r="E569" t="s">
        <v>101</v>
      </c>
      <c r="F569" t="s">
        <v>164</v>
      </c>
      <c r="G569" t="s">
        <v>1562</v>
      </c>
      <c r="H569" t="s">
        <v>51</v>
      </c>
      <c r="I569" t="s">
        <v>26</v>
      </c>
      <c r="J569" t="s">
        <v>346</v>
      </c>
      <c r="K569" t="s">
        <v>132</v>
      </c>
      <c r="L569" t="s">
        <v>92</v>
      </c>
      <c r="M569">
        <v>600001</v>
      </c>
      <c r="N569" t="s">
        <v>889</v>
      </c>
      <c r="O569" t="s">
        <v>55</v>
      </c>
      <c r="P569" t="s">
        <v>98</v>
      </c>
      <c r="Q569" t="s">
        <v>99</v>
      </c>
      <c r="R569" s="8">
        <v>44796.07</v>
      </c>
      <c r="S569">
        <v>8</v>
      </c>
      <c r="T569">
        <v>0.15</v>
      </c>
      <c r="U569" s="8">
        <v>2206.39</v>
      </c>
      <c r="V569" t="s">
        <v>1561</v>
      </c>
      <c r="W569" t="s">
        <v>1561</v>
      </c>
    </row>
    <row r="570" spans="1:23">
      <c r="A570">
        <v>1569</v>
      </c>
      <c r="B570" t="s">
        <v>1031</v>
      </c>
      <c r="C570" s="7">
        <v>45403</v>
      </c>
      <c r="D570" s="7">
        <v>45408</v>
      </c>
      <c r="E570" t="s">
        <v>22</v>
      </c>
      <c r="F570" t="s">
        <v>333</v>
      </c>
      <c r="G570" t="s">
        <v>1562</v>
      </c>
      <c r="H570" t="s">
        <v>51</v>
      </c>
      <c r="I570" t="s">
        <v>26</v>
      </c>
      <c r="J570" t="s">
        <v>166</v>
      </c>
      <c r="K570" t="s">
        <v>132</v>
      </c>
      <c r="L570" t="s">
        <v>63</v>
      </c>
      <c r="M570">
        <v>673001</v>
      </c>
      <c r="N570" t="s">
        <v>991</v>
      </c>
      <c r="O570" t="s">
        <v>138</v>
      </c>
      <c r="P570" t="s">
        <v>156</v>
      </c>
      <c r="Q570" t="s">
        <v>157</v>
      </c>
      <c r="R570" s="8">
        <v>301.02</v>
      </c>
      <c r="S570">
        <v>1</v>
      </c>
      <c r="T570">
        <v>0.25</v>
      </c>
      <c r="U570" s="8">
        <v>11.26</v>
      </c>
      <c r="V570" t="s">
        <v>1561</v>
      </c>
      <c r="W570" t="s">
        <v>1561</v>
      </c>
    </row>
    <row r="571" spans="1:23">
      <c r="A571">
        <v>1570</v>
      </c>
      <c r="B571" t="s">
        <v>916</v>
      </c>
      <c r="C571" s="7">
        <v>45301</v>
      </c>
      <c r="D571" s="7">
        <v>45305</v>
      </c>
      <c r="E571" t="s">
        <v>69</v>
      </c>
      <c r="F571" t="s">
        <v>411</v>
      </c>
      <c r="G571" t="s">
        <v>1566</v>
      </c>
      <c r="H571" t="s">
        <v>25</v>
      </c>
      <c r="I571" t="s">
        <v>26</v>
      </c>
      <c r="J571" t="s">
        <v>131</v>
      </c>
      <c r="K571" t="s">
        <v>132</v>
      </c>
      <c r="L571" t="s">
        <v>41</v>
      </c>
      <c r="M571">
        <v>673001</v>
      </c>
      <c r="N571" t="s">
        <v>917</v>
      </c>
      <c r="O571" t="s">
        <v>44</v>
      </c>
      <c r="P571" t="s">
        <v>45</v>
      </c>
      <c r="Q571" t="s">
        <v>46</v>
      </c>
      <c r="R571" s="8">
        <v>50243.45</v>
      </c>
      <c r="S571">
        <v>2</v>
      </c>
      <c r="T571">
        <v>0.3</v>
      </c>
      <c r="U571" s="8">
        <v>-4468.0200000000004</v>
      </c>
      <c r="V571" t="s">
        <v>1561</v>
      </c>
      <c r="W571" t="s">
        <v>1561</v>
      </c>
    </row>
    <row r="572" spans="1:23">
      <c r="A572">
        <v>1571</v>
      </c>
      <c r="B572" t="s">
        <v>433</v>
      </c>
      <c r="C572" s="7">
        <v>45586</v>
      </c>
      <c r="D572" s="7">
        <v>45587</v>
      </c>
      <c r="E572" t="s">
        <v>101</v>
      </c>
      <c r="F572" t="s">
        <v>434</v>
      </c>
      <c r="G572" t="s">
        <v>1564</v>
      </c>
      <c r="H572" t="s">
        <v>51</v>
      </c>
      <c r="I572" t="s">
        <v>26</v>
      </c>
      <c r="J572" t="s">
        <v>109</v>
      </c>
      <c r="K572" t="s">
        <v>110</v>
      </c>
      <c r="L572" t="s">
        <v>29</v>
      </c>
      <c r="M572">
        <v>110001</v>
      </c>
      <c r="N572" t="s">
        <v>435</v>
      </c>
      <c r="O572" t="s">
        <v>55</v>
      </c>
      <c r="P572" t="s">
        <v>66</v>
      </c>
      <c r="Q572" t="s">
        <v>67</v>
      </c>
      <c r="R572" s="8">
        <v>13412.35</v>
      </c>
      <c r="S572">
        <v>2</v>
      </c>
      <c r="T572">
        <v>0.25</v>
      </c>
      <c r="U572" s="8">
        <v>-30.98</v>
      </c>
      <c r="V572" t="s">
        <v>1561</v>
      </c>
      <c r="W572" t="s">
        <v>1561</v>
      </c>
    </row>
    <row r="573" spans="1:23">
      <c r="A573">
        <v>1572</v>
      </c>
      <c r="B573" t="s">
        <v>1220</v>
      </c>
      <c r="C573" s="7">
        <v>45488</v>
      </c>
      <c r="D573" s="7">
        <v>45494</v>
      </c>
      <c r="E573" t="s">
        <v>101</v>
      </c>
      <c r="F573" t="s">
        <v>442</v>
      </c>
      <c r="G573" t="s">
        <v>1574</v>
      </c>
      <c r="H573" t="s">
        <v>25</v>
      </c>
      <c r="I573" t="s">
        <v>26</v>
      </c>
      <c r="J573" t="s">
        <v>27</v>
      </c>
      <c r="K573" t="s">
        <v>28</v>
      </c>
      <c r="L573" t="s">
        <v>63</v>
      </c>
      <c r="M573">
        <v>695001</v>
      </c>
      <c r="N573" t="s">
        <v>1221</v>
      </c>
      <c r="O573" t="s">
        <v>83</v>
      </c>
      <c r="P573" t="s">
        <v>84</v>
      </c>
      <c r="Q573" t="s">
        <v>85</v>
      </c>
      <c r="R573" s="8">
        <v>9873.43</v>
      </c>
      <c r="S573">
        <v>3</v>
      </c>
      <c r="T573">
        <v>0</v>
      </c>
      <c r="U573" s="8">
        <v>1481</v>
      </c>
      <c r="V573" t="s">
        <v>1561</v>
      </c>
      <c r="W573" t="s">
        <v>1561</v>
      </c>
    </row>
    <row r="574" spans="1:23">
      <c r="A574">
        <v>1573</v>
      </c>
      <c r="B574" t="s">
        <v>572</v>
      </c>
      <c r="C574" s="7">
        <v>45479</v>
      </c>
      <c r="D574" s="7">
        <v>45484</v>
      </c>
      <c r="E574" t="s">
        <v>48</v>
      </c>
      <c r="F574" t="s">
        <v>285</v>
      </c>
      <c r="G574" t="s">
        <v>1572</v>
      </c>
      <c r="H574" t="s">
        <v>51</v>
      </c>
      <c r="I574" t="s">
        <v>26</v>
      </c>
      <c r="J574" t="s">
        <v>115</v>
      </c>
      <c r="K574" t="s">
        <v>116</v>
      </c>
      <c r="L574" t="s">
        <v>29</v>
      </c>
      <c r="M574">
        <v>110001</v>
      </c>
      <c r="N574" t="s">
        <v>573</v>
      </c>
      <c r="O574" t="s">
        <v>55</v>
      </c>
      <c r="P574" t="s">
        <v>98</v>
      </c>
      <c r="Q574" t="s">
        <v>99</v>
      </c>
      <c r="R574" s="8">
        <v>49291.5</v>
      </c>
      <c r="S574">
        <v>8</v>
      </c>
      <c r="T574">
        <v>0</v>
      </c>
      <c r="U574" s="8">
        <v>9379.7000000000007</v>
      </c>
      <c r="V574" t="s">
        <v>1561</v>
      </c>
      <c r="W574" t="s">
        <v>1561</v>
      </c>
    </row>
    <row r="575" spans="1:23">
      <c r="A575">
        <v>1574</v>
      </c>
      <c r="B575" t="s">
        <v>1349</v>
      </c>
      <c r="C575" s="7">
        <v>45630</v>
      </c>
      <c r="D575" s="7">
        <v>45632</v>
      </c>
      <c r="E575" t="s">
        <v>48</v>
      </c>
      <c r="F575" t="s">
        <v>324</v>
      </c>
      <c r="G575" t="s">
        <v>1564</v>
      </c>
      <c r="H575" t="s">
        <v>51</v>
      </c>
      <c r="I575" t="s">
        <v>26</v>
      </c>
      <c r="J575" t="s">
        <v>115</v>
      </c>
      <c r="K575" t="s">
        <v>116</v>
      </c>
      <c r="L575" t="s">
        <v>41</v>
      </c>
      <c r="M575">
        <v>400001</v>
      </c>
      <c r="N575" t="s">
        <v>193</v>
      </c>
      <c r="O575" t="s">
        <v>138</v>
      </c>
      <c r="P575" t="s">
        <v>156</v>
      </c>
      <c r="Q575" t="s">
        <v>157</v>
      </c>
      <c r="R575" s="8">
        <v>895.69</v>
      </c>
      <c r="S575">
        <v>3</v>
      </c>
      <c r="T575">
        <v>0.25</v>
      </c>
      <c r="U575" s="8">
        <v>36.25</v>
      </c>
      <c r="V575" t="s">
        <v>1561</v>
      </c>
      <c r="W575" t="s">
        <v>1561</v>
      </c>
    </row>
    <row r="576" spans="1:23">
      <c r="A576">
        <v>1575</v>
      </c>
      <c r="B576" t="s">
        <v>1329</v>
      </c>
      <c r="C576" s="7">
        <v>45363</v>
      </c>
      <c r="D576" s="7">
        <v>45364</v>
      </c>
      <c r="E576" t="s">
        <v>69</v>
      </c>
      <c r="F576" t="s">
        <v>426</v>
      </c>
      <c r="G576" t="s">
        <v>1560</v>
      </c>
      <c r="H576" t="s">
        <v>51</v>
      </c>
      <c r="I576" t="s">
        <v>26</v>
      </c>
      <c r="J576" t="s">
        <v>226</v>
      </c>
      <c r="K576" t="s">
        <v>110</v>
      </c>
      <c r="L576" t="s">
        <v>92</v>
      </c>
      <c r="M576">
        <v>560001</v>
      </c>
      <c r="N576" t="s">
        <v>1330</v>
      </c>
      <c r="O576" t="s">
        <v>138</v>
      </c>
      <c r="P576" t="s">
        <v>182</v>
      </c>
      <c r="Q576" t="s">
        <v>183</v>
      </c>
      <c r="R576" s="8">
        <v>1283.1500000000001</v>
      </c>
      <c r="S576">
        <v>3</v>
      </c>
      <c r="T576">
        <v>0.1</v>
      </c>
      <c r="U576" s="8">
        <v>205.04</v>
      </c>
      <c r="V576" t="s">
        <v>1561</v>
      </c>
      <c r="W576" t="s">
        <v>1561</v>
      </c>
    </row>
    <row r="577" spans="1:23">
      <c r="A577">
        <v>1576</v>
      </c>
      <c r="B577" t="s">
        <v>1058</v>
      </c>
      <c r="C577" s="7">
        <v>45300</v>
      </c>
      <c r="D577" s="7">
        <v>45301</v>
      </c>
      <c r="E577" t="s">
        <v>48</v>
      </c>
      <c r="F577" t="s">
        <v>345</v>
      </c>
      <c r="G577" t="s">
        <v>1563</v>
      </c>
      <c r="H577" t="s">
        <v>51</v>
      </c>
      <c r="I577" t="s">
        <v>26</v>
      </c>
      <c r="J577" t="s">
        <v>131</v>
      </c>
      <c r="K577" t="s">
        <v>132</v>
      </c>
      <c r="L577" t="s">
        <v>41</v>
      </c>
      <c r="M577">
        <v>560001</v>
      </c>
      <c r="N577" t="s">
        <v>812</v>
      </c>
      <c r="O577" t="s">
        <v>83</v>
      </c>
      <c r="P577" t="s">
        <v>84</v>
      </c>
      <c r="Q577" t="s">
        <v>85</v>
      </c>
      <c r="R577" s="8">
        <v>4629.3500000000004</v>
      </c>
      <c r="S577">
        <v>2</v>
      </c>
      <c r="T577">
        <v>0.3</v>
      </c>
      <c r="U577" s="8">
        <v>297.52</v>
      </c>
      <c r="V577" t="s">
        <v>1561</v>
      </c>
      <c r="W577" t="s">
        <v>1561</v>
      </c>
    </row>
    <row r="578" spans="1:23">
      <c r="A578">
        <v>1577</v>
      </c>
      <c r="B578" t="s">
        <v>1200</v>
      </c>
      <c r="C578" s="7">
        <v>45588</v>
      </c>
      <c r="D578" s="7">
        <v>45590</v>
      </c>
      <c r="E578" t="s">
        <v>22</v>
      </c>
      <c r="F578" t="s">
        <v>280</v>
      </c>
      <c r="G578" t="s">
        <v>1560</v>
      </c>
      <c r="H578" t="s">
        <v>25</v>
      </c>
      <c r="I578" t="s">
        <v>26</v>
      </c>
      <c r="J578" t="s">
        <v>72</v>
      </c>
      <c r="K578" t="s">
        <v>73</v>
      </c>
      <c r="L578" t="s">
        <v>92</v>
      </c>
      <c r="M578">
        <v>560001</v>
      </c>
      <c r="N578" t="s">
        <v>640</v>
      </c>
      <c r="O578" t="s">
        <v>83</v>
      </c>
      <c r="P578" t="s">
        <v>84</v>
      </c>
      <c r="Q578" t="s">
        <v>85</v>
      </c>
      <c r="R578" s="8">
        <v>9408.15</v>
      </c>
      <c r="S578">
        <v>3</v>
      </c>
      <c r="T578">
        <v>0.05</v>
      </c>
      <c r="U578" s="8">
        <v>2230.58</v>
      </c>
      <c r="V578" t="s">
        <v>1561</v>
      </c>
      <c r="W578" t="s">
        <v>1561</v>
      </c>
    </row>
    <row r="579" spans="1:23">
      <c r="A579">
        <v>1578</v>
      </c>
      <c r="B579" t="s">
        <v>1305</v>
      </c>
      <c r="C579" s="7">
        <v>45651</v>
      </c>
      <c r="D579" s="7">
        <v>45657</v>
      </c>
      <c r="E579" t="s">
        <v>69</v>
      </c>
      <c r="F579" t="s">
        <v>512</v>
      </c>
      <c r="G579" t="s">
        <v>1571</v>
      </c>
      <c r="H579" t="s">
        <v>108</v>
      </c>
      <c r="I579" t="s">
        <v>26</v>
      </c>
      <c r="J579" t="s">
        <v>346</v>
      </c>
      <c r="K579" t="s">
        <v>132</v>
      </c>
      <c r="L579" t="s">
        <v>41</v>
      </c>
      <c r="M579">
        <v>695001</v>
      </c>
      <c r="N579" t="s">
        <v>1306</v>
      </c>
      <c r="O579" t="s">
        <v>138</v>
      </c>
      <c r="P579" t="s">
        <v>182</v>
      </c>
      <c r="Q579" t="s">
        <v>183</v>
      </c>
      <c r="R579" s="8">
        <v>1238.06</v>
      </c>
      <c r="S579">
        <v>3</v>
      </c>
      <c r="T579">
        <v>0.1</v>
      </c>
      <c r="U579" s="8">
        <v>188.26</v>
      </c>
      <c r="V579" t="s">
        <v>1561</v>
      </c>
      <c r="W579" t="s">
        <v>1561</v>
      </c>
    </row>
    <row r="580" spans="1:23">
      <c r="A580">
        <v>1579</v>
      </c>
      <c r="B580" t="s">
        <v>304</v>
      </c>
      <c r="C580" s="7">
        <v>45346</v>
      </c>
      <c r="D580" s="7">
        <v>45347</v>
      </c>
      <c r="E580" t="s">
        <v>101</v>
      </c>
      <c r="F580" t="s">
        <v>146</v>
      </c>
      <c r="G580" t="s">
        <v>1575</v>
      </c>
      <c r="H580" t="s">
        <v>51</v>
      </c>
      <c r="I580" t="s">
        <v>26</v>
      </c>
      <c r="J580" t="s">
        <v>27</v>
      </c>
      <c r="K580" t="s">
        <v>28</v>
      </c>
      <c r="L580" t="s">
        <v>92</v>
      </c>
      <c r="M580">
        <v>673001</v>
      </c>
      <c r="N580" t="s">
        <v>305</v>
      </c>
      <c r="O580" t="s">
        <v>44</v>
      </c>
      <c r="P580" t="s">
        <v>45</v>
      </c>
      <c r="Q580" t="s">
        <v>46</v>
      </c>
      <c r="R580" s="8">
        <v>34033.57</v>
      </c>
      <c r="S580">
        <v>1</v>
      </c>
      <c r="T580">
        <v>0</v>
      </c>
      <c r="U580" s="8">
        <v>4456.62</v>
      </c>
      <c r="V580" t="s">
        <v>1561</v>
      </c>
      <c r="W580" t="s">
        <v>1561</v>
      </c>
    </row>
    <row r="581" spans="1:23">
      <c r="A581">
        <v>1580</v>
      </c>
      <c r="B581" t="s">
        <v>1257</v>
      </c>
      <c r="C581" s="7">
        <v>45458</v>
      </c>
      <c r="D581" s="7">
        <v>45459</v>
      </c>
      <c r="E581" t="s">
        <v>69</v>
      </c>
      <c r="F581" t="s">
        <v>553</v>
      </c>
      <c r="G581" t="s">
        <v>1572</v>
      </c>
      <c r="H581" t="s">
        <v>51</v>
      </c>
      <c r="I581" t="s">
        <v>26</v>
      </c>
      <c r="J581" t="s">
        <v>72</v>
      </c>
      <c r="K581" t="s">
        <v>73</v>
      </c>
      <c r="L581" t="s">
        <v>92</v>
      </c>
      <c r="M581">
        <v>110001</v>
      </c>
      <c r="N581" t="s">
        <v>1258</v>
      </c>
      <c r="O581" t="s">
        <v>55</v>
      </c>
      <c r="P581" t="s">
        <v>98</v>
      </c>
      <c r="Q581" t="s">
        <v>99</v>
      </c>
      <c r="R581" s="8">
        <v>25427.88</v>
      </c>
      <c r="S581">
        <v>5</v>
      </c>
      <c r="T581">
        <v>0.25</v>
      </c>
      <c r="U581" s="8">
        <v>-48.61</v>
      </c>
      <c r="V581" t="s">
        <v>1561</v>
      </c>
      <c r="W581" t="s">
        <v>1561</v>
      </c>
    </row>
    <row r="582" spans="1:23">
      <c r="A582">
        <v>1581</v>
      </c>
      <c r="B582" t="s">
        <v>209</v>
      </c>
      <c r="C582" s="7">
        <v>45504</v>
      </c>
      <c r="D582" s="7">
        <v>45506</v>
      </c>
      <c r="E582" t="s">
        <v>48</v>
      </c>
      <c r="F582" t="s">
        <v>198</v>
      </c>
      <c r="G582" t="s">
        <v>1571</v>
      </c>
      <c r="H582" t="s">
        <v>51</v>
      </c>
      <c r="I582" t="s">
        <v>26</v>
      </c>
      <c r="J582" t="s">
        <v>79</v>
      </c>
      <c r="K582" t="s">
        <v>80</v>
      </c>
      <c r="L582" t="s">
        <v>29</v>
      </c>
      <c r="M582">
        <v>682001</v>
      </c>
      <c r="N582" t="s">
        <v>210</v>
      </c>
      <c r="O582" t="s">
        <v>44</v>
      </c>
      <c r="P582" t="s">
        <v>211</v>
      </c>
      <c r="Q582" t="s">
        <v>212</v>
      </c>
      <c r="R582" s="8">
        <v>1199.43</v>
      </c>
      <c r="S582">
        <v>1</v>
      </c>
      <c r="T582">
        <v>0.05</v>
      </c>
      <c r="U582" s="8">
        <v>75.709999999999994</v>
      </c>
      <c r="V582" t="s">
        <v>1561</v>
      </c>
      <c r="W582" t="s">
        <v>1561</v>
      </c>
    </row>
    <row r="583" spans="1:23">
      <c r="A583">
        <v>1582</v>
      </c>
      <c r="B583" t="s">
        <v>997</v>
      </c>
      <c r="C583" s="7">
        <v>45372</v>
      </c>
      <c r="D583" s="7">
        <v>45373</v>
      </c>
      <c r="E583" t="s">
        <v>101</v>
      </c>
      <c r="F583" t="s">
        <v>285</v>
      </c>
      <c r="G583" t="s">
        <v>1569</v>
      </c>
      <c r="H583" t="s">
        <v>51</v>
      </c>
      <c r="I583" t="s">
        <v>26</v>
      </c>
      <c r="J583" t="s">
        <v>346</v>
      </c>
      <c r="K583" t="s">
        <v>132</v>
      </c>
      <c r="L583" t="s">
        <v>41</v>
      </c>
      <c r="M583">
        <v>682001</v>
      </c>
      <c r="N583" t="s">
        <v>816</v>
      </c>
      <c r="O583" t="s">
        <v>44</v>
      </c>
      <c r="P583" t="s">
        <v>211</v>
      </c>
      <c r="Q583" t="s">
        <v>212</v>
      </c>
      <c r="R583" s="8">
        <v>4381.29</v>
      </c>
      <c r="S583">
        <v>5</v>
      </c>
      <c r="T583">
        <v>0.25</v>
      </c>
      <c r="U583" s="8">
        <v>-258.02</v>
      </c>
      <c r="V583" t="s">
        <v>1561</v>
      </c>
      <c r="W583" t="s">
        <v>1561</v>
      </c>
    </row>
    <row r="584" spans="1:23">
      <c r="A584">
        <v>1583</v>
      </c>
      <c r="B584" t="s">
        <v>1165</v>
      </c>
      <c r="C584" s="7">
        <v>45646</v>
      </c>
      <c r="D584" s="7">
        <v>45648</v>
      </c>
      <c r="E584" t="s">
        <v>69</v>
      </c>
      <c r="F584" t="s">
        <v>291</v>
      </c>
      <c r="G584" t="s">
        <v>1566</v>
      </c>
      <c r="H584" t="s">
        <v>25</v>
      </c>
      <c r="I584" t="s">
        <v>26</v>
      </c>
      <c r="J584" t="s">
        <v>160</v>
      </c>
      <c r="K584" t="s">
        <v>161</v>
      </c>
      <c r="L584" t="s">
        <v>63</v>
      </c>
      <c r="M584">
        <v>600001</v>
      </c>
      <c r="N584" t="s">
        <v>440</v>
      </c>
      <c r="O584" t="s">
        <v>138</v>
      </c>
      <c r="P584" t="s">
        <v>156</v>
      </c>
      <c r="Q584" t="s">
        <v>157</v>
      </c>
      <c r="R584" s="8">
        <v>503.12</v>
      </c>
      <c r="S584">
        <v>2</v>
      </c>
      <c r="T584">
        <v>0.3</v>
      </c>
      <c r="U584" s="8">
        <v>2.92</v>
      </c>
      <c r="V584" t="s">
        <v>1561</v>
      </c>
      <c r="W584" t="s">
        <v>1561</v>
      </c>
    </row>
    <row r="585" spans="1:23">
      <c r="A585">
        <v>1584</v>
      </c>
      <c r="B585" t="s">
        <v>763</v>
      </c>
      <c r="C585" s="7">
        <v>45597</v>
      </c>
      <c r="D585" s="7">
        <v>45599</v>
      </c>
      <c r="E585" t="s">
        <v>101</v>
      </c>
      <c r="F585" t="s">
        <v>113</v>
      </c>
      <c r="G585" t="s">
        <v>1573</v>
      </c>
      <c r="H585" t="s">
        <v>108</v>
      </c>
      <c r="I585" t="s">
        <v>26</v>
      </c>
      <c r="J585" t="s">
        <v>109</v>
      </c>
      <c r="K585" t="s">
        <v>110</v>
      </c>
      <c r="L585" t="s">
        <v>63</v>
      </c>
      <c r="M585">
        <v>695001</v>
      </c>
      <c r="N585" t="s">
        <v>614</v>
      </c>
      <c r="O585" t="s">
        <v>44</v>
      </c>
      <c r="P585" t="s">
        <v>211</v>
      </c>
      <c r="Q585" t="s">
        <v>223</v>
      </c>
      <c r="R585" s="8">
        <v>5686.96</v>
      </c>
      <c r="S585">
        <v>3</v>
      </c>
      <c r="T585">
        <v>0</v>
      </c>
      <c r="U585" s="8">
        <v>627.9</v>
      </c>
      <c r="V585" t="s">
        <v>1561</v>
      </c>
      <c r="W585" t="s">
        <v>1561</v>
      </c>
    </row>
    <row r="586" spans="1:23">
      <c r="A586">
        <v>1585</v>
      </c>
      <c r="B586" t="s">
        <v>597</v>
      </c>
      <c r="C586" s="7">
        <v>45608</v>
      </c>
      <c r="D586" s="7">
        <v>45611</v>
      </c>
      <c r="E586" t="s">
        <v>69</v>
      </c>
      <c r="F586" t="s">
        <v>598</v>
      </c>
      <c r="G586" t="s">
        <v>1575</v>
      </c>
      <c r="H586" t="s">
        <v>51</v>
      </c>
      <c r="I586" t="s">
        <v>26</v>
      </c>
      <c r="J586" t="s">
        <v>346</v>
      </c>
      <c r="K586" t="s">
        <v>132</v>
      </c>
      <c r="L586" t="s">
        <v>92</v>
      </c>
      <c r="M586">
        <v>695001</v>
      </c>
      <c r="N586" t="s">
        <v>599</v>
      </c>
      <c r="O586" t="s">
        <v>138</v>
      </c>
      <c r="P586" t="s">
        <v>121</v>
      </c>
      <c r="Q586" t="s">
        <v>122</v>
      </c>
      <c r="R586" s="8">
        <v>598.66</v>
      </c>
      <c r="S586">
        <v>1</v>
      </c>
      <c r="T586">
        <v>0</v>
      </c>
      <c r="U586" s="8">
        <v>106.98</v>
      </c>
      <c r="V586" t="s">
        <v>1561</v>
      </c>
      <c r="W586" t="s">
        <v>1561</v>
      </c>
    </row>
    <row r="587" spans="1:23">
      <c r="A587">
        <v>1586</v>
      </c>
      <c r="B587" t="s">
        <v>68</v>
      </c>
      <c r="C587" s="7">
        <v>45546</v>
      </c>
      <c r="D587" s="7">
        <v>45548</v>
      </c>
      <c r="E587" t="s">
        <v>69</v>
      </c>
      <c r="F587" t="s">
        <v>70</v>
      </c>
      <c r="G587" t="s">
        <v>1567</v>
      </c>
      <c r="H587" t="s">
        <v>25</v>
      </c>
      <c r="I587" t="s">
        <v>26</v>
      </c>
      <c r="J587" t="s">
        <v>72</v>
      </c>
      <c r="K587" t="s">
        <v>73</v>
      </c>
      <c r="L587" t="s">
        <v>41</v>
      </c>
      <c r="M587">
        <v>673001</v>
      </c>
      <c r="N587" t="s">
        <v>75</v>
      </c>
      <c r="O587" t="s">
        <v>44</v>
      </c>
      <c r="P587" t="s">
        <v>45</v>
      </c>
      <c r="Q587" t="s">
        <v>46</v>
      </c>
      <c r="R587" s="8">
        <v>102685.8</v>
      </c>
      <c r="S587">
        <v>25</v>
      </c>
      <c r="T587">
        <v>0.3</v>
      </c>
      <c r="U587" s="8">
        <v>-10828.26</v>
      </c>
      <c r="V587" t="s">
        <v>1561</v>
      </c>
      <c r="W587" t="s">
        <v>1561</v>
      </c>
    </row>
    <row r="588" spans="1:23">
      <c r="A588">
        <v>1587</v>
      </c>
      <c r="B588" t="s">
        <v>578</v>
      </c>
      <c r="C588" s="7">
        <v>45314</v>
      </c>
      <c r="D588" s="7">
        <v>45315</v>
      </c>
      <c r="E588" t="s">
        <v>22</v>
      </c>
      <c r="F588" t="s">
        <v>77</v>
      </c>
      <c r="G588" t="s">
        <v>1568</v>
      </c>
      <c r="H588" t="s">
        <v>51</v>
      </c>
      <c r="I588" t="s">
        <v>26</v>
      </c>
      <c r="J588" t="s">
        <v>226</v>
      </c>
      <c r="K588" t="s">
        <v>110</v>
      </c>
      <c r="L588" t="s">
        <v>92</v>
      </c>
      <c r="M588">
        <v>682001</v>
      </c>
      <c r="N588" t="s">
        <v>579</v>
      </c>
      <c r="O588" t="s">
        <v>55</v>
      </c>
      <c r="P588" t="s">
        <v>66</v>
      </c>
      <c r="Q588" t="s">
        <v>67</v>
      </c>
      <c r="R588" s="8">
        <v>12150.97</v>
      </c>
      <c r="S588">
        <v>2</v>
      </c>
      <c r="T588">
        <v>0.3</v>
      </c>
      <c r="U588" s="8">
        <v>-374.21</v>
      </c>
      <c r="V588" t="s">
        <v>1561</v>
      </c>
      <c r="W588" t="s">
        <v>1561</v>
      </c>
    </row>
    <row r="589" spans="1:23">
      <c r="A589">
        <v>1588</v>
      </c>
      <c r="B589" t="s">
        <v>1260</v>
      </c>
      <c r="C589" s="7">
        <v>45519</v>
      </c>
      <c r="D589" s="7">
        <v>45524</v>
      </c>
      <c r="E589" t="s">
        <v>48</v>
      </c>
      <c r="F589" t="s">
        <v>751</v>
      </c>
      <c r="G589" t="s">
        <v>1565</v>
      </c>
      <c r="H589" t="s">
        <v>51</v>
      </c>
      <c r="I589" t="s">
        <v>26</v>
      </c>
      <c r="J589" t="s">
        <v>346</v>
      </c>
      <c r="K589" t="s">
        <v>132</v>
      </c>
      <c r="L589" t="s">
        <v>63</v>
      </c>
      <c r="M589">
        <v>682001</v>
      </c>
      <c r="N589" t="s">
        <v>175</v>
      </c>
      <c r="O589" t="s">
        <v>138</v>
      </c>
      <c r="P589" t="s">
        <v>182</v>
      </c>
      <c r="Q589" t="s">
        <v>183</v>
      </c>
      <c r="R589" s="8">
        <v>413.68</v>
      </c>
      <c r="S589">
        <v>1</v>
      </c>
      <c r="T589">
        <v>0.1</v>
      </c>
      <c r="U589" s="8">
        <v>56.96</v>
      </c>
      <c r="V589" t="s">
        <v>1561</v>
      </c>
      <c r="W589" t="s">
        <v>1561</v>
      </c>
    </row>
    <row r="590" spans="1:23">
      <c r="A590">
        <v>1589</v>
      </c>
      <c r="B590" t="s">
        <v>1188</v>
      </c>
      <c r="C590" s="7">
        <v>45394</v>
      </c>
      <c r="D590" s="7">
        <v>45398</v>
      </c>
      <c r="E590" t="s">
        <v>69</v>
      </c>
      <c r="F590" t="s">
        <v>295</v>
      </c>
      <c r="G590" t="s">
        <v>1562</v>
      </c>
      <c r="H590" t="s">
        <v>51</v>
      </c>
      <c r="I590" t="s">
        <v>26</v>
      </c>
      <c r="J590" t="s">
        <v>131</v>
      </c>
      <c r="K590" t="s">
        <v>132</v>
      </c>
      <c r="L590" t="s">
        <v>29</v>
      </c>
      <c r="M590">
        <v>673001</v>
      </c>
      <c r="N590" t="s">
        <v>1189</v>
      </c>
      <c r="O590" t="s">
        <v>55</v>
      </c>
      <c r="P590" t="s">
        <v>56</v>
      </c>
      <c r="Q590" t="s">
        <v>57</v>
      </c>
      <c r="R590" s="8">
        <v>5641.79</v>
      </c>
      <c r="S590">
        <v>1</v>
      </c>
      <c r="T590">
        <v>0.25</v>
      </c>
      <c r="U590" s="8">
        <v>-11.33</v>
      </c>
      <c r="V590" t="s">
        <v>1561</v>
      </c>
      <c r="W590" t="s">
        <v>1561</v>
      </c>
    </row>
    <row r="591" spans="1:23">
      <c r="A591">
        <v>1590</v>
      </c>
      <c r="B591" t="s">
        <v>967</v>
      </c>
      <c r="C591" s="7">
        <v>45483</v>
      </c>
      <c r="D591" s="7">
        <v>45485</v>
      </c>
      <c r="E591" t="s">
        <v>101</v>
      </c>
      <c r="F591" t="s">
        <v>593</v>
      </c>
      <c r="G591" t="s">
        <v>1565</v>
      </c>
      <c r="H591" t="s">
        <v>108</v>
      </c>
      <c r="I591" t="s">
        <v>26</v>
      </c>
      <c r="J591" t="s">
        <v>166</v>
      </c>
      <c r="K591" t="s">
        <v>132</v>
      </c>
      <c r="L591" t="s">
        <v>63</v>
      </c>
      <c r="M591">
        <v>695001</v>
      </c>
      <c r="N591" t="s">
        <v>303</v>
      </c>
      <c r="O591" t="s">
        <v>44</v>
      </c>
      <c r="P591" t="s">
        <v>211</v>
      </c>
      <c r="Q591" t="s">
        <v>223</v>
      </c>
      <c r="R591" s="8">
        <v>2812.76</v>
      </c>
      <c r="S591">
        <v>2</v>
      </c>
      <c r="T591">
        <v>0.25</v>
      </c>
      <c r="U591" s="8">
        <v>-150.72</v>
      </c>
      <c r="V591" t="s">
        <v>1561</v>
      </c>
      <c r="W591" t="s">
        <v>1561</v>
      </c>
    </row>
    <row r="592" spans="1:23">
      <c r="A592">
        <v>1591</v>
      </c>
      <c r="B592" t="s">
        <v>878</v>
      </c>
      <c r="C592" s="7">
        <v>45361</v>
      </c>
      <c r="D592" s="7">
        <v>45362</v>
      </c>
      <c r="E592" t="s">
        <v>101</v>
      </c>
      <c r="F592" t="s">
        <v>192</v>
      </c>
      <c r="G592" t="s">
        <v>1564</v>
      </c>
      <c r="H592" t="s">
        <v>51</v>
      </c>
      <c r="I592" t="s">
        <v>26</v>
      </c>
      <c r="J592" t="s">
        <v>226</v>
      </c>
      <c r="K592" t="s">
        <v>110</v>
      </c>
      <c r="L592" t="s">
        <v>92</v>
      </c>
      <c r="M592">
        <v>110001</v>
      </c>
      <c r="N592" t="s">
        <v>879</v>
      </c>
      <c r="O592" t="s">
        <v>44</v>
      </c>
      <c r="P592" t="s">
        <v>211</v>
      </c>
      <c r="Q592" t="s">
        <v>212</v>
      </c>
      <c r="R592" s="8">
        <v>3286.68</v>
      </c>
      <c r="S592">
        <v>3</v>
      </c>
      <c r="T592">
        <v>0.15</v>
      </c>
      <c r="U592" s="8">
        <v>37.840000000000003</v>
      </c>
      <c r="V592" t="s">
        <v>1561</v>
      </c>
      <c r="W592" t="s">
        <v>1561</v>
      </c>
    </row>
    <row r="593" spans="1:23">
      <c r="A593">
        <v>1592</v>
      </c>
      <c r="B593" t="s">
        <v>184</v>
      </c>
      <c r="C593" s="7">
        <v>45587</v>
      </c>
      <c r="D593" s="7">
        <v>45592</v>
      </c>
      <c r="E593" t="s">
        <v>69</v>
      </c>
      <c r="F593" t="s">
        <v>185</v>
      </c>
      <c r="G593" t="s">
        <v>1564</v>
      </c>
      <c r="H593" t="s">
        <v>51</v>
      </c>
      <c r="I593" t="s">
        <v>26</v>
      </c>
      <c r="J593" t="s">
        <v>72</v>
      </c>
      <c r="K593" t="s">
        <v>73</v>
      </c>
      <c r="L593" t="s">
        <v>29</v>
      </c>
      <c r="M593">
        <v>110001</v>
      </c>
      <c r="N593" t="s">
        <v>187</v>
      </c>
      <c r="O593" t="s">
        <v>188</v>
      </c>
      <c r="P593" t="s">
        <v>189</v>
      </c>
      <c r="Q593" t="s">
        <v>190</v>
      </c>
      <c r="R593" s="8">
        <v>5626.92</v>
      </c>
      <c r="S593">
        <v>1</v>
      </c>
      <c r="T593">
        <v>0.05</v>
      </c>
      <c r="U593" s="8">
        <v>563</v>
      </c>
      <c r="V593" t="s">
        <v>1561</v>
      </c>
      <c r="W593" t="s">
        <v>1561</v>
      </c>
    </row>
    <row r="594" spans="1:23">
      <c r="A594">
        <v>1593</v>
      </c>
      <c r="B594" t="s">
        <v>1376</v>
      </c>
      <c r="C594" s="7">
        <v>45418</v>
      </c>
      <c r="D594" s="7">
        <v>45420</v>
      </c>
      <c r="E594" t="s">
        <v>48</v>
      </c>
      <c r="F594" t="s">
        <v>235</v>
      </c>
      <c r="G594" t="s">
        <v>1574</v>
      </c>
      <c r="H594" t="s">
        <v>25</v>
      </c>
      <c r="I594" t="s">
        <v>26</v>
      </c>
      <c r="J594" t="s">
        <v>79</v>
      </c>
      <c r="K594" t="s">
        <v>80</v>
      </c>
      <c r="L594" t="s">
        <v>92</v>
      </c>
      <c r="M594">
        <v>600001</v>
      </c>
      <c r="N594" t="s">
        <v>620</v>
      </c>
      <c r="O594" t="s">
        <v>138</v>
      </c>
      <c r="P594" t="s">
        <v>182</v>
      </c>
      <c r="Q594" t="s">
        <v>183</v>
      </c>
      <c r="R594" s="8">
        <v>632.07000000000005</v>
      </c>
      <c r="S594">
        <v>2</v>
      </c>
      <c r="T594">
        <v>0.25</v>
      </c>
      <c r="U594" s="8">
        <v>28.88</v>
      </c>
      <c r="V594" t="s">
        <v>1561</v>
      </c>
      <c r="W594" t="s">
        <v>1561</v>
      </c>
    </row>
    <row r="595" spans="1:23">
      <c r="A595">
        <v>1594</v>
      </c>
      <c r="B595" t="s">
        <v>873</v>
      </c>
      <c r="C595" s="7">
        <v>45532</v>
      </c>
      <c r="D595" s="7">
        <v>45538</v>
      </c>
      <c r="E595" t="s">
        <v>22</v>
      </c>
      <c r="F595" t="s">
        <v>791</v>
      </c>
      <c r="G595" t="s">
        <v>1568</v>
      </c>
      <c r="H595" t="s">
        <v>51</v>
      </c>
      <c r="I595" t="s">
        <v>26</v>
      </c>
      <c r="J595" t="s">
        <v>79</v>
      </c>
      <c r="K595" t="s">
        <v>80</v>
      </c>
      <c r="L595" t="s">
        <v>29</v>
      </c>
      <c r="M595">
        <v>560001</v>
      </c>
      <c r="N595" t="s">
        <v>874</v>
      </c>
      <c r="O595" t="s">
        <v>188</v>
      </c>
      <c r="P595" t="s">
        <v>189</v>
      </c>
      <c r="Q595" t="s">
        <v>190</v>
      </c>
      <c r="R595" s="8">
        <v>47794.86</v>
      </c>
      <c r="S595">
        <v>8</v>
      </c>
      <c r="T595">
        <v>0</v>
      </c>
      <c r="U595" s="8">
        <v>4870.75</v>
      </c>
      <c r="V595" t="s">
        <v>1561</v>
      </c>
      <c r="W595" t="s">
        <v>1561</v>
      </c>
    </row>
    <row r="596" spans="1:23">
      <c r="A596">
        <v>1595</v>
      </c>
      <c r="B596" t="s">
        <v>21</v>
      </c>
      <c r="C596" s="7">
        <v>45334</v>
      </c>
      <c r="D596" s="7">
        <v>45339</v>
      </c>
      <c r="E596" t="s">
        <v>22</v>
      </c>
      <c r="F596" t="s">
        <v>23</v>
      </c>
      <c r="G596" t="s">
        <v>1560</v>
      </c>
      <c r="H596" t="s">
        <v>25</v>
      </c>
      <c r="I596" t="s">
        <v>26</v>
      </c>
      <c r="J596" t="s">
        <v>27</v>
      </c>
      <c r="K596" t="s">
        <v>28</v>
      </c>
      <c r="L596" t="s">
        <v>29</v>
      </c>
      <c r="M596">
        <v>682001</v>
      </c>
      <c r="N596" t="s">
        <v>31</v>
      </c>
      <c r="O596" t="s">
        <v>83</v>
      </c>
      <c r="P596" t="s">
        <v>33</v>
      </c>
      <c r="Q596" t="s">
        <v>34</v>
      </c>
      <c r="R596" s="8">
        <v>2439.75</v>
      </c>
      <c r="S596">
        <v>2</v>
      </c>
      <c r="T596">
        <v>0.1</v>
      </c>
      <c r="U596" s="8">
        <v>498.33</v>
      </c>
      <c r="V596" t="s">
        <v>1561</v>
      </c>
      <c r="W596" t="s">
        <v>1561</v>
      </c>
    </row>
    <row r="597" spans="1:23">
      <c r="A597">
        <v>1596</v>
      </c>
      <c r="B597" t="s">
        <v>847</v>
      </c>
      <c r="C597" s="7">
        <v>45537</v>
      </c>
      <c r="D597" s="7">
        <v>45543</v>
      </c>
      <c r="E597" t="s">
        <v>48</v>
      </c>
      <c r="F597" t="s">
        <v>195</v>
      </c>
      <c r="G597" t="s">
        <v>1560</v>
      </c>
      <c r="H597" t="s">
        <v>51</v>
      </c>
      <c r="I597" t="s">
        <v>26</v>
      </c>
      <c r="J597" t="s">
        <v>226</v>
      </c>
      <c r="K597" t="s">
        <v>110</v>
      </c>
      <c r="L597" t="s">
        <v>29</v>
      </c>
      <c r="M597">
        <v>110001</v>
      </c>
      <c r="N597" t="s">
        <v>848</v>
      </c>
      <c r="O597" t="s">
        <v>55</v>
      </c>
      <c r="P597" t="s">
        <v>66</v>
      </c>
      <c r="Q597" t="s">
        <v>67</v>
      </c>
      <c r="R597" s="8">
        <v>63292.77</v>
      </c>
      <c r="S597">
        <v>8</v>
      </c>
      <c r="T597">
        <v>0</v>
      </c>
      <c r="U597" s="8">
        <v>10542.91</v>
      </c>
      <c r="V597" t="s">
        <v>1561</v>
      </c>
      <c r="W597" t="s">
        <v>1561</v>
      </c>
    </row>
    <row r="598" spans="1:23">
      <c r="A598">
        <v>1597</v>
      </c>
      <c r="B598" t="s">
        <v>730</v>
      </c>
      <c r="C598" s="7">
        <v>45652</v>
      </c>
      <c r="D598" s="7">
        <v>45656</v>
      </c>
      <c r="E598" t="s">
        <v>69</v>
      </c>
      <c r="F598" t="s">
        <v>36</v>
      </c>
      <c r="G598" t="s">
        <v>1572</v>
      </c>
      <c r="H598" t="s">
        <v>51</v>
      </c>
      <c r="I598" t="s">
        <v>26</v>
      </c>
      <c r="J598" t="s">
        <v>160</v>
      </c>
      <c r="K598" t="s">
        <v>161</v>
      </c>
      <c r="L598" t="s">
        <v>63</v>
      </c>
      <c r="M598">
        <v>400001</v>
      </c>
      <c r="N598" t="s">
        <v>731</v>
      </c>
      <c r="O598" t="s">
        <v>138</v>
      </c>
      <c r="P598" t="s">
        <v>139</v>
      </c>
      <c r="Q598" t="s">
        <v>140</v>
      </c>
      <c r="R598" s="8">
        <v>1760.49</v>
      </c>
      <c r="S598">
        <v>2</v>
      </c>
      <c r="T598">
        <v>0.05</v>
      </c>
      <c r="U598" s="8">
        <v>312.70999999999998</v>
      </c>
      <c r="V598" t="s">
        <v>1561</v>
      </c>
      <c r="W598" t="s">
        <v>1561</v>
      </c>
    </row>
    <row r="599" spans="1:23">
      <c r="A599">
        <v>1598</v>
      </c>
      <c r="B599" t="s">
        <v>448</v>
      </c>
      <c r="C599" s="7">
        <v>45645</v>
      </c>
      <c r="D599" s="7">
        <v>45648</v>
      </c>
      <c r="E599" t="s">
        <v>22</v>
      </c>
      <c r="F599" t="s">
        <v>449</v>
      </c>
      <c r="G599" t="s">
        <v>1564</v>
      </c>
      <c r="H599" t="s">
        <v>51</v>
      </c>
      <c r="I599" t="s">
        <v>26</v>
      </c>
      <c r="J599" t="s">
        <v>160</v>
      </c>
      <c r="K599" t="s">
        <v>161</v>
      </c>
      <c r="L599" t="s">
        <v>63</v>
      </c>
      <c r="M599">
        <v>400001</v>
      </c>
      <c r="N599" t="s">
        <v>450</v>
      </c>
      <c r="O599" t="s">
        <v>138</v>
      </c>
      <c r="P599" t="s">
        <v>156</v>
      </c>
      <c r="Q599" t="s">
        <v>157</v>
      </c>
      <c r="R599" s="8">
        <v>792.86</v>
      </c>
      <c r="S599">
        <v>3</v>
      </c>
      <c r="T599">
        <v>0.25</v>
      </c>
      <c r="U599" s="8">
        <v>35.26</v>
      </c>
      <c r="V599" t="s">
        <v>1561</v>
      </c>
      <c r="W599" t="s">
        <v>1561</v>
      </c>
    </row>
    <row r="600" spans="1:23">
      <c r="A600">
        <v>1599</v>
      </c>
      <c r="B600" t="s">
        <v>1089</v>
      </c>
      <c r="C600" s="7">
        <v>45609</v>
      </c>
      <c r="D600" s="7">
        <v>45612</v>
      </c>
      <c r="E600" t="s">
        <v>22</v>
      </c>
      <c r="F600" t="s">
        <v>541</v>
      </c>
      <c r="G600" t="s">
        <v>1567</v>
      </c>
      <c r="H600" t="s">
        <v>25</v>
      </c>
      <c r="I600" t="s">
        <v>26</v>
      </c>
      <c r="J600" t="s">
        <v>52</v>
      </c>
      <c r="K600" t="s">
        <v>52</v>
      </c>
      <c r="L600" t="s">
        <v>63</v>
      </c>
      <c r="M600">
        <v>673001</v>
      </c>
      <c r="N600" t="s">
        <v>1090</v>
      </c>
      <c r="O600" t="s">
        <v>138</v>
      </c>
      <c r="P600" t="s">
        <v>139</v>
      </c>
      <c r="Q600" t="s">
        <v>140</v>
      </c>
      <c r="R600" s="8">
        <v>0</v>
      </c>
      <c r="S600">
        <v>5</v>
      </c>
      <c r="T600">
        <v>0</v>
      </c>
      <c r="U600" s="8">
        <v>1261.56</v>
      </c>
      <c r="V600" t="s">
        <v>1581</v>
      </c>
      <c r="W600" t="s">
        <v>1561</v>
      </c>
    </row>
    <row r="601" spans="1:23">
      <c r="A601">
        <v>1600</v>
      </c>
      <c r="B601" t="s">
        <v>141</v>
      </c>
      <c r="C601" s="7">
        <v>45381</v>
      </c>
      <c r="D601" s="7">
        <v>45387</v>
      </c>
      <c r="E601" t="s">
        <v>22</v>
      </c>
      <c r="F601" t="s">
        <v>142</v>
      </c>
      <c r="G601" t="s">
        <v>1560</v>
      </c>
      <c r="H601" t="s">
        <v>51</v>
      </c>
      <c r="I601" t="s">
        <v>26</v>
      </c>
      <c r="J601" t="s">
        <v>109</v>
      </c>
      <c r="K601" t="s">
        <v>110</v>
      </c>
      <c r="L601" t="s">
        <v>92</v>
      </c>
      <c r="M601">
        <v>682001</v>
      </c>
      <c r="N601" t="s">
        <v>143</v>
      </c>
      <c r="O601" t="s">
        <v>55</v>
      </c>
      <c r="P601" t="s">
        <v>56</v>
      </c>
      <c r="Q601" t="s">
        <v>57</v>
      </c>
      <c r="R601" s="8">
        <v>5990.08</v>
      </c>
      <c r="S601">
        <v>1</v>
      </c>
      <c r="T601">
        <v>0.2</v>
      </c>
      <c r="U601" s="8">
        <v>146.47</v>
      </c>
      <c r="V601" t="s">
        <v>1561</v>
      </c>
      <c r="W601" t="s">
        <v>1561</v>
      </c>
    </row>
    <row r="602" spans="1:23">
      <c r="A602">
        <v>1601</v>
      </c>
      <c r="B602" t="s">
        <v>1449</v>
      </c>
      <c r="C602" s="7">
        <v>45407</v>
      </c>
      <c r="D602" s="7">
        <v>45410</v>
      </c>
      <c r="E602" t="s">
        <v>48</v>
      </c>
      <c r="F602" t="s">
        <v>177</v>
      </c>
      <c r="G602" t="s">
        <v>1570</v>
      </c>
      <c r="H602" t="s">
        <v>51</v>
      </c>
      <c r="I602" t="s">
        <v>26</v>
      </c>
      <c r="J602" t="s">
        <v>72</v>
      </c>
      <c r="K602" t="s">
        <v>73</v>
      </c>
      <c r="L602" t="s">
        <v>29</v>
      </c>
      <c r="M602">
        <v>695001</v>
      </c>
      <c r="N602" t="s">
        <v>1450</v>
      </c>
      <c r="O602" t="s">
        <v>138</v>
      </c>
      <c r="P602" t="s">
        <v>121</v>
      </c>
      <c r="Q602" t="s">
        <v>122</v>
      </c>
      <c r="R602" s="8">
        <v>1827.52</v>
      </c>
      <c r="S602">
        <v>3</v>
      </c>
      <c r="T602">
        <v>0.1</v>
      </c>
      <c r="U602" s="8">
        <v>188.07</v>
      </c>
      <c r="V602" t="s">
        <v>1561</v>
      </c>
      <c r="W602" t="s">
        <v>1561</v>
      </c>
    </row>
    <row r="603" spans="1:23">
      <c r="A603">
        <v>1602</v>
      </c>
      <c r="B603" t="s">
        <v>1280</v>
      </c>
      <c r="C603" s="7">
        <v>45532</v>
      </c>
      <c r="D603" s="7">
        <v>45538</v>
      </c>
      <c r="E603" t="s">
        <v>48</v>
      </c>
      <c r="F603" t="s">
        <v>260</v>
      </c>
      <c r="G603" t="s">
        <v>1574</v>
      </c>
      <c r="H603" t="s">
        <v>51</v>
      </c>
      <c r="I603" t="s">
        <v>26</v>
      </c>
      <c r="J603" t="s">
        <v>131</v>
      </c>
      <c r="K603" t="s">
        <v>132</v>
      </c>
      <c r="L603" t="s">
        <v>63</v>
      </c>
      <c r="M603">
        <v>110001</v>
      </c>
      <c r="N603" t="s">
        <v>438</v>
      </c>
      <c r="O603" t="s">
        <v>55</v>
      </c>
      <c r="P603" t="s">
        <v>56</v>
      </c>
      <c r="Q603" t="s">
        <v>57</v>
      </c>
      <c r="R603" s="8">
        <v>19948.46</v>
      </c>
      <c r="S603">
        <v>3</v>
      </c>
      <c r="T603">
        <v>0</v>
      </c>
      <c r="U603" s="8">
        <v>2910.26</v>
      </c>
      <c r="V603" t="s">
        <v>1561</v>
      </c>
      <c r="W603" t="s">
        <v>1561</v>
      </c>
    </row>
    <row r="604" spans="1:23">
      <c r="A604">
        <v>1603</v>
      </c>
      <c r="B604" t="s">
        <v>943</v>
      </c>
      <c r="C604" s="7">
        <v>45526</v>
      </c>
      <c r="D604" s="7">
        <v>45527</v>
      </c>
      <c r="E604" t="s">
        <v>22</v>
      </c>
      <c r="F604" t="s">
        <v>238</v>
      </c>
      <c r="G604" t="s">
        <v>1567</v>
      </c>
      <c r="H604" t="s">
        <v>108</v>
      </c>
      <c r="I604" t="s">
        <v>26</v>
      </c>
      <c r="J604" t="s">
        <v>160</v>
      </c>
      <c r="K604" t="s">
        <v>161</v>
      </c>
      <c r="L604" t="s">
        <v>92</v>
      </c>
      <c r="M604">
        <v>695001</v>
      </c>
      <c r="N604" t="s">
        <v>944</v>
      </c>
      <c r="O604" t="s">
        <v>83</v>
      </c>
      <c r="P604" t="s">
        <v>84</v>
      </c>
      <c r="Q604" t="s">
        <v>85</v>
      </c>
      <c r="R604" s="8">
        <v>17248.599999999999</v>
      </c>
      <c r="S604">
        <v>6</v>
      </c>
      <c r="T604">
        <v>0.1</v>
      </c>
      <c r="U604" s="8">
        <v>3622.42</v>
      </c>
      <c r="V604" t="s">
        <v>1561</v>
      </c>
      <c r="W604" t="s">
        <v>1561</v>
      </c>
    </row>
    <row r="605" spans="1:23">
      <c r="A605">
        <v>1604</v>
      </c>
      <c r="B605" t="s">
        <v>688</v>
      </c>
      <c r="C605" s="7">
        <v>45369</v>
      </c>
      <c r="D605" s="7">
        <v>45371</v>
      </c>
      <c r="E605" t="s">
        <v>22</v>
      </c>
      <c r="F605" t="s">
        <v>449</v>
      </c>
      <c r="G605" t="s">
        <v>1564</v>
      </c>
      <c r="H605" t="s">
        <v>51</v>
      </c>
      <c r="I605" t="s">
        <v>26</v>
      </c>
      <c r="J605" t="s">
        <v>131</v>
      </c>
      <c r="K605" t="s">
        <v>132</v>
      </c>
      <c r="L605" t="s">
        <v>92</v>
      </c>
      <c r="M605">
        <v>560001</v>
      </c>
      <c r="N605" t="s">
        <v>689</v>
      </c>
      <c r="O605" t="s">
        <v>44</v>
      </c>
      <c r="P605" t="s">
        <v>211</v>
      </c>
      <c r="Q605" t="s">
        <v>212</v>
      </c>
      <c r="R605" s="8">
        <v>3458.54</v>
      </c>
      <c r="S605">
        <v>4</v>
      </c>
      <c r="T605">
        <v>0.3</v>
      </c>
      <c r="U605" s="8">
        <v>-286.02</v>
      </c>
      <c r="V605" t="s">
        <v>1561</v>
      </c>
      <c r="W605" t="s">
        <v>1561</v>
      </c>
    </row>
    <row r="606" spans="1:23">
      <c r="A606">
        <v>1605</v>
      </c>
      <c r="B606" t="s">
        <v>1211</v>
      </c>
      <c r="C606" s="7">
        <v>45324</v>
      </c>
      <c r="D606" s="7">
        <v>45325</v>
      </c>
      <c r="E606" t="s">
        <v>69</v>
      </c>
      <c r="F606" t="s">
        <v>340</v>
      </c>
      <c r="G606" t="s">
        <v>1568</v>
      </c>
      <c r="H606" t="s">
        <v>25</v>
      </c>
      <c r="I606" t="s">
        <v>26</v>
      </c>
      <c r="J606" t="s">
        <v>109</v>
      </c>
      <c r="K606" t="s">
        <v>110</v>
      </c>
      <c r="L606" t="s">
        <v>63</v>
      </c>
      <c r="M606">
        <v>560001</v>
      </c>
      <c r="N606" t="s">
        <v>245</v>
      </c>
      <c r="O606" t="s">
        <v>138</v>
      </c>
      <c r="P606" t="s">
        <v>182</v>
      </c>
      <c r="Q606" t="s">
        <v>183</v>
      </c>
      <c r="R606" s="8">
        <v>390.33</v>
      </c>
      <c r="S606">
        <v>1</v>
      </c>
      <c r="T606">
        <v>0.1</v>
      </c>
      <c r="U606" s="8">
        <v>65.790000000000006</v>
      </c>
      <c r="V606" t="s">
        <v>1561</v>
      </c>
      <c r="W606" t="s">
        <v>1561</v>
      </c>
    </row>
    <row r="607" spans="1:23">
      <c r="A607">
        <v>1606</v>
      </c>
      <c r="B607" t="s">
        <v>268</v>
      </c>
      <c r="C607" s="7">
        <v>45526</v>
      </c>
      <c r="D607" s="7">
        <v>45529</v>
      </c>
      <c r="E607" t="s">
        <v>69</v>
      </c>
      <c r="F607" t="s">
        <v>177</v>
      </c>
      <c r="G607" t="s">
        <v>1575</v>
      </c>
      <c r="H607" t="s">
        <v>25</v>
      </c>
      <c r="I607" t="s">
        <v>26</v>
      </c>
      <c r="J607" t="s">
        <v>226</v>
      </c>
      <c r="K607" t="s">
        <v>110</v>
      </c>
      <c r="L607" t="s">
        <v>63</v>
      </c>
      <c r="M607">
        <v>682001</v>
      </c>
      <c r="N607" t="s">
        <v>269</v>
      </c>
      <c r="O607" t="s">
        <v>138</v>
      </c>
      <c r="P607" t="s">
        <v>156</v>
      </c>
      <c r="Q607" t="s">
        <v>157</v>
      </c>
      <c r="R607" s="8">
        <v>525.72</v>
      </c>
      <c r="S607">
        <v>2</v>
      </c>
      <c r="T607">
        <v>0.3</v>
      </c>
      <c r="U607" s="8">
        <v>2.56</v>
      </c>
      <c r="V607" t="s">
        <v>1561</v>
      </c>
      <c r="W607" t="s">
        <v>1561</v>
      </c>
    </row>
    <row r="608" spans="1:23">
      <c r="A608">
        <v>1607</v>
      </c>
      <c r="B608" t="s">
        <v>611</v>
      </c>
      <c r="C608" s="7">
        <v>45367</v>
      </c>
      <c r="D608" s="7">
        <v>45370</v>
      </c>
      <c r="E608" t="s">
        <v>48</v>
      </c>
      <c r="F608" t="s">
        <v>192</v>
      </c>
      <c r="G608" t="s">
        <v>1571</v>
      </c>
      <c r="H608" t="s">
        <v>51</v>
      </c>
      <c r="I608" t="s">
        <v>26</v>
      </c>
      <c r="J608" t="s">
        <v>115</v>
      </c>
      <c r="K608" t="s">
        <v>116</v>
      </c>
      <c r="L608" t="s">
        <v>92</v>
      </c>
      <c r="M608">
        <v>400001</v>
      </c>
      <c r="N608" t="s">
        <v>612</v>
      </c>
      <c r="O608" t="s">
        <v>44</v>
      </c>
      <c r="P608" t="s">
        <v>211</v>
      </c>
      <c r="Q608" t="s">
        <v>223</v>
      </c>
      <c r="R608" s="8">
        <v>13624.99</v>
      </c>
      <c r="S608">
        <v>8</v>
      </c>
      <c r="T608">
        <v>0</v>
      </c>
      <c r="U608" s="8">
        <v>1719.67</v>
      </c>
      <c r="V608" t="s">
        <v>1561</v>
      </c>
      <c r="W608" t="s">
        <v>1561</v>
      </c>
    </row>
    <row r="609" spans="1:23">
      <c r="A609">
        <v>1608</v>
      </c>
      <c r="B609" t="s">
        <v>606</v>
      </c>
      <c r="C609" s="7">
        <v>45374</v>
      </c>
      <c r="D609" s="7">
        <v>45376</v>
      </c>
      <c r="E609" t="s">
        <v>22</v>
      </c>
      <c r="F609" t="s">
        <v>517</v>
      </c>
      <c r="G609" t="s">
        <v>1563</v>
      </c>
      <c r="H609" t="s">
        <v>108</v>
      </c>
      <c r="I609" t="s">
        <v>26</v>
      </c>
      <c r="J609" t="s">
        <v>115</v>
      </c>
      <c r="K609" t="s">
        <v>116</v>
      </c>
      <c r="L609" t="s">
        <v>92</v>
      </c>
      <c r="M609">
        <v>560001</v>
      </c>
      <c r="N609" t="s">
        <v>607</v>
      </c>
      <c r="O609" t="s">
        <v>44</v>
      </c>
      <c r="P609" t="s">
        <v>211</v>
      </c>
      <c r="Q609" t="s">
        <v>212</v>
      </c>
      <c r="R609" s="8">
        <v>5876.64</v>
      </c>
      <c r="S609">
        <v>5</v>
      </c>
      <c r="T609">
        <v>0.05</v>
      </c>
      <c r="U609" s="8">
        <v>391.85</v>
      </c>
      <c r="V609" t="s">
        <v>1561</v>
      </c>
      <c r="W609" t="s">
        <v>1561</v>
      </c>
    </row>
    <row r="610" spans="1:23">
      <c r="A610">
        <v>1609</v>
      </c>
      <c r="B610" t="s">
        <v>259</v>
      </c>
      <c r="C610" s="7">
        <v>45468</v>
      </c>
      <c r="D610" s="7">
        <v>45470</v>
      </c>
      <c r="E610" t="s">
        <v>48</v>
      </c>
      <c r="F610" t="s">
        <v>260</v>
      </c>
      <c r="G610" t="s">
        <v>1568</v>
      </c>
      <c r="H610" t="s">
        <v>51</v>
      </c>
      <c r="I610" t="s">
        <v>26</v>
      </c>
      <c r="J610" t="s">
        <v>226</v>
      </c>
      <c r="K610" t="s">
        <v>110</v>
      </c>
      <c r="L610" t="s">
        <v>92</v>
      </c>
      <c r="M610">
        <v>600001</v>
      </c>
      <c r="N610" t="s">
        <v>219</v>
      </c>
      <c r="O610" t="s">
        <v>44</v>
      </c>
      <c r="P610" t="s">
        <v>211</v>
      </c>
      <c r="Q610" t="s">
        <v>212</v>
      </c>
      <c r="R610" s="8">
        <v>3583.41</v>
      </c>
      <c r="S610">
        <v>4</v>
      </c>
      <c r="T610">
        <v>0.2</v>
      </c>
      <c r="U610" s="8">
        <v>-78.14</v>
      </c>
      <c r="V610" t="s">
        <v>1561</v>
      </c>
      <c r="W610" t="s">
        <v>1561</v>
      </c>
    </row>
    <row r="611" spans="1:23">
      <c r="A611">
        <v>1610</v>
      </c>
      <c r="B611" t="s">
        <v>894</v>
      </c>
      <c r="C611" s="7">
        <v>45526</v>
      </c>
      <c r="D611" s="7">
        <v>45529</v>
      </c>
      <c r="E611" t="s">
        <v>69</v>
      </c>
      <c r="F611" t="s">
        <v>180</v>
      </c>
      <c r="G611" t="s">
        <v>1560</v>
      </c>
      <c r="H611" t="s">
        <v>51</v>
      </c>
      <c r="I611" t="s">
        <v>26</v>
      </c>
      <c r="J611" t="s">
        <v>131</v>
      </c>
      <c r="K611" t="s">
        <v>132</v>
      </c>
      <c r="L611" t="s">
        <v>63</v>
      </c>
      <c r="M611">
        <v>400001</v>
      </c>
      <c r="N611" t="s">
        <v>895</v>
      </c>
      <c r="O611" t="s">
        <v>188</v>
      </c>
      <c r="P611" t="s">
        <v>189</v>
      </c>
      <c r="Q611" t="s">
        <v>190</v>
      </c>
      <c r="R611" s="8">
        <v>39523.519999999997</v>
      </c>
      <c r="S611">
        <v>7</v>
      </c>
      <c r="T611">
        <v>0.05</v>
      </c>
      <c r="U611" s="8">
        <v>3416.67</v>
      </c>
      <c r="V611" t="s">
        <v>1561</v>
      </c>
      <c r="W611" t="s">
        <v>1561</v>
      </c>
    </row>
    <row r="612" spans="1:23">
      <c r="A612">
        <v>1611</v>
      </c>
      <c r="B612" t="s">
        <v>625</v>
      </c>
      <c r="C612" s="7">
        <v>45581</v>
      </c>
      <c r="D612" s="7">
        <v>45587</v>
      </c>
      <c r="E612" t="s">
        <v>101</v>
      </c>
      <c r="F612" t="s">
        <v>361</v>
      </c>
      <c r="G612" t="s">
        <v>1560</v>
      </c>
      <c r="H612" t="s">
        <v>108</v>
      </c>
      <c r="I612" t="s">
        <v>26</v>
      </c>
      <c r="J612" t="s">
        <v>115</v>
      </c>
      <c r="K612" t="s">
        <v>116</v>
      </c>
      <c r="L612" t="s">
        <v>41</v>
      </c>
      <c r="M612">
        <v>400001</v>
      </c>
      <c r="N612" t="s">
        <v>167</v>
      </c>
      <c r="O612" t="s">
        <v>138</v>
      </c>
      <c r="P612" t="s">
        <v>182</v>
      </c>
      <c r="Q612" t="s">
        <v>183</v>
      </c>
      <c r="R612" s="8">
        <v>3208.37</v>
      </c>
      <c r="S612">
        <v>7</v>
      </c>
      <c r="T612">
        <v>0.05</v>
      </c>
      <c r="U612" s="8">
        <v>443.64</v>
      </c>
      <c r="V612" t="s">
        <v>1561</v>
      </c>
      <c r="W612" t="s">
        <v>1561</v>
      </c>
    </row>
    <row r="613" spans="1:23">
      <c r="A613">
        <v>1612</v>
      </c>
      <c r="B613" t="s">
        <v>609</v>
      </c>
      <c r="C613" s="7">
        <v>45497</v>
      </c>
      <c r="D613" s="7">
        <v>45502</v>
      </c>
      <c r="E613" t="s">
        <v>69</v>
      </c>
      <c r="F613" t="s">
        <v>260</v>
      </c>
      <c r="G613" t="s">
        <v>1563</v>
      </c>
      <c r="H613" t="s">
        <v>25</v>
      </c>
      <c r="I613" t="s">
        <v>26</v>
      </c>
      <c r="J613" t="s">
        <v>346</v>
      </c>
      <c r="K613" t="s">
        <v>132</v>
      </c>
      <c r="L613" t="s">
        <v>41</v>
      </c>
      <c r="M613">
        <v>695001</v>
      </c>
      <c r="N613" t="s">
        <v>610</v>
      </c>
      <c r="O613" t="s">
        <v>44</v>
      </c>
      <c r="P613" t="s">
        <v>211</v>
      </c>
      <c r="Q613" t="s">
        <v>212</v>
      </c>
      <c r="R613" s="8">
        <v>1187.01</v>
      </c>
      <c r="S613">
        <v>1</v>
      </c>
      <c r="T613">
        <v>0</v>
      </c>
      <c r="U613" s="8">
        <v>159.53</v>
      </c>
      <c r="V613" t="s">
        <v>1561</v>
      </c>
      <c r="W613" t="s">
        <v>1561</v>
      </c>
    </row>
    <row r="614" spans="1:23">
      <c r="A614">
        <v>1613</v>
      </c>
      <c r="B614" t="s">
        <v>1344</v>
      </c>
      <c r="C614" s="7">
        <v>45392</v>
      </c>
      <c r="D614" s="7">
        <v>45393</v>
      </c>
      <c r="E614" t="s">
        <v>22</v>
      </c>
      <c r="F614" t="s">
        <v>420</v>
      </c>
      <c r="G614" t="s">
        <v>1572</v>
      </c>
      <c r="H614" t="s">
        <v>51</v>
      </c>
      <c r="I614" t="s">
        <v>26</v>
      </c>
      <c r="J614" t="s">
        <v>79</v>
      </c>
      <c r="K614" t="s">
        <v>80</v>
      </c>
      <c r="L614" t="s">
        <v>29</v>
      </c>
      <c r="M614">
        <v>400001</v>
      </c>
      <c r="N614" t="s">
        <v>1345</v>
      </c>
      <c r="O614" t="s">
        <v>138</v>
      </c>
      <c r="P614" t="s">
        <v>156</v>
      </c>
      <c r="Q614" t="s">
        <v>157</v>
      </c>
      <c r="R614" s="8">
        <v>956.55</v>
      </c>
      <c r="S614">
        <v>3</v>
      </c>
      <c r="T614">
        <v>0.15</v>
      </c>
      <c r="U614" s="8">
        <v>104.84</v>
      </c>
      <c r="V614" t="s">
        <v>1561</v>
      </c>
      <c r="W614" t="s">
        <v>1561</v>
      </c>
    </row>
    <row r="615" spans="1:23">
      <c r="A615">
        <v>1614</v>
      </c>
      <c r="B615" t="s">
        <v>671</v>
      </c>
      <c r="C615" s="7">
        <v>45633</v>
      </c>
      <c r="D615" s="7">
        <v>45636</v>
      </c>
      <c r="E615" t="s">
        <v>101</v>
      </c>
      <c r="F615" t="s">
        <v>291</v>
      </c>
      <c r="G615" t="s">
        <v>1582</v>
      </c>
      <c r="H615" t="s">
        <v>51</v>
      </c>
      <c r="I615" t="s">
        <v>26</v>
      </c>
      <c r="J615" t="s">
        <v>131</v>
      </c>
      <c r="K615" t="s">
        <v>132</v>
      </c>
      <c r="L615" t="s">
        <v>29</v>
      </c>
      <c r="M615">
        <v>695001</v>
      </c>
      <c r="N615" t="s">
        <v>204</v>
      </c>
      <c r="O615" t="s">
        <v>138</v>
      </c>
      <c r="P615" t="s">
        <v>121</v>
      </c>
      <c r="Q615" t="s">
        <v>122</v>
      </c>
      <c r="R615" s="8">
        <v>1918.05</v>
      </c>
      <c r="S615">
        <v>3</v>
      </c>
      <c r="T615">
        <v>0</v>
      </c>
      <c r="U615" s="8">
        <v>340.3</v>
      </c>
      <c r="V615" t="s">
        <v>1561</v>
      </c>
      <c r="W615" t="s">
        <v>1561</v>
      </c>
    </row>
    <row r="616" spans="1:23">
      <c r="A616">
        <v>1615</v>
      </c>
      <c r="B616" t="s">
        <v>1517</v>
      </c>
      <c r="C616" s="7">
        <v>45579</v>
      </c>
      <c r="D616" s="7">
        <v>45580</v>
      </c>
      <c r="E616" t="s">
        <v>69</v>
      </c>
      <c r="F616" t="s">
        <v>214</v>
      </c>
      <c r="G616" t="s">
        <v>1567</v>
      </c>
      <c r="H616" t="s">
        <v>51</v>
      </c>
      <c r="I616" t="s">
        <v>26</v>
      </c>
      <c r="J616" t="s">
        <v>226</v>
      </c>
      <c r="K616" t="s">
        <v>110</v>
      </c>
      <c r="L616" t="s">
        <v>29</v>
      </c>
      <c r="M616">
        <v>400001</v>
      </c>
      <c r="N616" t="s">
        <v>1167</v>
      </c>
      <c r="O616" t="s">
        <v>44</v>
      </c>
      <c r="P616" t="s">
        <v>207</v>
      </c>
      <c r="Q616" t="s">
        <v>208</v>
      </c>
      <c r="R616" s="8">
        <v>78437.37</v>
      </c>
      <c r="S616">
        <v>2</v>
      </c>
      <c r="T616">
        <v>0.3</v>
      </c>
      <c r="U616" s="8">
        <v>-6364.93</v>
      </c>
      <c r="V616" t="s">
        <v>1561</v>
      </c>
      <c r="W616" t="s">
        <v>1561</v>
      </c>
    </row>
    <row r="617" spans="1:23">
      <c r="A617">
        <v>1616</v>
      </c>
      <c r="B617" t="s">
        <v>637</v>
      </c>
      <c r="C617" s="7">
        <v>45504</v>
      </c>
      <c r="D617" s="7">
        <v>45506</v>
      </c>
      <c r="E617" t="s">
        <v>22</v>
      </c>
      <c r="F617" t="s">
        <v>291</v>
      </c>
      <c r="G617" t="s">
        <v>1565</v>
      </c>
      <c r="H617" t="s">
        <v>51</v>
      </c>
      <c r="I617" t="s">
        <v>26</v>
      </c>
      <c r="J617" t="s">
        <v>27</v>
      </c>
      <c r="K617" t="s">
        <v>28</v>
      </c>
      <c r="L617" t="s">
        <v>63</v>
      </c>
      <c r="M617">
        <v>560001</v>
      </c>
      <c r="N617" t="s">
        <v>638</v>
      </c>
      <c r="O617" t="s">
        <v>138</v>
      </c>
      <c r="P617" t="s">
        <v>182</v>
      </c>
      <c r="Q617" t="s">
        <v>183</v>
      </c>
      <c r="R617" s="8">
        <v>1793.91</v>
      </c>
      <c r="S617">
        <v>5</v>
      </c>
      <c r="T617">
        <v>0.25</v>
      </c>
      <c r="U617" s="8">
        <v>58.19</v>
      </c>
      <c r="V617" t="s">
        <v>1561</v>
      </c>
      <c r="W617" t="s">
        <v>1561</v>
      </c>
    </row>
    <row r="618" spans="1:23">
      <c r="A618">
        <v>1617</v>
      </c>
      <c r="B618" t="s">
        <v>1192</v>
      </c>
      <c r="C618" s="7">
        <v>45337</v>
      </c>
      <c r="D618" s="7">
        <v>45338</v>
      </c>
      <c r="E618" t="s">
        <v>101</v>
      </c>
      <c r="F618" t="s">
        <v>255</v>
      </c>
      <c r="G618" t="s">
        <v>1567</v>
      </c>
      <c r="H618" t="s">
        <v>51</v>
      </c>
      <c r="I618" t="s">
        <v>26</v>
      </c>
      <c r="J618" t="s">
        <v>52</v>
      </c>
      <c r="K618" t="s">
        <v>52</v>
      </c>
      <c r="L618" t="s">
        <v>63</v>
      </c>
      <c r="M618">
        <v>560001</v>
      </c>
      <c r="N618" t="s">
        <v>1193</v>
      </c>
      <c r="O618" t="s">
        <v>55</v>
      </c>
      <c r="P618" t="s">
        <v>56</v>
      </c>
      <c r="Q618" t="s">
        <v>57</v>
      </c>
      <c r="R618" s="8">
        <v>36064.86</v>
      </c>
      <c r="S618">
        <v>7</v>
      </c>
      <c r="T618">
        <v>0.25</v>
      </c>
      <c r="U618" s="8">
        <v>-69.03</v>
      </c>
      <c r="V618" t="s">
        <v>1561</v>
      </c>
      <c r="W618" t="s">
        <v>1561</v>
      </c>
    </row>
    <row r="619" spans="1:23">
      <c r="A619">
        <v>1618</v>
      </c>
      <c r="B619" t="s">
        <v>776</v>
      </c>
      <c r="C619" s="7">
        <v>45394</v>
      </c>
      <c r="D619" s="7">
        <v>45396</v>
      </c>
      <c r="E619" t="s">
        <v>101</v>
      </c>
      <c r="F619" t="s">
        <v>449</v>
      </c>
      <c r="G619" t="s">
        <v>1568</v>
      </c>
      <c r="H619" t="s">
        <v>25</v>
      </c>
      <c r="I619" t="s">
        <v>26</v>
      </c>
      <c r="J619" t="s">
        <v>52</v>
      </c>
      <c r="K619" t="s">
        <v>52</v>
      </c>
      <c r="L619" t="s">
        <v>29</v>
      </c>
      <c r="M619">
        <v>673001</v>
      </c>
      <c r="N619" t="s">
        <v>777</v>
      </c>
      <c r="O619" t="s">
        <v>138</v>
      </c>
      <c r="P619" t="s">
        <v>182</v>
      </c>
      <c r="Q619" t="s">
        <v>183</v>
      </c>
      <c r="R619" s="8">
        <v>1751.5</v>
      </c>
      <c r="S619">
        <v>4</v>
      </c>
      <c r="T619">
        <v>0.05</v>
      </c>
      <c r="U619" s="8">
        <v>274.08999999999997</v>
      </c>
      <c r="V619" t="s">
        <v>1561</v>
      </c>
      <c r="W619" t="s">
        <v>1561</v>
      </c>
    </row>
    <row r="620" spans="1:23">
      <c r="A620">
        <v>1619</v>
      </c>
      <c r="B620" t="s">
        <v>834</v>
      </c>
      <c r="C620" s="7">
        <v>45406</v>
      </c>
      <c r="D620" s="7">
        <v>45407</v>
      </c>
      <c r="E620" t="s">
        <v>22</v>
      </c>
      <c r="F620" t="s">
        <v>309</v>
      </c>
      <c r="G620" t="s">
        <v>1570</v>
      </c>
      <c r="H620" t="s">
        <v>25</v>
      </c>
      <c r="I620" t="s">
        <v>26</v>
      </c>
      <c r="J620" t="s">
        <v>61</v>
      </c>
      <c r="K620" t="s">
        <v>62</v>
      </c>
      <c r="L620" t="s">
        <v>63</v>
      </c>
      <c r="M620">
        <v>400001</v>
      </c>
      <c r="N620" t="s">
        <v>835</v>
      </c>
      <c r="O620" t="s">
        <v>55</v>
      </c>
      <c r="P620" t="s">
        <v>66</v>
      </c>
      <c r="Q620" t="s">
        <v>67</v>
      </c>
      <c r="R620" s="8">
        <v>12593.74</v>
      </c>
      <c r="S620">
        <v>2</v>
      </c>
      <c r="T620">
        <v>0.3</v>
      </c>
      <c r="U620" s="8">
        <v>-434.88</v>
      </c>
      <c r="V620" t="s">
        <v>1561</v>
      </c>
      <c r="W620" t="s">
        <v>1561</v>
      </c>
    </row>
    <row r="621" spans="1:23">
      <c r="A621">
        <v>1620</v>
      </c>
      <c r="B621" t="s">
        <v>797</v>
      </c>
      <c r="C621" s="7">
        <v>45505</v>
      </c>
      <c r="D621" s="7">
        <v>45507</v>
      </c>
      <c r="E621" t="s">
        <v>101</v>
      </c>
      <c r="F621" t="s">
        <v>333</v>
      </c>
      <c r="G621" t="s">
        <v>1560</v>
      </c>
      <c r="H621" t="s">
        <v>51</v>
      </c>
      <c r="I621" t="s">
        <v>26</v>
      </c>
      <c r="J621" t="s">
        <v>90</v>
      </c>
      <c r="K621" t="s">
        <v>91</v>
      </c>
      <c r="L621" t="s">
        <v>92</v>
      </c>
      <c r="M621">
        <v>673001</v>
      </c>
      <c r="N621" t="s">
        <v>666</v>
      </c>
      <c r="O621" t="s">
        <v>138</v>
      </c>
      <c r="P621" t="s">
        <v>182</v>
      </c>
      <c r="Q621" t="s">
        <v>183</v>
      </c>
      <c r="R621" s="8">
        <v>1644.61</v>
      </c>
      <c r="S621">
        <v>4</v>
      </c>
      <c r="T621">
        <v>0.15</v>
      </c>
      <c r="U621" s="8">
        <v>142.07</v>
      </c>
      <c r="V621" t="s">
        <v>1561</v>
      </c>
      <c r="W621" t="s">
        <v>1561</v>
      </c>
    </row>
    <row r="622" spans="1:23">
      <c r="A622">
        <v>1621</v>
      </c>
      <c r="B622" t="s">
        <v>503</v>
      </c>
      <c r="C622" s="7">
        <v>45589</v>
      </c>
      <c r="D622" s="7">
        <v>45593</v>
      </c>
      <c r="E622" t="s">
        <v>101</v>
      </c>
      <c r="F622" t="s">
        <v>301</v>
      </c>
      <c r="G622" t="s">
        <v>1570</v>
      </c>
      <c r="H622" t="s">
        <v>51</v>
      </c>
      <c r="I622" t="s">
        <v>26</v>
      </c>
      <c r="J622" t="s">
        <v>27</v>
      </c>
      <c r="K622" t="s">
        <v>28</v>
      </c>
      <c r="L622" t="s">
        <v>29</v>
      </c>
      <c r="M622">
        <v>400001</v>
      </c>
      <c r="N622" t="s">
        <v>504</v>
      </c>
      <c r="O622" t="s">
        <v>55</v>
      </c>
      <c r="P622" t="s">
        <v>66</v>
      </c>
      <c r="Q622" t="s">
        <v>67</v>
      </c>
      <c r="R622" s="8">
        <v>57608.5</v>
      </c>
      <c r="S622">
        <v>8</v>
      </c>
      <c r="T622">
        <v>0.2</v>
      </c>
      <c r="U622" s="8">
        <v>1967.27</v>
      </c>
      <c r="V622" t="s">
        <v>1561</v>
      </c>
      <c r="W622" t="s">
        <v>1561</v>
      </c>
    </row>
    <row r="623" spans="1:23">
      <c r="A623">
        <v>1622</v>
      </c>
      <c r="B623" t="s">
        <v>1295</v>
      </c>
      <c r="C623" s="7">
        <v>45375</v>
      </c>
      <c r="D623" s="7">
        <v>45380</v>
      </c>
      <c r="E623" t="s">
        <v>22</v>
      </c>
      <c r="F623" t="s">
        <v>291</v>
      </c>
      <c r="G623" t="s">
        <v>1563</v>
      </c>
      <c r="H623" t="s">
        <v>51</v>
      </c>
      <c r="I623" t="s">
        <v>26</v>
      </c>
      <c r="J623" t="s">
        <v>131</v>
      </c>
      <c r="K623" t="s">
        <v>132</v>
      </c>
      <c r="L623" t="s">
        <v>29</v>
      </c>
      <c r="M623">
        <v>400001</v>
      </c>
      <c r="N623" t="s">
        <v>1075</v>
      </c>
      <c r="O623" t="s">
        <v>55</v>
      </c>
      <c r="P623" t="s">
        <v>56</v>
      </c>
      <c r="Q623" t="s">
        <v>57</v>
      </c>
      <c r="R623" s="8">
        <v>19155.86</v>
      </c>
      <c r="S623">
        <v>3</v>
      </c>
      <c r="T623">
        <v>0.15</v>
      </c>
      <c r="U623" s="8">
        <v>1403.64</v>
      </c>
      <c r="V623" t="s">
        <v>1561</v>
      </c>
      <c r="W623" t="s">
        <v>1561</v>
      </c>
    </row>
    <row r="624" spans="1:23">
      <c r="A624">
        <v>1623</v>
      </c>
      <c r="B624" t="s">
        <v>392</v>
      </c>
      <c r="C624" s="7">
        <v>45316</v>
      </c>
      <c r="D624" s="7">
        <v>45319</v>
      </c>
      <c r="E624" t="s">
        <v>48</v>
      </c>
      <c r="F624" t="s">
        <v>288</v>
      </c>
      <c r="G624" t="s">
        <v>1566</v>
      </c>
      <c r="H624" t="s">
        <v>51</v>
      </c>
      <c r="I624" t="s">
        <v>26</v>
      </c>
      <c r="J624" t="s">
        <v>226</v>
      </c>
      <c r="K624" t="s">
        <v>110</v>
      </c>
      <c r="L624" t="s">
        <v>41</v>
      </c>
      <c r="M624">
        <v>600001</v>
      </c>
      <c r="N624" t="s">
        <v>393</v>
      </c>
      <c r="O624" t="s">
        <v>44</v>
      </c>
      <c r="P624" t="s">
        <v>211</v>
      </c>
      <c r="Q624" t="s">
        <v>212</v>
      </c>
      <c r="R624" s="8">
        <v>2000.19</v>
      </c>
      <c r="S624">
        <v>2</v>
      </c>
      <c r="T624">
        <v>0.2</v>
      </c>
      <c r="U624" s="8">
        <v>-42.53</v>
      </c>
      <c r="V624" t="s">
        <v>1561</v>
      </c>
      <c r="W624" t="s">
        <v>1561</v>
      </c>
    </row>
    <row r="625" spans="1:23">
      <c r="A625">
        <v>1624</v>
      </c>
      <c r="B625" t="s">
        <v>588</v>
      </c>
      <c r="C625" s="7">
        <v>45570</v>
      </c>
      <c r="D625" s="7">
        <v>45573</v>
      </c>
      <c r="E625" t="s">
        <v>48</v>
      </c>
      <c r="F625" t="s">
        <v>247</v>
      </c>
      <c r="G625" t="s">
        <v>1572</v>
      </c>
      <c r="H625" t="s">
        <v>51</v>
      </c>
      <c r="I625" t="s">
        <v>26</v>
      </c>
      <c r="J625" t="s">
        <v>27</v>
      </c>
      <c r="K625" t="s">
        <v>28</v>
      </c>
      <c r="L625" t="s">
        <v>63</v>
      </c>
      <c r="M625">
        <v>695001</v>
      </c>
      <c r="N625" t="s">
        <v>128</v>
      </c>
      <c r="O625" t="s">
        <v>138</v>
      </c>
      <c r="P625" t="s">
        <v>156</v>
      </c>
      <c r="Q625" t="s">
        <v>157</v>
      </c>
      <c r="R625" s="8">
        <v>339.7</v>
      </c>
      <c r="S625">
        <v>1</v>
      </c>
      <c r="T625">
        <v>0.05</v>
      </c>
      <c r="U625" s="8">
        <v>43.6</v>
      </c>
      <c r="V625" t="s">
        <v>1561</v>
      </c>
      <c r="W625" t="s">
        <v>1561</v>
      </c>
    </row>
    <row r="626" spans="1:23">
      <c r="A626">
        <v>1625</v>
      </c>
      <c r="B626" t="s">
        <v>860</v>
      </c>
      <c r="C626" s="7">
        <v>45365</v>
      </c>
      <c r="D626" s="7">
        <v>45366</v>
      </c>
      <c r="E626" t="s">
        <v>69</v>
      </c>
      <c r="F626" t="s">
        <v>277</v>
      </c>
      <c r="G626" t="s">
        <v>1570</v>
      </c>
      <c r="H626" t="s">
        <v>51</v>
      </c>
      <c r="I626" t="s">
        <v>26</v>
      </c>
      <c r="J626" t="s">
        <v>160</v>
      </c>
      <c r="K626" t="s">
        <v>161</v>
      </c>
      <c r="L626" t="s">
        <v>63</v>
      </c>
      <c r="M626">
        <v>110001</v>
      </c>
      <c r="N626" t="s">
        <v>82</v>
      </c>
      <c r="O626" t="s">
        <v>83</v>
      </c>
      <c r="P626" t="s">
        <v>33</v>
      </c>
      <c r="Q626" t="s">
        <v>34</v>
      </c>
      <c r="R626" s="8">
        <v>3586.25</v>
      </c>
      <c r="S626">
        <v>3</v>
      </c>
      <c r="T626">
        <v>0.2</v>
      </c>
      <c r="U626" s="8">
        <v>455.45</v>
      </c>
      <c r="V626" t="s">
        <v>1561</v>
      </c>
      <c r="W626" t="s">
        <v>1561</v>
      </c>
    </row>
    <row r="627" spans="1:23">
      <c r="A627">
        <v>1626</v>
      </c>
      <c r="B627" t="s">
        <v>1267</v>
      </c>
      <c r="C627" s="7">
        <v>45371</v>
      </c>
      <c r="D627" s="7">
        <v>45376</v>
      </c>
      <c r="E627" t="s">
        <v>69</v>
      </c>
      <c r="F627" t="s">
        <v>340</v>
      </c>
      <c r="G627" t="s">
        <v>1565</v>
      </c>
      <c r="H627" t="s">
        <v>108</v>
      </c>
      <c r="I627" t="s">
        <v>26</v>
      </c>
      <c r="J627" t="s">
        <v>109</v>
      </c>
      <c r="K627" t="s">
        <v>110</v>
      </c>
      <c r="L627" t="s">
        <v>41</v>
      </c>
      <c r="M627">
        <v>560001</v>
      </c>
      <c r="N627" t="s">
        <v>1268</v>
      </c>
      <c r="O627" t="s">
        <v>55</v>
      </c>
      <c r="P627" t="s">
        <v>56</v>
      </c>
      <c r="Q627" t="s">
        <v>57</v>
      </c>
      <c r="R627" s="8">
        <v>6787.45</v>
      </c>
      <c r="S627">
        <v>1</v>
      </c>
      <c r="T627">
        <v>0.1</v>
      </c>
      <c r="U627" s="8">
        <v>638.85</v>
      </c>
      <c r="V627" t="s">
        <v>1561</v>
      </c>
      <c r="W627" t="s">
        <v>1561</v>
      </c>
    </row>
    <row r="628" spans="1:23">
      <c r="A628">
        <v>1627</v>
      </c>
      <c r="B628" t="s">
        <v>525</v>
      </c>
      <c r="C628" s="7">
        <v>45470</v>
      </c>
      <c r="D628" s="7">
        <v>45473</v>
      </c>
      <c r="E628" t="s">
        <v>48</v>
      </c>
      <c r="F628" t="s">
        <v>526</v>
      </c>
      <c r="G628" t="s">
        <v>1572</v>
      </c>
      <c r="H628" t="s">
        <v>25</v>
      </c>
      <c r="I628" t="s">
        <v>26</v>
      </c>
      <c r="J628" t="s">
        <v>131</v>
      </c>
      <c r="K628" t="s">
        <v>132</v>
      </c>
      <c r="L628" t="s">
        <v>29</v>
      </c>
      <c r="M628">
        <v>600001</v>
      </c>
      <c r="N628" t="s">
        <v>527</v>
      </c>
      <c r="O628" t="s">
        <v>44</v>
      </c>
      <c r="P628" t="s">
        <v>45</v>
      </c>
      <c r="Q628" t="s">
        <v>46</v>
      </c>
      <c r="R628" s="8">
        <v>141941.92000000001</v>
      </c>
      <c r="S628">
        <v>6</v>
      </c>
      <c r="T628">
        <v>0.3</v>
      </c>
      <c r="U628" s="8">
        <v>-9803.98</v>
      </c>
      <c r="V628" t="s">
        <v>1561</v>
      </c>
      <c r="W628" t="s">
        <v>1561</v>
      </c>
    </row>
    <row r="629" spans="1:23">
      <c r="A629">
        <v>1628</v>
      </c>
      <c r="B629" t="s">
        <v>298</v>
      </c>
      <c r="C629" s="7">
        <v>45405</v>
      </c>
      <c r="D629" s="7">
        <v>45407</v>
      </c>
      <c r="E629" t="s">
        <v>69</v>
      </c>
      <c r="F629" t="s">
        <v>23</v>
      </c>
      <c r="G629" t="s">
        <v>1565</v>
      </c>
      <c r="H629" t="s">
        <v>51</v>
      </c>
      <c r="I629" t="s">
        <v>26</v>
      </c>
      <c r="J629" t="s">
        <v>27</v>
      </c>
      <c r="K629" t="s">
        <v>28</v>
      </c>
      <c r="L629" t="s">
        <v>63</v>
      </c>
      <c r="M629">
        <v>682001</v>
      </c>
      <c r="N629" t="s">
        <v>299</v>
      </c>
      <c r="O629" t="s">
        <v>55</v>
      </c>
      <c r="P629" t="s">
        <v>56</v>
      </c>
      <c r="Q629" t="s">
        <v>57</v>
      </c>
      <c r="R629" s="8">
        <v>14827.54</v>
      </c>
      <c r="S629">
        <v>2</v>
      </c>
      <c r="T629">
        <v>0</v>
      </c>
      <c r="U629" s="8">
        <v>2289.7399999999998</v>
      </c>
      <c r="V629" t="s">
        <v>1561</v>
      </c>
      <c r="W629" t="s">
        <v>1561</v>
      </c>
    </row>
    <row r="630" spans="1:23">
      <c r="A630">
        <v>1629</v>
      </c>
      <c r="B630" t="s">
        <v>629</v>
      </c>
      <c r="C630" s="7">
        <v>45331</v>
      </c>
      <c r="D630" s="7">
        <v>45332</v>
      </c>
      <c r="E630" t="s">
        <v>101</v>
      </c>
      <c r="F630" t="s">
        <v>106</v>
      </c>
      <c r="G630" t="s">
        <v>1564</v>
      </c>
      <c r="H630" t="s">
        <v>51</v>
      </c>
      <c r="I630" t="s">
        <v>26</v>
      </c>
      <c r="J630" t="s">
        <v>166</v>
      </c>
      <c r="K630" t="s">
        <v>132</v>
      </c>
      <c r="L630" t="s">
        <v>41</v>
      </c>
      <c r="M630">
        <v>682001</v>
      </c>
      <c r="N630" t="s">
        <v>93</v>
      </c>
      <c r="O630" t="s">
        <v>44</v>
      </c>
      <c r="P630" t="s">
        <v>45</v>
      </c>
      <c r="Q630" t="s">
        <v>46</v>
      </c>
      <c r="R630" s="8">
        <v>137100.09</v>
      </c>
      <c r="S630">
        <v>4</v>
      </c>
      <c r="T630">
        <v>0</v>
      </c>
      <c r="U630" s="8">
        <v>15017.63</v>
      </c>
      <c r="V630" t="s">
        <v>1561</v>
      </c>
      <c r="W630" t="s">
        <v>1561</v>
      </c>
    </row>
    <row r="631" spans="1:23">
      <c r="A631">
        <v>1630</v>
      </c>
      <c r="B631" t="s">
        <v>923</v>
      </c>
      <c r="C631" s="7">
        <v>45352</v>
      </c>
      <c r="D631" s="7">
        <v>45355</v>
      </c>
      <c r="E631" t="s">
        <v>22</v>
      </c>
      <c r="F631" t="s">
        <v>164</v>
      </c>
      <c r="G631" t="s">
        <v>1570</v>
      </c>
      <c r="H631" t="s">
        <v>25</v>
      </c>
      <c r="I631" t="s">
        <v>26</v>
      </c>
      <c r="J631" t="s">
        <v>346</v>
      </c>
      <c r="K631" t="s">
        <v>132</v>
      </c>
      <c r="L631" t="s">
        <v>41</v>
      </c>
      <c r="M631">
        <v>110001</v>
      </c>
      <c r="N631" t="s">
        <v>924</v>
      </c>
      <c r="O631" t="s">
        <v>83</v>
      </c>
      <c r="P631" t="s">
        <v>84</v>
      </c>
      <c r="Q631" t="s">
        <v>85</v>
      </c>
      <c r="R631" s="8">
        <v>6251.44</v>
      </c>
      <c r="S631">
        <v>3</v>
      </c>
      <c r="T631">
        <v>0.3</v>
      </c>
      <c r="U631" s="8">
        <v>357.92</v>
      </c>
      <c r="V631" t="s">
        <v>1561</v>
      </c>
      <c r="W631" t="s">
        <v>1561</v>
      </c>
    </row>
    <row r="632" spans="1:23">
      <c r="A632">
        <v>1631</v>
      </c>
      <c r="B632" t="s">
        <v>425</v>
      </c>
      <c r="C632" s="7">
        <v>45386</v>
      </c>
      <c r="D632" s="7">
        <v>45392</v>
      </c>
      <c r="E632" t="s">
        <v>48</v>
      </c>
      <c r="F632" t="s">
        <v>426</v>
      </c>
      <c r="G632" t="s">
        <v>1573</v>
      </c>
      <c r="H632" t="s">
        <v>108</v>
      </c>
      <c r="I632" t="s">
        <v>26</v>
      </c>
      <c r="J632" t="s">
        <v>27</v>
      </c>
      <c r="K632" t="s">
        <v>28</v>
      </c>
      <c r="L632" t="s">
        <v>92</v>
      </c>
      <c r="M632">
        <v>110001</v>
      </c>
      <c r="N632" t="s">
        <v>178</v>
      </c>
      <c r="O632" t="s">
        <v>44</v>
      </c>
      <c r="P632" t="s">
        <v>45</v>
      </c>
      <c r="Q632" t="s">
        <v>46</v>
      </c>
      <c r="R632" s="8">
        <v>31202.46</v>
      </c>
      <c r="S632">
        <v>1</v>
      </c>
      <c r="T632">
        <v>0.1</v>
      </c>
      <c r="U632" s="8">
        <v>1613.01</v>
      </c>
      <c r="V632" t="s">
        <v>1561</v>
      </c>
      <c r="W632" t="s">
        <v>1561</v>
      </c>
    </row>
    <row r="633" spans="1:23">
      <c r="A633">
        <v>1632</v>
      </c>
      <c r="B633" t="s">
        <v>568</v>
      </c>
      <c r="C633" s="7">
        <v>45550</v>
      </c>
      <c r="D633" s="7">
        <v>45555</v>
      </c>
      <c r="E633" t="s">
        <v>22</v>
      </c>
      <c r="F633" t="s">
        <v>452</v>
      </c>
      <c r="G633" t="s">
        <v>1572</v>
      </c>
      <c r="H633" t="s">
        <v>51</v>
      </c>
      <c r="I633" t="s">
        <v>26</v>
      </c>
      <c r="J633" t="s">
        <v>115</v>
      </c>
      <c r="K633" t="s">
        <v>116</v>
      </c>
      <c r="L633" t="s">
        <v>41</v>
      </c>
      <c r="M633">
        <v>600001</v>
      </c>
      <c r="N633" t="s">
        <v>569</v>
      </c>
      <c r="O633" t="s">
        <v>138</v>
      </c>
      <c r="P633" t="s">
        <v>139</v>
      </c>
      <c r="Q633" t="s">
        <v>140</v>
      </c>
      <c r="R633" s="8">
        <v>829.06</v>
      </c>
      <c r="S633">
        <v>1</v>
      </c>
      <c r="T633">
        <v>0.1</v>
      </c>
      <c r="U633" s="8">
        <v>109.42</v>
      </c>
      <c r="V633" t="s">
        <v>1561</v>
      </c>
      <c r="W633" t="s">
        <v>1561</v>
      </c>
    </row>
    <row r="634" spans="1:23">
      <c r="A634">
        <v>1633</v>
      </c>
      <c r="B634" t="s">
        <v>992</v>
      </c>
      <c r="C634" s="7">
        <v>45342</v>
      </c>
      <c r="D634" s="7">
        <v>45344</v>
      </c>
      <c r="E634" t="s">
        <v>101</v>
      </c>
      <c r="F634" t="s">
        <v>203</v>
      </c>
      <c r="G634" t="s">
        <v>1560</v>
      </c>
      <c r="H634" t="s">
        <v>108</v>
      </c>
      <c r="I634" t="s">
        <v>26</v>
      </c>
      <c r="J634" t="s">
        <v>160</v>
      </c>
      <c r="K634" t="s">
        <v>161</v>
      </c>
      <c r="L634" t="s">
        <v>92</v>
      </c>
      <c r="M634">
        <v>560001</v>
      </c>
      <c r="N634" t="s">
        <v>438</v>
      </c>
      <c r="O634" t="s">
        <v>44</v>
      </c>
      <c r="P634" t="s">
        <v>211</v>
      </c>
      <c r="Q634" t="s">
        <v>223</v>
      </c>
      <c r="R634" s="8">
        <v>1659.35</v>
      </c>
      <c r="S634">
        <v>1</v>
      </c>
      <c r="T634">
        <v>0</v>
      </c>
      <c r="U634" s="8">
        <v>143.51</v>
      </c>
      <c r="V634" t="s">
        <v>1561</v>
      </c>
      <c r="W634" t="s">
        <v>1561</v>
      </c>
    </row>
    <row r="635" spans="1:23">
      <c r="A635">
        <v>1634</v>
      </c>
      <c r="B635" t="s">
        <v>1135</v>
      </c>
      <c r="C635" s="7">
        <v>45401</v>
      </c>
      <c r="D635" s="7">
        <v>45406</v>
      </c>
      <c r="E635" t="s">
        <v>69</v>
      </c>
      <c r="F635" t="s">
        <v>271</v>
      </c>
      <c r="G635" t="s">
        <v>1573</v>
      </c>
      <c r="H635" t="s">
        <v>25</v>
      </c>
      <c r="I635" t="s">
        <v>26</v>
      </c>
      <c r="J635" t="s">
        <v>131</v>
      </c>
      <c r="K635" t="s">
        <v>132</v>
      </c>
      <c r="L635" t="s">
        <v>63</v>
      </c>
      <c r="M635">
        <v>673001</v>
      </c>
      <c r="N635" t="s">
        <v>311</v>
      </c>
      <c r="O635" t="s">
        <v>44</v>
      </c>
      <c r="P635" t="s">
        <v>211</v>
      </c>
      <c r="Q635" t="s">
        <v>212</v>
      </c>
      <c r="R635" s="8">
        <v>7076.15</v>
      </c>
      <c r="S635">
        <v>8</v>
      </c>
      <c r="T635">
        <v>0.25</v>
      </c>
      <c r="U635" s="8">
        <v>-367.77</v>
      </c>
      <c r="V635" t="s">
        <v>1561</v>
      </c>
      <c r="W635" t="s">
        <v>1561</v>
      </c>
    </row>
    <row r="636" spans="1:23">
      <c r="A636">
        <v>1635</v>
      </c>
      <c r="B636" t="s">
        <v>492</v>
      </c>
      <c r="C636" s="7">
        <v>45577</v>
      </c>
      <c r="D636" s="7">
        <v>45583</v>
      </c>
      <c r="E636" t="s">
        <v>22</v>
      </c>
      <c r="F636" t="s">
        <v>285</v>
      </c>
      <c r="G636" t="s">
        <v>1563</v>
      </c>
      <c r="H636" t="s">
        <v>51</v>
      </c>
      <c r="I636" t="s">
        <v>26</v>
      </c>
      <c r="J636" t="s">
        <v>131</v>
      </c>
      <c r="K636" t="s">
        <v>132</v>
      </c>
      <c r="L636" t="s">
        <v>29</v>
      </c>
      <c r="M636">
        <v>673001</v>
      </c>
      <c r="N636" t="s">
        <v>493</v>
      </c>
      <c r="O636" t="s">
        <v>138</v>
      </c>
      <c r="P636" t="s">
        <v>121</v>
      </c>
      <c r="Q636" t="s">
        <v>122</v>
      </c>
      <c r="R636" s="8">
        <v>2245.37</v>
      </c>
      <c r="S636">
        <v>4</v>
      </c>
      <c r="T636">
        <v>0.15</v>
      </c>
      <c r="U636" s="8">
        <v>206.18</v>
      </c>
      <c r="V636" t="s">
        <v>1561</v>
      </c>
      <c r="W636" t="s">
        <v>1561</v>
      </c>
    </row>
    <row r="637" spans="1:23">
      <c r="A637">
        <v>1636</v>
      </c>
      <c r="B637" t="s">
        <v>819</v>
      </c>
      <c r="C637" s="7">
        <v>45407</v>
      </c>
      <c r="D637" s="7">
        <v>45412</v>
      </c>
      <c r="E637" t="s">
        <v>101</v>
      </c>
      <c r="F637" t="s">
        <v>449</v>
      </c>
      <c r="G637" t="s">
        <v>1572</v>
      </c>
      <c r="H637" t="s">
        <v>25</v>
      </c>
      <c r="I637" t="s">
        <v>26</v>
      </c>
      <c r="J637" t="s">
        <v>115</v>
      </c>
      <c r="K637" t="s">
        <v>116</v>
      </c>
      <c r="L637" t="s">
        <v>29</v>
      </c>
      <c r="M637">
        <v>682001</v>
      </c>
      <c r="N637" t="s">
        <v>820</v>
      </c>
      <c r="O637" t="s">
        <v>138</v>
      </c>
      <c r="P637" t="s">
        <v>182</v>
      </c>
      <c r="Q637" t="s">
        <v>183</v>
      </c>
      <c r="R637" s="8">
        <v>649.65</v>
      </c>
      <c r="S637">
        <v>2</v>
      </c>
      <c r="T637">
        <v>0.3</v>
      </c>
      <c r="U637" s="8">
        <v>3.83</v>
      </c>
      <c r="V637" t="s">
        <v>1561</v>
      </c>
      <c r="W637" t="s">
        <v>1561</v>
      </c>
    </row>
    <row r="638" spans="1:23">
      <c r="A638">
        <v>1637</v>
      </c>
      <c r="B638" t="s">
        <v>912</v>
      </c>
      <c r="C638" s="7">
        <v>45383</v>
      </c>
      <c r="D638" s="7">
        <v>45384</v>
      </c>
      <c r="E638" t="s">
        <v>101</v>
      </c>
      <c r="F638" t="s">
        <v>375</v>
      </c>
      <c r="G638" t="s">
        <v>1573</v>
      </c>
      <c r="H638" t="s">
        <v>25</v>
      </c>
      <c r="I638" t="s">
        <v>26</v>
      </c>
      <c r="J638" t="s">
        <v>131</v>
      </c>
      <c r="K638" t="s">
        <v>132</v>
      </c>
      <c r="L638" t="s">
        <v>29</v>
      </c>
      <c r="M638">
        <v>560001</v>
      </c>
      <c r="N638" t="s">
        <v>527</v>
      </c>
      <c r="O638" t="s">
        <v>188</v>
      </c>
      <c r="P638" t="s">
        <v>189</v>
      </c>
      <c r="Q638" t="s">
        <v>190</v>
      </c>
      <c r="R638" s="8">
        <v>14543.28</v>
      </c>
      <c r="S638">
        <v>3</v>
      </c>
      <c r="T638">
        <v>0.2</v>
      </c>
      <c r="U638" s="8">
        <v>0</v>
      </c>
      <c r="V638" t="s">
        <v>1561</v>
      </c>
      <c r="W638" t="s">
        <v>1561</v>
      </c>
    </row>
    <row r="639" spans="1:23">
      <c r="A639">
        <v>1638</v>
      </c>
      <c r="B639" t="s">
        <v>151</v>
      </c>
      <c r="C639" s="7">
        <v>45647</v>
      </c>
      <c r="D639" s="7">
        <v>45652</v>
      </c>
      <c r="E639" t="s">
        <v>22</v>
      </c>
      <c r="F639" t="s">
        <v>152</v>
      </c>
      <c r="G639" t="s">
        <v>1567</v>
      </c>
      <c r="H639" t="s">
        <v>51</v>
      </c>
      <c r="I639" t="s">
        <v>26</v>
      </c>
      <c r="J639" t="s">
        <v>90</v>
      </c>
      <c r="K639" t="s">
        <v>91</v>
      </c>
      <c r="L639" t="s">
        <v>92</v>
      </c>
      <c r="M639">
        <v>673001</v>
      </c>
      <c r="N639" t="s">
        <v>155</v>
      </c>
      <c r="O639" t="s">
        <v>138</v>
      </c>
      <c r="P639" t="s">
        <v>156</v>
      </c>
      <c r="Q639" t="s">
        <v>157</v>
      </c>
      <c r="R639" s="8">
        <v>284.11</v>
      </c>
      <c r="S639">
        <v>1</v>
      </c>
      <c r="T639">
        <v>0.25</v>
      </c>
      <c r="U639" s="8">
        <v>8.5500000000000007</v>
      </c>
      <c r="V639" t="s">
        <v>1561</v>
      </c>
      <c r="W639" t="s">
        <v>1561</v>
      </c>
    </row>
    <row r="640" spans="1:23">
      <c r="A640">
        <v>1639</v>
      </c>
      <c r="B640" t="s">
        <v>705</v>
      </c>
      <c r="C640" s="7">
        <v>45354</v>
      </c>
      <c r="D640" s="7">
        <v>45356</v>
      </c>
      <c r="E640" t="s">
        <v>101</v>
      </c>
      <c r="F640" t="s">
        <v>593</v>
      </c>
      <c r="G640" t="s">
        <v>1562</v>
      </c>
      <c r="H640" t="s">
        <v>51</v>
      </c>
      <c r="I640" t="s">
        <v>26</v>
      </c>
      <c r="J640" t="s">
        <v>72</v>
      </c>
      <c r="K640" t="s">
        <v>73</v>
      </c>
      <c r="L640" t="s">
        <v>63</v>
      </c>
      <c r="M640">
        <v>110001</v>
      </c>
      <c r="N640" t="s">
        <v>706</v>
      </c>
      <c r="O640" t="s">
        <v>55</v>
      </c>
      <c r="P640" t="s">
        <v>56</v>
      </c>
      <c r="Q640" t="s">
        <v>57</v>
      </c>
      <c r="R640" s="8">
        <v>25885.63</v>
      </c>
      <c r="S640">
        <v>5</v>
      </c>
      <c r="T640">
        <v>0.25</v>
      </c>
      <c r="U640" s="8">
        <v>-80.459999999999994</v>
      </c>
      <c r="V640" t="s">
        <v>1561</v>
      </c>
      <c r="W640" t="s">
        <v>1561</v>
      </c>
    </row>
    <row r="641" spans="1:23">
      <c r="A641">
        <v>1640</v>
      </c>
      <c r="B641" t="s">
        <v>134</v>
      </c>
      <c r="C641" s="7">
        <v>45474</v>
      </c>
      <c r="D641" s="7">
        <v>45478</v>
      </c>
      <c r="E641" t="s">
        <v>101</v>
      </c>
      <c r="F641" t="s">
        <v>135</v>
      </c>
      <c r="G641" t="s">
        <v>1568</v>
      </c>
      <c r="H641" t="s">
        <v>25</v>
      </c>
      <c r="I641" t="s">
        <v>26</v>
      </c>
      <c r="J641" t="s">
        <v>27</v>
      </c>
      <c r="K641" t="s">
        <v>28</v>
      </c>
      <c r="L641" t="s">
        <v>63</v>
      </c>
      <c r="M641">
        <v>682001</v>
      </c>
      <c r="N641" t="s">
        <v>137</v>
      </c>
      <c r="O641" t="s">
        <v>138</v>
      </c>
      <c r="P641" t="s">
        <v>139</v>
      </c>
      <c r="Q641" t="s">
        <v>140</v>
      </c>
      <c r="R641" s="8">
        <v>2686.98</v>
      </c>
      <c r="S641">
        <v>4</v>
      </c>
      <c r="T641">
        <v>0.25</v>
      </c>
      <c r="U641" s="8">
        <v>100.71</v>
      </c>
      <c r="V641" t="s">
        <v>1561</v>
      </c>
      <c r="W641" t="s">
        <v>1561</v>
      </c>
    </row>
    <row r="642" spans="1:23">
      <c r="A642">
        <v>1641</v>
      </c>
      <c r="B642" t="s">
        <v>1187</v>
      </c>
      <c r="C642" s="7">
        <v>45613</v>
      </c>
      <c r="D642" s="7">
        <v>45615</v>
      </c>
      <c r="E642" t="s">
        <v>22</v>
      </c>
      <c r="F642" t="s">
        <v>452</v>
      </c>
      <c r="G642" t="s">
        <v>1560</v>
      </c>
      <c r="H642" t="s">
        <v>51</v>
      </c>
      <c r="I642" t="s">
        <v>26</v>
      </c>
      <c r="J642" t="s">
        <v>39</v>
      </c>
      <c r="K642" t="s">
        <v>40</v>
      </c>
      <c r="L642" t="s">
        <v>41</v>
      </c>
      <c r="M642">
        <v>110001</v>
      </c>
      <c r="N642" t="s">
        <v>390</v>
      </c>
      <c r="O642" t="s">
        <v>44</v>
      </c>
      <c r="P642" t="s">
        <v>45</v>
      </c>
      <c r="Q642" t="s">
        <v>46</v>
      </c>
      <c r="R642" s="8">
        <v>99037.56</v>
      </c>
      <c r="S642">
        <v>3</v>
      </c>
      <c r="T642">
        <v>0</v>
      </c>
      <c r="U642" s="8">
        <v>4907.8500000000004</v>
      </c>
      <c r="V642" t="s">
        <v>1561</v>
      </c>
      <c r="W642" t="s">
        <v>1561</v>
      </c>
    </row>
    <row r="643" spans="1:23">
      <c r="A643">
        <v>1642</v>
      </c>
      <c r="B643" t="s">
        <v>1302</v>
      </c>
      <c r="C643" s="7">
        <v>45370</v>
      </c>
      <c r="D643" s="7">
        <v>45373</v>
      </c>
      <c r="E643" t="s">
        <v>22</v>
      </c>
      <c r="F643" t="s">
        <v>417</v>
      </c>
      <c r="G643" t="s">
        <v>1573</v>
      </c>
      <c r="H643" t="s">
        <v>51</v>
      </c>
      <c r="I643" t="s">
        <v>26</v>
      </c>
      <c r="J643" t="s">
        <v>39</v>
      </c>
      <c r="K643" t="s">
        <v>40</v>
      </c>
      <c r="L643" t="s">
        <v>29</v>
      </c>
      <c r="M643">
        <v>110001</v>
      </c>
      <c r="N643" t="s">
        <v>311</v>
      </c>
      <c r="O643" t="s">
        <v>138</v>
      </c>
      <c r="P643" t="s">
        <v>156</v>
      </c>
      <c r="Q643" t="s">
        <v>157</v>
      </c>
      <c r="R643" s="8">
        <v>306.89999999999998</v>
      </c>
      <c r="S643">
        <v>1</v>
      </c>
      <c r="T643">
        <v>0.2</v>
      </c>
      <c r="U643" s="8">
        <v>16.22</v>
      </c>
      <c r="V643" t="s">
        <v>1561</v>
      </c>
      <c r="W643" t="s">
        <v>1561</v>
      </c>
    </row>
    <row r="644" spans="1:23">
      <c r="A644">
        <v>1643</v>
      </c>
      <c r="B644" t="s">
        <v>1321</v>
      </c>
      <c r="C644" s="7">
        <v>45569</v>
      </c>
      <c r="D644" s="7">
        <v>45572</v>
      </c>
      <c r="E644" t="s">
        <v>22</v>
      </c>
      <c r="F644" t="s">
        <v>417</v>
      </c>
      <c r="G644" t="s">
        <v>1569</v>
      </c>
      <c r="H644" t="s">
        <v>25</v>
      </c>
      <c r="I644" t="s">
        <v>26</v>
      </c>
      <c r="J644" t="s">
        <v>72</v>
      </c>
      <c r="K644" t="s">
        <v>73</v>
      </c>
      <c r="L644" t="s">
        <v>29</v>
      </c>
      <c r="M644">
        <v>673001</v>
      </c>
      <c r="N644" t="s">
        <v>1151</v>
      </c>
      <c r="O644" t="s">
        <v>55</v>
      </c>
      <c r="P644" t="s">
        <v>66</v>
      </c>
      <c r="Q644" t="s">
        <v>67</v>
      </c>
      <c r="R644" s="8">
        <v>21073.17</v>
      </c>
      <c r="S644">
        <v>3</v>
      </c>
      <c r="T644">
        <v>0.15</v>
      </c>
      <c r="U644" s="8">
        <v>1328.74</v>
      </c>
      <c r="V644" t="s">
        <v>1561</v>
      </c>
      <c r="W644" t="s">
        <v>1561</v>
      </c>
    </row>
    <row r="645" spans="1:23">
      <c r="A645">
        <v>1644</v>
      </c>
      <c r="B645" t="s">
        <v>1337</v>
      </c>
      <c r="C645" s="7">
        <v>45308</v>
      </c>
      <c r="D645" s="7">
        <v>45310</v>
      </c>
      <c r="E645" t="s">
        <v>48</v>
      </c>
      <c r="F645" t="s">
        <v>373</v>
      </c>
      <c r="G645" t="s">
        <v>1560</v>
      </c>
      <c r="H645" t="s">
        <v>108</v>
      </c>
      <c r="I645" t="s">
        <v>26</v>
      </c>
      <c r="J645" t="s">
        <v>39</v>
      </c>
      <c r="K645" t="s">
        <v>40</v>
      </c>
      <c r="L645" t="s">
        <v>92</v>
      </c>
      <c r="M645">
        <v>560001</v>
      </c>
      <c r="N645" t="s">
        <v>1101</v>
      </c>
      <c r="O645" t="s">
        <v>55</v>
      </c>
      <c r="P645" t="s">
        <v>56</v>
      </c>
      <c r="Q645" t="s">
        <v>57</v>
      </c>
      <c r="R645" s="8">
        <v>13450.44</v>
      </c>
      <c r="S645">
        <v>2</v>
      </c>
      <c r="T645">
        <v>0</v>
      </c>
      <c r="U645" s="8">
        <v>1991.34</v>
      </c>
      <c r="V645" t="s">
        <v>1561</v>
      </c>
      <c r="W645" t="s">
        <v>1561</v>
      </c>
    </row>
    <row r="646" spans="1:23">
      <c r="A646">
        <v>1645</v>
      </c>
      <c r="B646" t="s">
        <v>856</v>
      </c>
      <c r="C646" s="7">
        <v>45583</v>
      </c>
      <c r="D646" s="7">
        <v>45589</v>
      </c>
      <c r="E646" t="s">
        <v>101</v>
      </c>
      <c r="F646" t="s">
        <v>221</v>
      </c>
      <c r="G646" t="s">
        <v>1568</v>
      </c>
      <c r="H646" t="s">
        <v>25</v>
      </c>
      <c r="I646" t="s">
        <v>26</v>
      </c>
      <c r="J646" t="s">
        <v>166</v>
      </c>
      <c r="K646" t="s">
        <v>132</v>
      </c>
      <c r="L646" t="s">
        <v>29</v>
      </c>
      <c r="M646">
        <v>560001</v>
      </c>
      <c r="N646" t="s">
        <v>538</v>
      </c>
      <c r="O646" t="s">
        <v>55</v>
      </c>
      <c r="P646" t="s">
        <v>66</v>
      </c>
      <c r="Q646" t="s">
        <v>67</v>
      </c>
      <c r="R646" s="8">
        <v>23595.47</v>
      </c>
      <c r="S646">
        <v>3</v>
      </c>
      <c r="T646">
        <v>0</v>
      </c>
      <c r="U646" s="8">
        <v>2979.78</v>
      </c>
      <c r="V646" t="s">
        <v>1561</v>
      </c>
      <c r="W646" t="s">
        <v>1561</v>
      </c>
    </row>
    <row r="647" spans="1:23">
      <c r="A647">
        <v>1646</v>
      </c>
      <c r="B647" t="s">
        <v>1115</v>
      </c>
      <c r="C647" s="7">
        <v>45594</v>
      </c>
      <c r="D647" s="7">
        <v>45598</v>
      </c>
      <c r="E647" t="s">
        <v>48</v>
      </c>
      <c r="F647" t="s">
        <v>49</v>
      </c>
      <c r="G647" t="s">
        <v>1570</v>
      </c>
      <c r="H647" t="s">
        <v>51</v>
      </c>
      <c r="I647" t="s">
        <v>26</v>
      </c>
      <c r="J647" t="s">
        <v>61</v>
      </c>
      <c r="K647" t="s">
        <v>62</v>
      </c>
      <c r="L647" t="s">
        <v>63</v>
      </c>
      <c r="M647">
        <v>673001</v>
      </c>
      <c r="N647" t="s">
        <v>1116</v>
      </c>
      <c r="O647" t="s">
        <v>44</v>
      </c>
      <c r="P647" t="s">
        <v>211</v>
      </c>
      <c r="Q647" t="s">
        <v>212</v>
      </c>
      <c r="R647" s="8">
        <v>1652.29</v>
      </c>
      <c r="S647">
        <v>2</v>
      </c>
      <c r="T647">
        <v>0.3</v>
      </c>
      <c r="U647" s="8">
        <v>-114.65</v>
      </c>
      <c r="V647" t="s">
        <v>1561</v>
      </c>
      <c r="W647" t="s">
        <v>1561</v>
      </c>
    </row>
    <row r="648" spans="1:23">
      <c r="A648">
        <v>1647</v>
      </c>
      <c r="B648" t="s">
        <v>1456</v>
      </c>
      <c r="C648" s="7">
        <v>45612</v>
      </c>
      <c r="D648" s="7">
        <v>45615</v>
      </c>
      <c r="E648" t="s">
        <v>101</v>
      </c>
      <c r="F648" t="s">
        <v>452</v>
      </c>
      <c r="G648" t="s">
        <v>1564</v>
      </c>
      <c r="H648" t="s">
        <v>51</v>
      </c>
      <c r="I648" t="s">
        <v>26</v>
      </c>
      <c r="J648" t="s">
        <v>79</v>
      </c>
      <c r="K648" t="s">
        <v>80</v>
      </c>
      <c r="L648" t="s">
        <v>63</v>
      </c>
      <c r="M648">
        <v>695001</v>
      </c>
      <c r="N648" t="s">
        <v>814</v>
      </c>
      <c r="O648" t="s">
        <v>44</v>
      </c>
      <c r="P648" t="s">
        <v>207</v>
      </c>
      <c r="Q648" t="s">
        <v>208</v>
      </c>
      <c r="R648" s="8">
        <v>105123.88</v>
      </c>
      <c r="S648">
        <v>2</v>
      </c>
      <c r="T648">
        <v>0</v>
      </c>
      <c r="U648" s="8">
        <v>12659.08</v>
      </c>
      <c r="V648" t="s">
        <v>1561</v>
      </c>
      <c r="W648" t="s">
        <v>1561</v>
      </c>
    </row>
    <row r="649" spans="1:23">
      <c r="A649">
        <v>1648</v>
      </c>
      <c r="B649" t="s">
        <v>1384</v>
      </c>
      <c r="C649" s="7">
        <v>45595</v>
      </c>
      <c r="D649" s="7">
        <v>45596</v>
      </c>
      <c r="E649" t="s">
        <v>22</v>
      </c>
      <c r="F649" t="s">
        <v>301</v>
      </c>
      <c r="G649" t="s">
        <v>1570</v>
      </c>
      <c r="H649" t="s">
        <v>25</v>
      </c>
      <c r="I649" t="s">
        <v>26</v>
      </c>
      <c r="J649" t="s">
        <v>226</v>
      </c>
      <c r="K649" t="s">
        <v>110</v>
      </c>
      <c r="L649" t="s">
        <v>41</v>
      </c>
      <c r="M649">
        <v>695001</v>
      </c>
      <c r="N649" t="s">
        <v>936</v>
      </c>
      <c r="O649" t="s">
        <v>44</v>
      </c>
      <c r="P649" t="s">
        <v>207</v>
      </c>
      <c r="Q649" t="s">
        <v>208</v>
      </c>
      <c r="R649" s="8">
        <v>46325.75</v>
      </c>
      <c r="S649">
        <v>1</v>
      </c>
      <c r="T649">
        <v>0.15</v>
      </c>
      <c r="U649" s="8">
        <v>492.25</v>
      </c>
      <c r="V649" t="s">
        <v>1561</v>
      </c>
      <c r="W649" t="s">
        <v>1561</v>
      </c>
    </row>
    <row r="650" spans="1:23">
      <c r="A650">
        <v>1649</v>
      </c>
      <c r="B650" t="s">
        <v>1301</v>
      </c>
      <c r="C650" s="7">
        <v>45582</v>
      </c>
      <c r="D650" s="7">
        <v>45587</v>
      </c>
      <c r="E650" t="s">
        <v>101</v>
      </c>
      <c r="F650" t="s">
        <v>266</v>
      </c>
      <c r="G650" t="s">
        <v>1569</v>
      </c>
      <c r="H650" t="s">
        <v>51</v>
      </c>
      <c r="I650" t="s">
        <v>26</v>
      </c>
      <c r="J650" t="s">
        <v>346</v>
      </c>
      <c r="K650" t="s">
        <v>132</v>
      </c>
      <c r="L650" t="s">
        <v>29</v>
      </c>
      <c r="M650">
        <v>600001</v>
      </c>
      <c r="N650" t="s">
        <v>405</v>
      </c>
      <c r="O650" t="s">
        <v>138</v>
      </c>
      <c r="P650" t="s">
        <v>121</v>
      </c>
      <c r="Q650" t="s">
        <v>122</v>
      </c>
      <c r="R650" s="8">
        <v>923.13</v>
      </c>
      <c r="S650">
        <v>2</v>
      </c>
      <c r="T650">
        <v>0.25</v>
      </c>
      <c r="U650" s="8">
        <v>27.77</v>
      </c>
      <c r="V650" t="s">
        <v>1561</v>
      </c>
      <c r="W650" t="s">
        <v>1561</v>
      </c>
    </row>
    <row r="651" spans="1:23">
      <c r="A651">
        <v>1650</v>
      </c>
      <c r="B651" t="s">
        <v>360</v>
      </c>
      <c r="C651" s="7">
        <v>45542</v>
      </c>
      <c r="D651" s="7">
        <v>45543</v>
      </c>
      <c r="E651" t="s">
        <v>69</v>
      </c>
      <c r="F651" t="s">
        <v>361</v>
      </c>
      <c r="G651" t="s">
        <v>1562</v>
      </c>
      <c r="H651" t="s">
        <v>25</v>
      </c>
      <c r="I651" t="s">
        <v>26</v>
      </c>
      <c r="J651" t="s">
        <v>226</v>
      </c>
      <c r="K651" t="s">
        <v>110</v>
      </c>
      <c r="L651" t="s">
        <v>63</v>
      </c>
      <c r="M651">
        <v>682001</v>
      </c>
      <c r="N651" t="s">
        <v>362</v>
      </c>
      <c r="O651" t="s">
        <v>55</v>
      </c>
      <c r="P651" t="s">
        <v>98</v>
      </c>
      <c r="Q651" t="s">
        <v>99</v>
      </c>
      <c r="R651" s="8">
        <v>13079.41</v>
      </c>
      <c r="S651">
        <v>2</v>
      </c>
      <c r="T651">
        <v>0</v>
      </c>
      <c r="U651" s="8">
        <v>2308.75</v>
      </c>
      <c r="V651" t="s">
        <v>1561</v>
      </c>
      <c r="W651" t="s">
        <v>1561</v>
      </c>
    </row>
    <row r="652" spans="1:23">
      <c r="A652">
        <v>1651</v>
      </c>
      <c r="B652" t="s">
        <v>1319</v>
      </c>
      <c r="C652" s="7">
        <v>45566</v>
      </c>
      <c r="D652" s="7">
        <v>45568</v>
      </c>
      <c r="E652" t="s">
        <v>48</v>
      </c>
      <c r="F652" t="s">
        <v>601</v>
      </c>
      <c r="G652" t="s">
        <v>1569</v>
      </c>
      <c r="H652" t="s">
        <v>108</v>
      </c>
      <c r="I652" t="s">
        <v>26</v>
      </c>
      <c r="J652" t="s">
        <v>115</v>
      </c>
      <c r="K652" t="s">
        <v>116</v>
      </c>
      <c r="L652" t="s">
        <v>63</v>
      </c>
      <c r="M652">
        <v>600001</v>
      </c>
      <c r="N652" t="s">
        <v>1320</v>
      </c>
      <c r="O652" t="s">
        <v>55</v>
      </c>
      <c r="P652" t="s">
        <v>56</v>
      </c>
      <c r="Q652" t="s">
        <v>57</v>
      </c>
      <c r="R652" s="8">
        <v>6660.39</v>
      </c>
      <c r="S652">
        <v>1</v>
      </c>
      <c r="T652">
        <v>0</v>
      </c>
      <c r="U652" s="8">
        <v>1298.0899999999999</v>
      </c>
      <c r="V652" t="s">
        <v>1561</v>
      </c>
      <c r="W652" t="s">
        <v>1561</v>
      </c>
    </row>
    <row r="653" spans="1:23">
      <c r="A653">
        <v>1652</v>
      </c>
      <c r="B653" t="s">
        <v>422</v>
      </c>
      <c r="C653" s="7">
        <v>45595</v>
      </c>
      <c r="D653" s="7">
        <v>45598</v>
      </c>
      <c r="E653" t="s">
        <v>48</v>
      </c>
      <c r="F653" t="s">
        <v>164</v>
      </c>
      <c r="G653" t="s">
        <v>1574</v>
      </c>
      <c r="H653" t="s">
        <v>25</v>
      </c>
      <c r="I653" t="s">
        <v>26</v>
      </c>
      <c r="J653" t="s">
        <v>27</v>
      </c>
      <c r="K653" t="s">
        <v>28</v>
      </c>
      <c r="L653" t="s">
        <v>29</v>
      </c>
      <c r="M653">
        <v>560001</v>
      </c>
      <c r="N653" t="s">
        <v>299</v>
      </c>
      <c r="O653" t="s">
        <v>44</v>
      </c>
      <c r="P653" t="s">
        <v>211</v>
      </c>
      <c r="Q653" t="s">
        <v>223</v>
      </c>
      <c r="R653" s="8">
        <v>11696.77</v>
      </c>
      <c r="S653">
        <v>7</v>
      </c>
      <c r="T653">
        <v>0</v>
      </c>
      <c r="U653" s="8">
        <v>1313.21</v>
      </c>
      <c r="V653" t="s">
        <v>1561</v>
      </c>
      <c r="W653" t="s">
        <v>1561</v>
      </c>
    </row>
    <row r="654" spans="1:23">
      <c r="A654">
        <v>1653</v>
      </c>
      <c r="B654" t="s">
        <v>352</v>
      </c>
      <c r="C654" s="7">
        <v>45513</v>
      </c>
      <c r="D654" s="7">
        <v>45519</v>
      </c>
      <c r="E654" t="s">
        <v>48</v>
      </c>
      <c r="F654" t="s">
        <v>59</v>
      </c>
      <c r="G654" t="s">
        <v>1564</v>
      </c>
      <c r="H654" t="s">
        <v>51</v>
      </c>
      <c r="I654" t="s">
        <v>26</v>
      </c>
      <c r="J654" t="s">
        <v>226</v>
      </c>
      <c r="K654" t="s">
        <v>110</v>
      </c>
      <c r="L654" t="s">
        <v>29</v>
      </c>
      <c r="M654">
        <v>695001</v>
      </c>
      <c r="N654" t="s">
        <v>353</v>
      </c>
      <c r="O654" t="s">
        <v>83</v>
      </c>
      <c r="P654" t="s">
        <v>84</v>
      </c>
      <c r="Q654" t="s">
        <v>85</v>
      </c>
      <c r="R654" s="8">
        <v>14054.92</v>
      </c>
      <c r="S654">
        <v>5</v>
      </c>
      <c r="T654">
        <v>0.15</v>
      </c>
      <c r="U654" s="8">
        <v>2540.94</v>
      </c>
      <c r="V654" t="s">
        <v>1561</v>
      </c>
      <c r="W654" t="s">
        <v>1561</v>
      </c>
    </row>
    <row r="655" spans="1:23">
      <c r="A655">
        <v>1654</v>
      </c>
      <c r="B655" t="s">
        <v>1136</v>
      </c>
      <c r="C655" s="7">
        <v>45613</v>
      </c>
      <c r="D655" s="7">
        <v>45619</v>
      </c>
      <c r="E655" t="s">
        <v>69</v>
      </c>
      <c r="F655" t="s">
        <v>649</v>
      </c>
      <c r="G655" t="s">
        <v>1562</v>
      </c>
      <c r="H655" t="s">
        <v>25</v>
      </c>
      <c r="I655" t="s">
        <v>26</v>
      </c>
      <c r="J655" t="s">
        <v>52</v>
      </c>
      <c r="K655" t="s">
        <v>52</v>
      </c>
      <c r="L655" t="s">
        <v>92</v>
      </c>
      <c r="M655">
        <v>400001</v>
      </c>
      <c r="N655" t="s">
        <v>1127</v>
      </c>
      <c r="O655" t="s">
        <v>138</v>
      </c>
      <c r="P655" t="s">
        <v>182</v>
      </c>
      <c r="Q655" t="s">
        <v>183</v>
      </c>
      <c r="R655" s="8">
        <v>1396.24</v>
      </c>
      <c r="S655">
        <v>3</v>
      </c>
      <c r="T655">
        <v>0</v>
      </c>
      <c r="U655" s="8">
        <v>321.38</v>
      </c>
      <c r="V655" t="s">
        <v>1561</v>
      </c>
      <c r="W655" t="s">
        <v>1561</v>
      </c>
    </row>
    <row r="656" spans="1:23">
      <c r="A656">
        <v>1655</v>
      </c>
      <c r="B656" t="s">
        <v>728</v>
      </c>
      <c r="C656" s="7">
        <v>45581</v>
      </c>
      <c r="D656" s="7">
        <v>45587</v>
      </c>
      <c r="E656" t="s">
        <v>22</v>
      </c>
      <c r="F656" t="s">
        <v>277</v>
      </c>
      <c r="G656" t="s">
        <v>1565</v>
      </c>
      <c r="H656" t="s">
        <v>51</v>
      </c>
      <c r="I656" t="s">
        <v>26</v>
      </c>
      <c r="J656" t="s">
        <v>160</v>
      </c>
      <c r="K656" t="s">
        <v>161</v>
      </c>
      <c r="L656" t="s">
        <v>63</v>
      </c>
      <c r="M656">
        <v>560001</v>
      </c>
      <c r="N656" t="s">
        <v>729</v>
      </c>
      <c r="O656" t="s">
        <v>138</v>
      </c>
      <c r="P656" t="s">
        <v>182</v>
      </c>
      <c r="Q656" t="s">
        <v>183</v>
      </c>
      <c r="R656" s="8">
        <v>986.49</v>
      </c>
      <c r="S656">
        <v>3</v>
      </c>
      <c r="T656">
        <v>0.25</v>
      </c>
      <c r="U656" s="8">
        <v>42.82</v>
      </c>
      <c r="V656" t="s">
        <v>1561</v>
      </c>
      <c r="W656" t="s">
        <v>1561</v>
      </c>
    </row>
    <row r="657" spans="1:23">
      <c r="A657">
        <v>1656</v>
      </c>
      <c r="B657" t="s">
        <v>1126</v>
      </c>
      <c r="C657" s="7">
        <v>45502</v>
      </c>
      <c r="D657" s="7">
        <v>45505</v>
      </c>
      <c r="E657" t="s">
        <v>22</v>
      </c>
      <c r="F657" t="s">
        <v>255</v>
      </c>
      <c r="G657" t="s">
        <v>1565</v>
      </c>
      <c r="H657" t="s">
        <v>25</v>
      </c>
      <c r="I657" t="s">
        <v>26</v>
      </c>
      <c r="J657" t="s">
        <v>72</v>
      </c>
      <c r="K657" t="s">
        <v>73</v>
      </c>
      <c r="L657" t="s">
        <v>29</v>
      </c>
      <c r="M657">
        <v>695001</v>
      </c>
      <c r="N657" t="s">
        <v>1127</v>
      </c>
      <c r="O657" t="s">
        <v>44</v>
      </c>
      <c r="P657" t="s">
        <v>211</v>
      </c>
      <c r="Q657" t="s">
        <v>212</v>
      </c>
      <c r="R657" s="8">
        <v>3358.15</v>
      </c>
      <c r="S657">
        <v>4</v>
      </c>
      <c r="T657">
        <v>0.25</v>
      </c>
      <c r="U657" s="8">
        <v>-211.11</v>
      </c>
      <c r="V657" t="s">
        <v>1561</v>
      </c>
      <c r="W657" t="s">
        <v>1561</v>
      </c>
    </row>
    <row r="658" spans="1:23">
      <c r="A658">
        <v>1657</v>
      </c>
      <c r="B658" t="s">
        <v>1250</v>
      </c>
      <c r="C658" s="7">
        <v>45499</v>
      </c>
      <c r="D658" s="7">
        <v>45501</v>
      </c>
      <c r="E658" t="s">
        <v>22</v>
      </c>
      <c r="F658" t="s">
        <v>309</v>
      </c>
      <c r="G658" t="s">
        <v>1565</v>
      </c>
      <c r="H658" t="s">
        <v>51</v>
      </c>
      <c r="I658" t="s">
        <v>26</v>
      </c>
      <c r="J658" t="s">
        <v>115</v>
      </c>
      <c r="K658" t="s">
        <v>116</v>
      </c>
      <c r="L658" t="s">
        <v>41</v>
      </c>
      <c r="M658">
        <v>682001</v>
      </c>
      <c r="N658" t="s">
        <v>785</v>
      </c>
      <c r="O658" t="s">
        <v>138</v>
      </c>
      <c r="P658" t="s">
        <v>156</v>
      </c>
      <c r="Q658" t="s">
        <v>157</v>
      </c>
      <c r="R658" s="8">
        <v>1378.42</v>
      </c>
      <c r="S658">
        <v>4</v>
      </c>
      <c r="T658">
        <v>0.1</v>
      </c>
      <c r="U658" s="8">
        <v>215.61</v>
      </c>
      <c r="V658" t="s">
        <v>1561</v>
      </c>
      <c r="W658" t="s">
        <v>1561</v>
      </c>
    </row>
    <row r="659" spans="1:23">
      <c r="A659">
        <v>1658</v>
      </c>
      <c r="B659" t="s">
        <v>58</v>
      </c>
      <c r="C659" s="7">
        <v>45508</v>
      </c>
      <c r="D659" s="7">
        <v>45514</v>
      </c>
      <c r="E659" t="s">
        <v>22</v>
      </c>
      <c r="F659" t="s">
        <v>59</v>
      </c>
      <c r="G659" t="s">
        <v>1571</v>
      </c>
      <c r="H659" t="s">
        <v>51</v>
      </c>
      <c r="I659" t="s">
        <v>26</v>
      </c>
      <c r="J659" t="s">
        <v>61</v>
      </c>
      <c r="K659" t="s">
        <v>62</v>
      </c>
      <c r="L659" t="s">
        <v>63</v>
      </c>
      <c r="M659">
        <v>682001</v>
      </c>
      <c r="N659" t="s">
        <v>64</v>
      </c>
      <c r="O659" t="s">
        <v>55</v>
      </c>
      <c r="P659" t="s">
        <v>66</v>
      </c>
      <c r="Q659" t="s">
        <v>67</v>
      </c>
      <c r="R659" s="8">
        <v>18979.09</v>
      </c>
      <c r="S659">
        <v>3</v>
      </c>
      <c r="T659">
        <v>0.25</v>
      </c>
      <c r="U659" s="8">
        <v>-50.85</v>
      </c>
      <c r="V659" t="s">
        <v>1561</v>
      </c>
      <c r="W659" t="s">
        <v>1561</v>
      </c>
    </row>
    <row r="660" spans="1:23">
      <c r="A660">
        <v>1659</v>
      </c>
      <c r="B660" t="s">
        <v>273</v>
      </c>
      <c r="C660" s="7">
        <v>45621</v>
      </c>
      <c r="D660" s="7">
        <v>45622</v>
      </c>
      <c r="E660" t="s">
        <v>101</v>
      </c>
      <c r="F660" t="s">
        <v>274</v>
      </c>
      <c r="G660" t="s">
        <v>1569</v>
      </c>
      <c r="H660" t="s">
        <v>25</v>
      </c>
      <c r="I660" t="s">
        <v>26</v>
      </c>
      <c r="J660" t="s">
        <v>115</v>
      </c>
      <c r="K660" t="s">
        <v>116</v>
      </c>
      <c r="L660" t="s">
        <v>41</v>
      </c>
      <c r="M660">
        <v>110001</v>
      </c>
      <c r="N660" t="s">
        <v>275</v>
      </c>
      <c r="O660" t="s">
        <v>83</v>
      </c>
      <c r="P660" t="s">
        <v>84</v>
      </c>
      <c r="Q660" t="s">
        <v>85</v>
      </c>
      <c r="R660" s="8">
        <v>12211.37</v>
      </c>
      <c r="S660">
        <v>4</v>
      </c>
      <c r="T660">
        <v>0.05</v>
      </c>
      <c r="U660" s="8">
        <v>2963.52</v>
      </c>
      <c r="V660" t="s">
        <v>1561</v>
      </c>
      <c r="W660" t="s">
        <v>1561</v>
      </c>
    </row>
    <row r="661" spans="1:23">
      <c r="A661">
        <v>1660</v>
      </c>
      <c r="B661" t="s">
        <v>945</v>
      </c>
      <c r="C661" s="7">
        <v>45478</v>
      </c>
      <c r="D661" s="7">
        <v>45484</v>
      </c>
      <c r="E661" t="s">
        <v>22</v>
      </c>
      <c r="F661" t="s">
        <v>238</v>
      </c>
      <c r="G661" t="s">
        <v>1572</v>
      </c>
      <c r="H661" t="s">
        <v>51</v>
      </c>
      <c r="I661" t="s">
        <v>26</v>
      </c>
      <c r="J661" t="s">
        <v>226</v>
      </c>
      <c r="K661" t="s">
        <v>110</v>
      </c>
      <c r="L661" t="s">
        <v>92</v>
      </c>
      <c r="M661">
        <v>682001</v>
      </c>
      <c r="N661" t="s">
        <v>946</v>
      </c>
      <c r="O661" t="s">
        <v>138</v>
      </c>
      <c r="P661" t="s">
        <v>139</v>
      </c>
      <c r="Q661" t="s">
        <v>140</v>
      </c>
      <c r="R661" s="8">
        <v>664.81</v>
      </c>
      <c r="S661">
        <v>1</v>
      </c>
      <c r="T661">
        <v>0.25</v>
      </c>
      <c r="U661" s="8">
        <v>19.45</v>
      </c>
      <c r="V661" t="s">
        <v>1561</v>
      </c>
      <c r="W661" t="s">
        <v>1561</v>
      </c>
    </row>
    <row r="662" spans="1:23">
      <c r="A662">
        <v>1661</v>
      </c>
      <c r="B662" t="s">
        <v>1275</v>
      </c>
      <c r="C662" s="7">
        <v>45546</v>
      </c>
      <c r="D662" s="7">
        <v>45547</v>
      </c>
      <c r="E662" t="s">
        <v>69</v>
      </c>
      <c r="F662" t="s">
        <v>146</v>
      </c>
      <c r="G662" t="s">
        <v>1573</v>
      </c>
      <c r="H662" t="s">
        <v>51</v>
      </c>
      <c r="I662" t="s">
        <v>26</v>
      </c>
      <c r="J662" t="s">
        <v>79</v>
      </c>
      <c r="K662" t="s">
        <v>80</v>
      </c>
      <c r="L662" t="s">
        <v>63</v>
      </c>
      <c r="M662">
        <v>695001</v>
      </c>
      <c r="N662" t="s">
        <v>1276</v>
      </c>
      <c r="O662" t="s">
        <v>83</v>
      </c>
      <c r="P662" t="s">
        <v>33</v>
      </c>
      <c r="Q662" t="s">
        <v>34</v>
      </c>
      <c r="R662" s="8">
        <v>1141.8499999999999</v>
      </c>
      <c r="S662">
        <v>1</v>
      </c>
      <c r="T662">
        <v>0.15</v>
      </c>
      <c r="U662" s="8">
        <v>144.49</v>
      </c>
      <c r="V662" t="s">
        <v>1561</v>
      </c>
      <c r="W662" t="s">
        <v>1561</v>
      </c>
    </row>
    <row r="663" spans="1:23">
      <c r="A663">
        <v>1662</v>
      </c>
      <c r="B663" t="s">
        <v>1502</v>
      </c>
      <c r="C663" s="7">
        <v>45508</v>
      </c>
      <c r="D663" s="7">
        <v>45510</v>
      </c>
      <c r="E663" t="s">
        <v>69</v>
      </c>
      <c r="F663" t="s">
        <v>173</v>
      </c>
      <c r="G663" t="s">
        <v>1571</v>
      </c>
      <c r="H663" t="s">
        <v>51</v>
      </c>
      <c r="I663" t="s">
        <v>26</v>
      </c>
      <c r="J663" t="s">
        <v>79</v>
      </c>
      <c r="K663" t="s">
        <v>80</v>
      </c>
      <c r="L663" t="s">
        <v>92</v>
      </c>
      <c r="M663">
        <v>695001</v>
      </c>
      <c r="N663" t="s">
        <v>1142</v>
      </c>
      <c r="O663" t="s">
        <v>83</v>
      </c>
      <c r="P663" t="s">
        <v>33</v>
      </c>
      <c r="Q663" t="s">
        <v>34</v>
      </c>
      <c r="R663" s="8">
        <v>5339.81</v>
      </c>
      <c r="S663">
        <v>4</v>
      </c>
      <c r="T663">
        <v>0.1</v>
      </c>
      <c r="U663" s="8">
        <v>849.18</v>
      </c>
      <c r="V663" t="s">
        <v>1561</v>
      </c>
      <c r="W663" t="s">
        <v>1561</v>
      </c>
    </row>
    <row r="664" spans="1:23">
      <c r="A664">
        <v>1663</v>
      </c>
      <c r="B664" t="s">
        <v>868</v>
      </c>
      <c r="C664" s="7">
        <v>45650</v>
      </c>
      <c r="D664" s="7">
        <v>45651</v>
      </c>
      <c r="E664" t="s">
        <v>48</v>
      </c>
      <c r="F664" t="s">
        <v>130</v>
      </c>
      <c r="G664" t="s">
        <v>1564</v>
      </c>
      <c r="H664" t="s">
        <v>108</v>
      </c>
      <c r="I664" t="s">
        <v>26</v>
      </c>
      <c r="J664" t="s">
        <v>109</v>
      </c>
      <c r="K664" t="s">
        <v>110</v>
      </c>
      <c r="L664" t="s">
        <v>92</v>
      </c>
      <c r="M664">
        <v>400001</v>
      </c>
      <c r="N664" t="s">
        <v>869</v>
      </c>
      <c r="O664" t="s">
        <v>55</v>
      </c>
      <c r="P664" t="s">
        <v>66</v>
      </c>
      <c r="Q664" t="s">
        <v>67</v>
      </c>
      <c r="R664" s="8">
        <v>7317.74</v>
      </c>
      <c r="S664">
        <v>1</v>
      </c>
      <c r="T664">
        <v>0.2</v>
      </c>
      <c r="U664" s="8">
        <v>201.63</v>
      </c>
      <c r="V664" t="s">
        <v>1561</v>
      </c>
      <c r="W664" t="s">
        <v>1561</v>
      </c>
    </row>
    <row r="665" spans="1:23">
      <c r="A665">
        <v>1664</v>
      </c>
      <c r="B665" t="s">
        <v>1505</v>
      </c>
      <c r="C665" s="7">
        <v>45480</v>
      </c>
      <c r="D665" s="7">
        <v>45483</v>
      </c>
      <c r="E665" t="s">
        <v>22</v>
      </c>
      <c r="F665" t="s">
        <v>499</v>
      </c>
      <c r="G665" t="s">
        <v>1567</v>
      </c>
      <c r="H665" t="s">
        <v>25</v>
      </c>
      <c r="I665" t="s">
        <v>26</v>
      </c>
      <c r="J665" t="s">
        <v>115</v>
      </c>
      <c r="K665" t="s">
        <v>116</v>
      </c>
      <c r="L665" t="s">
        <v>41</v>
      </c>
      <c r="M665">
        <v>110001</v>
      </c>
      <c r="N665" t="s">
        <v>846</v>
      </c>
      <c r="O665" t="s">
        <v>188</v>
      </c>
      <c r="P665" t="s">
        <v>189</v>
      </c>
      <c r="Q665" t="s">
        <v>190</v>
      </c>
      <c r="R665" s="8">
        <v>3853.5</v>
      </c>
      <c r="S665">
        <v>1</v>
      </c>
      <c r="T665">
        <v>0.3</v>
      </c>
      <c r="U665" s="8">
        <v>-286.76</v>
      </c>
      <c r="V665" t="s">
        <v>1561</v>
      </c>
      <c r="W665" t="s">
        <v>1561</v>
      </c>
    </row>
    <row r="666" spans="1:23">
      <c r="A666">
        <v>1665</v>
      </c>
      <c r="B666" t="s">
        <v>123</v>
      </c>
      <c r="C666" s="7">
        <v>45421</v>
      </c>
      <c r="D666" s="7">
        <v>45426</v>
      </c>
      <c r="E666" t="s">
        <v>101</v>
      </c>
      <c r="F666" t="s">
        <v>124</v>
      </c>
      <c r="G666" t="s">
        <v>1566</v>
      </c>
      <c r="H666" t="s">
        <v>108</v>
      </c>
      <c r="I666" t="s">
        <v>26</v>
      </c>
      <c r="J666" t="s">
        <v>90</v>
      </c>
      <c r="K666" t="s">
        <v>91</v>
      </c>
      <c r="L666" t="s">
        <v>63</v>
      </c>
      <c r="M666">
        <v>110001</v>
      </c>
      <c r="N666" t="s">
        <v>128</v>
      </c>
      <c r="O666" t="s">
        <v>83</v>
      </c>
      <c r="P666" t="s">
        <v>84</v>
      </c>
      <c r="Q666" t="s">
        <v>85</v>
      </c>
      <c r="R666" s="8">
        <v>11812.53</v>
      </c>
      <c r="S666">
        <v>4</v>
      </c>
      <c r="T666">
        <v>0.1</v>
      </c>
      <c r="U666" s="8">
        <v>2183.35</v>
      </c>
      <c r="V666" t="s">
        <v>1561</v>
      </c>
      <c r="W666" t="s">
        <v>1561</v>
      </c>
    </row>
    <row r="667" spans="1:23">
      <c r="A667">
        <v>1666</v>
      </c>
      <c r="B667" t="s">
        <v>762</v>
      </c>
      <c r="C667" s="7">
        <v>45296</v>
      </c>
      <c r="D667" s="7">
        <v>45300</v>
      </c>
      <c r="E667" t="s">
        <v>48</v>
      </c>
      <c r="F667" t="s">
        <v>520</v>
      </c>
      <c r="G667" t="s">
        <v>1573</v>
      </c>
      <c r="H667" t="s">
        <v>108</v>
      </c>
      <c r="I667" t="s">
        <v>26</v>
      </c>
      <c r="J667" t="s">
        <v>131</v>
      </c>
      <c r="K667" t="s">
        <v>132</v>
      </c>
      <c r="L667" t="s">
        <v>92</v>
      </c>
      <c r="M667">
        <v>695001</v>
      </c>
      <c r="N667" t="s">
        <v>297</v>
      </c>
      <c r="O667" t="s">
        <v>138</v>
      </c>
      <c r="P667" t="s">
        <v>121</v>
      </c>
      <c r="Q667" t="s">
        <v>122</v>
      </c>
      <c r="R667" s="8">
        <v>2459.09</v>
      </c>
      <c r="S667">
        <v>5</v>
      </c>
      <c r="T667">
        <v>0.25</v>
      </c>
      <c r="U667" s="8">
        <v>102.32</v>
      </c>
      <c r="V667" t="s">
        <v>1561</v>
      </c>
      <c r="W667" t="s">
        <v>1561</v>
      </c>
    </row>
    <row r="668" spans="1:23">
      <c r="A668">
        <v>1667</v>
      </c>
      <c r="B668" t="s">
        <v>1333</v>
      </c>
      <c r="C668" s="7">
        <v>45621</v>
      </c>
      <c r="D668" s="7">
        <v>45625</v>
      </c>
      <c r="E668" t="s">
        <v>22</v>
      </c>
      <c r="F668" t="s">
        <v>660</v>
      </c>
      <c r="G668" t="s">
        <v>1572</v>
      </c>
      <c r="H668" t="s">
        <v>51</v>
      </c>
      <c r="I668" t="s">
        <v>26</v>
      </c>
      <c r="J668" t="s">
        <v>61</v>
      </c>
      <c r="K668" t="s">
        <v>62</v>
      </c>
      <c r="L668" t="s">
        <v>41</v>
      </c>
      <c r="M668">
        <v>110001</v>
      </c>
      <c r="N668" t="s">
        <v>281</v>
      </c>
      <c r="O668" t="s">
        <v>188</v>
      </c>
      <c r="P668" t="s">
        <v>189</v>
      </c>
      <c r="Q668" t="s">
        <v>190</v>
      </c>
      <c r="R668" s="8">
        <v>8876.81</v>
      </c>
      <c r="S668">
        <v>2</v>
      </c>
      <c r="T668">
        <v>0.2</v>
      </c>
      <c r="U668" s="8">
        <v>0</v>
      </c>
      <c r="V668" t="s">
        <v>1561</v>
      </c>
      <c r="W668" t="s">
        <v>1561</v>
      </c>
    </row>
    <row r="669" spans="1:23">
      <c r="A669">
        <v>1668</v>
      </c>
      <c r="B669" t="s">
        <v>724</v>
      </c>
      <c r="C669" s="7">
        <v>45508</v>
      </c>
      <c r="D669" s="7">
        <v>45509</v>
      </c>
      <c r="E669" t="s">
        <v>69</v>
      </c>
      <c r="F669" t="s">
        <v>324</v>
      </c>
      <c r="G669" t="s">
        <v>1570</v>
      </c>
      <c r="H669" t="s">
        <v>25</v>
      </c>
      <c r="I669" t="s">
        <v>26</v>
      </c>
      <c r="J669" t="s">
        <v>39</v>
      </c>
      <c r="K669" t="s">
        <v>40</v>
      </c>
      <c r="L669" t="s">
        <v>41</v>
      </c>
      <c r="M669">
        <v>695001</v>
      </c>
      <c r="N669" t="s">
        <v>725</v>
      </c>
      <c r="O669" t="s">
        <v>138</v>
      </c>
      <c r="P669" t="s">
        <v>182</v>
      </c>
      <c r="Q669" t="s">
        <v>183</v>
      </c>
      <c r="R669" s="8">
        <v>2324.09</v>
      </c>
      <c r="S669">
        <v>6</v>
      </c>
      <c r="T669">
        <v>0.2</v>
      </c>
      <c r="U669" s="8">
        <v>174.91</v>
      </c>
      <c r="V669" t="s">
        <v>1561</v>
      </c>
      <c r="W669" t="s">
        <v>1561</v>
      </c>
    </row>
    <row r="670" spans="1:23">
      <c r="A670">
        <v>1669</v>
      </c>
      <c r="B670" t="s">
        <v>1364</v>
      </c>
      <c r="C670" s="7">
        <v>45647</v>
      </c>
      <c r="D670" s="7">
        <v>45648</v>
      </c>
      <c r="E670" t="s">
        <v>22</v>
      </c>
      <c r="F670" t="s">
        <v>499</v>
      </c>
      <c r="G670" t="s">
        <v>1566</v>
      </c>
      <c r="H670" t="s">
        <v>25</v>
      </c>
      <c r="I670" t="s">
        <v>26</v>
      </c>
      <c r="J670" t="s">
        <v>79</v>
      </c>
      <c r="K670" t="s">
        <v>80</v>
      </c>
      <c r="L670" t="s">
        <v>92</v>
      </c>
      <c r="M670">
        <v>400001</v>
      </c>
      <c r="N670" t="s">
        <v>488</v>
      </c>
      <c r="O670" t="s">
        <v>83</v>
      </c>
      <c r="P670" t="s">
        <v>33</v>
      </c>
      <c r="Q670" t="s">
        <v>34</v>
      </c>
      <c r="R670" s="8">
        <v>3731.55</v>
      </c>
      <c r="S670">
        <v>4</v>
      </c>
      <c r="T670">
        <v>0.3</v>
      </c>
      <c r="U670" s="8">
        <v>223.73</v>
      </c>
      <c r="V670" t="s">
        <v>1561</v>
      </c>
      <c r="W670" t="s">
        <v>1561</v>
      </c>
    </row>
    <row r="671" spans="1:23">
      <c r="A671">
        <v>1670</v>
      </c>
      <c r="B671" t="s">
        <v>742</v>
      </c>
      <c r="C671" s="7">
        <v>45452</v>
      </c>
      <c r="D671" s="7">
        <v>45457</v>
      </c>
      <c r="E671" t="s">
        <v>22</v>
      </c>
      <c r="F671" t="s">
        <v>102</v>
      </c>
      <c r="G671" t="s">
        <v>1571</v>
      </c>
      <c r="H671" t="s">
        <v>51</v>
      </c>
      <c r="I671" t="s">
        <v>26</v>
      </c>
      <c r="J671" t="s">
        <v>27</v>
      </c>
      <c r="K671" t="s">
        <v>28</v>
      </c>
      <c r="L671" t="s">
        <v>92</v>
      </c>
      <c r="M671">
        <v>600001</v>
      </c>
      <c r="N671" t="s">
        <v>706</v>
      </c>
      <c r="O671" t="s">
        <v>138</v>
      </c>
      <c r="P671" t="s">
        <v>156</v>
      </c>
      <c r="Q671" t="s">
        <v>157</v>
      </c>
      <c r="R671" s="8">
        <v>601.78</v>
      </c>
      <c r="S671">
        <v>2</v>
      </c>
      <c r="T671">
        <v>0.15</v>
      </c>
      <c r="U671" s="8">
        <v>47.21</v>
      </c>
      <c r="V671" t="s">
        <v>1561</v>
      </c>
      <c r="W671" t="s">
        <v>1561</v>
      </c>
    </row>
    <row r="672" spans="1:23">
      <c r="A672">
        <v>1671</v>
      </c>
      <c r="B672" t="s">
        <v>1050</v>
      </c>
      <c r="C672" s="7">
        <v>45455</v>
      </c>
      <c r="D672" s="7">
        <v>45459</v>
      </c>
      <c r="E672" t="s">
        <v>101</v>
      </c>
      <c r="F672" t="s">
        <v>301</v>
      </c>
      <c r="G672" t="s">
        <v>1560</v>
      </c>
      <c r="H672" t="s">
        <v>25</v>
      </c>
      <c r="I672" t="s">
        <v>26</v>
      </c>
      <c r="J672" t="s">
        <v>27</v>
      </c>
      <c r="K672" t="s">
        <v>28</v>
      </c>
      <c r="L672" t="s">
        <v>92</v>
      </c>
      <c r="M672">
        <v>695001</v>
      </c>
      <c r="N672" t="s">
        <v>510</v>
      </c>
      <c r="O672" t="s">
        <v>188</v>
      </c>
      <c r="P672" t="s">
        <v>189</v>
      </c>
      <c r="Q672" t="s">
        <v>386</v>
      </c>
      <c r="R672" s="8">
        <v>1586.03</v>
      </c>
      <c r="S672">
        <v>1</v>
      </c>
      <c r="T672">
        <v>0.25</v>
      </c>
      <c r="U672" s="8">
        <v>-50.58</v>
      </c>
      <c r="V672" t="s">
        <v>1561</v>
      </c>
      <c r="W672" t="s">
        <v>1561</v>
      </c>
    </row>
    <row r="673" spans="1:23">
      <c r="A673">
        <v>1672</v>
      </c>
      <c r="B673" t="s">
        <v>1035</v>
      </c>
      <c r="C673" s="7">
        <v>45335</v>
      </c>
      <c r="D673" s="7">
        <v>45339</v>
      </c>
      <c r="E673" t="s">
        <v>48</v>
      </c>
      <c r="F673" t="s">
        <v>437</v>
      </c>
      <c r="G673" t="s">
        <v>1577</v>
      </c>
      <c r="H673" t="s">
        <v>25</v>
      </c>
      <c r="I673" t="s">
        <v>26</v>
      </c>
      <c r="J673" t="s">
        <v>90</v>
      </c>
      <c r="K673" t="s">
        <v>91</v>
      </c>
      <c r="L673" t="s">
        <v>29</v>
      </c>
      <c r="M673">
        <v>110001</v>
      </c>
      <c r="N673" t="s">
        <v>848</v>
      </c>
      <c r="O673" t="s">
        <v>138</v>
      </c>
      <c r="P673" t="s">
        <v>139</v>
      </c>
      <c r="Q673" t="s">
        <v>140</v>
      </c>
      <c r="R673" s="8">
        <v>4526.8999999999996</v>
      </c>
      <c r="S673">
        <v>5</v>
      </c>
      <c r="T673">
        <v>0.1</v>
      </c>
      <c r="U673" s="8">
        <v>680.55</v>
      </c>
      <c r="V673" t="s">
        <v>1561</v>
      </c>
      <c r="W673" t="s">
        <v>1561</v>
      </c>
    </row>
    <row r="674" spans="1:23">
      <c r="A674">
        <v>1673</v>
      </c>
      <c r="B674" t="s">
        <v>718</v>
      </c>
      <c r="C674" s="7">
        <v>45337</v>
      </c>
      <c r="D674" s="7">
        <v>45341</v>
      </c>
      <c r="E674" t="s">
        <v>69</v>
      </c>
      <c r="F674" t="s">
        <v>601</v>
      </c>
      <c r="G674" t="s">
        <v>1560</v>
      </c>
      <c r="H674" t="s">
        <v>108</v>
      </c>
      <c r="I674" t="s">
        <v>26</v>
      </c>
      <c r="J674" t="s">
        <v>72</v>
      </c>
      <c r="K674" t="s">
        <v>73</v>
      </c>
      <c r="L674" t="s">
        <v>92</v>
      </c>
      <c r="M674">
        <v>673001</v>
      </c>
      <c r="N674" t="s">
        <v>719</v>
      </c>
      <c r="O674" t="s">
        <v>44</v>
      </c>
      <c r="P674" t="s">
        <v>207</v>
      </c>
      <c r="Q674" t="s">
        <v>208</v>
      </c>
      <c r="R674" s="8">
        <v>291704.32000000001</v>
      </c>
      <c r="S674">
        <v>6</v>
      </c>
      <c r="T674">
        <v>0.1</v>
      </c>
      <c r="U674" s="8">
        <v>12637.68</v>
      </c>
      <c r="V674" t="s">
        <v>1561</v>
      </c>
      <c r="W674" t="s">
        <v>1561</v>
      </c>
    </row>
    <row r="675" spans="1:23">
      <c r="A675">
        <v>1674</v>
      </c>
      <c r="B675" t="s">
        <v>1246</v>
      </c>
      <c r="C675" s="7">
        <v>45379</v>
      </c>
      <c r="D675" s="7">
        <v>45384</v>
      </c>
      <c r="E675" t="s">
        <v>22</v>
      </c>
      <c r="F675" t="s">
        <v>512</v>
      </c>
      <c r="G675" t="s">
        <v>1560</v>
      </c>
      <c r="H675" t="s">
        <v>25</v>
      </c>
      <c r="I675" t="s">
        <v>26</v>
      </c>
      <c r="J675" t="s">
        <v>79</v>
      </c>
      <c r="K675" t="s">
        <v>80</v>
      </c>
      <c r="L675" t="s">
        <v>29</v>
      </c>
      <c r="M675">
        <v>110001</v>
      </c>
      <c r="N675" t="s">
        <v>421</v>
      </c>
      <c r="O675" t="s">
        <v>55</v>
      </c>
      <c r="P675" t="s">
        <v>98</v>
      </c>
      <c r="Q675" t="s">
        <v>99</v>
      </c>
      <c r="R675" s="8">
        <v>4993.79</v>
      </c>
      <c r="S675">
        <v>1</v>
      </c>
      <c r="T675">
        <v>0.2</v>
      </c>
      <c r="U675" s="8">
        <v>140.15</v>
      </c>
      <c r="V675" t="s">
        <v>1561</v>
      </c>
      <c r="W675" t="s">
        <v>1561</v>
      </c>
    </row>
    <row r="676" spans="1:23">
      <c r="A676">
        <v>1675</v>
      </c>
      <c r="B676" t="s">
        <v>1212</v>
      </c>
      <c r="C676" s="7">
        <v>45389</v>
      </c>
      <c r="D676" s="7">
        <v>45392</v>
      </c>
      <c r="E676" t="s">
        <v>48</v>
      </c>
      <c r="F676" t="s">
        <v>645</v>
      </c>
      <c r="G676" t="s">
        <v>1578</v>
      </c>
      <c r="H676" t="s">
        <v>51</v>
      </c>
      <c r="I676" t="s">
        <v>26</v>
      </c>
      <c r="J676" t="s">
        <v>61</v>
      </c>
      <c r="K676" t="s">
        <v>62</v>
      </c>
      <c r="L676" t="s">
        <v>29</v>
      </c>
      <c r="M676">
        <v>682001</v>
      </c>
      <c r="N676" t="s">
        <v>1101</v>
      </c>
      <c r="O676" t="s">
        <v>138</v>
      </c>
      <c r="P676" t="s">
        <v>156</v>
      </c>
      <c r="Q676" t="s">
        <v>157</v>
      </c>
      <c r="R676" s="8">
        <v>368.68</v>
      </c>
      <c r="S676">
        <v>1</v>
      </c>
      <c r="T676">
        <v>0.1</v>
      </c>
      <c r="U676" s="8">
        <v>38.33</v>
      </c>
      <c r="V676" t="s">
        <v>1561</v>
      </c>
      <c r="W676" t="s">
        <v>1561</v>
      </c>
    </row>
    <row r="677" spans="1:23">
      <c r="A677">
        <v>1676</v>
      </c>
      <c r="B677" t="s">
        <v>684</v>
      </c>
      <c r="C677" s="7">
        <v>45638</v>
      </c>
      <c r="D677" s="7">
        <v>45640</v>
      </c>
      <c r="E677" t="s">
        <v>101</v>
      </c>
      <c r="F677" t="s">
        <v>437</v>
      </c>
      <c r="G677" t="s">
        <v>1564</v>
      </c>
      <c r="H677" t="s">
        <v>25</v>
      </c>
      <c r="I677" t="s">
        <v>26</v>
      </c>
      <c r="J677" t="s">
        <v>61</v>
      </c>
      <c r="K677" t="s">
        <v>62</v>
      </c>
      <c r="L677" t="s">
        <v>92</v>
      </c>
      <c r="M677">
        <v>673001</v>
      </c>
      <c r="N677" t="s">
        <v>685</v>
      </c>
      <c r="O677" t="s">
        <v>44</v>
      </c>
      <c r="P677" t="s">
        <v>211</v>
      </c>
      <c r="Q677" t="s">
        <v>223</v>
      </c>
      <c r="R677" s="8">
        <v>12958.79</v>
      </c>
      <c r="S677">
        <v>8</v>
      </c>
      <c r="T677">
        <v>0.15</v>
      </c>
      <c r="U677" s="8">
        <v>168.36</v>
      </c>
      <c r="V677" t="s">
        <v>1561</v>
      </c>
      <c r="W677" t="s">
        <v>1561</v>
      </c>
    </row>
    <row r="678" spans="1:23">
      <c r="A678">
        <v>1677</v>
      </c>
      <c r="B678" t="s">
        <v>284</v>
      </c>
      <c r="C678" s="7">
        <v>45590</v>
      </c>
      <c r="D678" s="7">
        <v>45596</v>
      </c>
      <c r="E678" t="s">
        <v>101</v>
      </c>
      <c r="F678" t="s">
        <v>285</v>
      </c>
      <c r="G678" t="s">
        <v>1569</v>
      </c>
      <c r="H678" t="s">
        <v>25</v>
      </c>
      <c r="I678" t="s">
        <v>26</v>
      </c>
      <c r="J678" t="s">
        <v>115</v>
      </c>
      <c r="K678" t="s">
        <v>116</v>
      </c>
      <c r="L678" t="s">
        <v>29</v>
      </c>
      <c r="M678">
        <v>682001</v>
      </c>
      <c r="N678" t="s">
        <v>286</v>
      </c>
      <c r="O678" t="s">
        <v>44</v>
      </c>
      <c r="P678" t="s">
        <v>211</v>
      </c>
      <c r="Q678" t="s">
        <v>223</v>
      </c>
      <c r="R678" s="8">
        <v>8555.14</v>
      </c>
      <c r="S678">
        <v>6</v>
      </c>
      <c r="T678">
        <v>0.2</v>
      </c>
      <c r="U678" s="8">
        <v>-190.37</v>
      </c>
      <c r="V678" t="s">
        <v>1561</v>
      </c>
      <c r="W678" t="s">
        <v>1561</v>
      </c>
    </row>
    <row r="679" spans="1:23">
      <c r="A679">
        <v>1678</v>
      </c>
      <c r="B679" t="s">
        <v>1342</v>
      </c>
      <c r="C679" s="7">
        <v>45654</v>
      </c>
      <c r="D679" s="7">
        <v>45658</v>
      </c>
      <c r="E679" t="s">
        <v>48</v>
      </c>
      <c r="F679" t="s">
        <v>482</v>
      </c>
      <c r="G679" t="s">
        <v>1573</v>
      </c>
      <c r="H679" t="s">
        <v>51</v>
      </c>
      <c r="I679" t="s">
        <v>26</v>
      </c>
      <c r="J679" t="s">
        <v>226</v>
      </c>
      <c r="K679" t="s">
        <v>110</v>
      </c>
      <c r="L679" t="s">
        <v>41</v>
      </c>
      <c r="M679">
        <v>673001</v>
      </c>
      <c r="N679" t="s">
        <v>1343</v>
      </c>
      <c r="O679" t="s">
        <v>83</v>
      </c>
      <c r="P679" t="s">
        <v>33</v>
      </c>
      <c r="Q679" t="s">
        <v>34</v>
      </c>
      <c r="R679" s="8">
        <v>1047.76</v>
      </c>
      <c r="S679">
        <v>1</v>
      </c>
      <c r="T679">
        <v>0.25</v>
      </c>
      <c r="U679" s="8">
        <v>-52</v>
      </c>
      <c r="V679" t="s">
        <v>1561</v>
      </c>
      <c r="W679" t="s">
        <v>1561</v>
      </c>
    </row>
    <row r="680" spans="1:23">
      <c r="A680">
        <v>1679</v>
      </c>
      <c r="B680" t="s">
        <v>1285</v>
      </c>
      <c r="C680" s="7">
        <v>45294</v>
      </c>
      <c r="D680" s="7">
        <v>45297</v>
      </c>
      <c r="E680" t="s">
        <v>101</v>
      </c>
      <c r="F680" t="s">
        <v>520</v>
      </c>
      <c r="G680" t="s">
        <v>1564</v>
      </c>
      <c r="H680" t="s">
        <v>108</v>
      </c>
      <c r="I680" t="s">
        <v>26</v>
      </c>
      <c r="J680" t="s">
        <v>72</v>
      </c>
      <c r="K680" t="s">
        <v>73</v>
      </c>
      <c r="L680" t="s">
        <v>63</v>
      </c>
      <c r="M680">
        <v>682001</v>
      </c>
      <c r="N680" t="s">
        <v>264</v>
      </c>
      <c r="O680" t="s">
        <v>138</v>
      </c>
      <c r="P680" t="s">
        <v>182</v>
      </c>
      <c r="Q680" t="s">
        <v>183</v>
      </c>
      <c r="R680" s="8">
        <v>3830.8</v>
      </c>
      <c r="S680">
        <v>8</v>
      </c>
      <c r="T680">
        <v>0</v>
      </c>
      <c r="U680" s="8">
        <v>736.17</v>
      </c>
      <c r="V680" t="s">
        <v>1561</v>
      </c>
      <c r="W680" t="s">
        <v>1561</v>
      </c>
    </row>
    <row r="681" spans="1:23">
      <c r="A681">
        <v>1680</v>
      </c>
      <c r="B681" t="s">
        <v>922</v>
      </c>
      <c r="C681" s="7">
        <v>45465</v>
      </c>
      <c r="D681" s="7">
        <v>45469</v>
      </c>
      <c r="E681" t="s">
        <v>69</v>
      </c>
      <c r="F681" t="s">
        <v>185</v>
      </c>
      <c r="G681" t="s">
        <v>1563</v>
      </c>
      <c r="H681" t="s">
        <v>51</v>
      </c>
      <c r="I681" t="s">
        <v>26</v>
      </c>
      <c r="J681" t="s">
        <v>346</v>
      </c>
      <c r="K681" t="s">
        <v>132</v>
      </c>
      <c r="L681" t="s">
        <v>29</v>
      </c>
      <c r="M681">
        <v>682001</v>
      </c>
      <c r="N681" t="s">
        <v>607</v>
      </c>
      <c r="O681" t="s">
        <v>138</v>
      </c>
      <c r="P681" t="s">
        <v>139</v>
      </c>
      <c r="Q681" t="s">
        <v>140</v>
      </c>
      <c r="R681" s="8">
        <v>641.25</v>
      </c>
      <c r="S681">
        <v>1</v>
      </c>
      <c r="T681">
        <v>0.3</v>
      </c>
      <c r="U681" s="8">
        <v>3.35</v>
      </c>
      <c r="V681" t="s">
        <v>1561</v>
      </c>
      <c r="W681" t="s">
        <v>1561</v>
      </c>
    </row>
    <row r="682" spans="1:23">
      <c r="A682">
        <v>1681</v>
      </c>
      <c r="B682" t="s">
        <v>673</v>
      </c>
      <c r="C682" s="7">
        <v>45476</v>
      </c>
      <c r="D682" s="7">
        <v>45480</v>
      </c>
      <c r="E682" t="s">
        <v>48</v>
      </c>
      <c r="F682" t="s">
        <v>315</v>
      </c>
      <c r="G682" t="s">
        <v>1567</v>
      </c>
      <c r="H682" t="s">
        <v>51</v>
      </c>
      <c r="I682" t="s">
        <v>26</v>
      </c>
      <c r="J682" t="s">
        <v>131</v>
      </c>
      <c r="K682" t="s">
        <v>132</v>
      </c>
      <c r="L682" t="s">
        <v>63</v>
      </c>
      <c r="M682">
        <v>600001</v>
      </c>
      <c r="N682" t="s">
        <v>674</v>
      </c>
      <c r="O682" t="s">
        <v>55</v>
      </c>
      <c r="P682" t="s">
        <v>56</v>
      </c>
      <c r="Q682" t="s">
        <v>57</v>
      </c>
      <c r="R682" s="8">
        <v>6523.79</v>
      </c>
      <c r="S682">
        <v>1</v>
      </c>
      <c r="T682">
        <v>0.15</v>
      </c>
      <c r="U682" s="8">
        <v>348.75</v>
      </c>
      <c r="V682" t="s">
        <v>1561</v>
      </c>
      <c r="W682" t="s">
        <v>1561</v>
      </c>
    </row>
    <row r="683" spans="1:23">
      <c r="A683">
        <v>1682</v>
      </c>
      <c r="B683" t="s">
        <v>1475</v>
      </c>
      <c r="C683" s="7">
        <v>45453</v>
      </c>
      <c r="D683" s="7">
        <v>45459</v>
      </c>
      <c r="E683" t="s">
        <v>101</v>
      </c>
      <c r="F683" t="s">
        <v>417</v>
      </c>
      <c r="G683" t="s">
        <v>1571</v>
      </c>
      <c r="H683" t="s">
        <v>51</v>
      </c>
      <c r="I683" t="s">
        <v>26</v>
      </c>
      <c r="J683" t="s">
        <v>27</v>
      </c>
      <c r="K683" t="s">
        <v>28</v>
      </c>
      <c r="L683" t="s">
        <v>29</v>
      </c>
      <c r="M683">
        <v>673001</v>
      </c>
      <c r="N683" t="s">
        <v>1476</v>
      </c>
      <c r="O683" t="s">
        <v>188</v>
      </c>
      <c r="P683" t="s">
        <v>189</v>
      </c>
      <c r="Q683" t="s">
        <v>190</v>
      </c>
      <c r="R683" s="8">
        <v>11236.81</v>
      </c>
      <c r="S683">
        <v>2</v>
      </c>
      <c r="T683">
        <v>0.05</v>
      </c>
      <c r="U683" s="8">
        <v>1167.6600000000001</v>
      </c>
      <c r="V683" t="s">
        <v>1561</v>
      </c>
      <c r="W683" t="s">
        <v>1561</v>
      </c>
    </row>
    <row r="684" spans="1:23">
      <c r="A684">
        <v>1683</v>
      </c>
      <c r="B684" t="s">
        <v>234</v>
      </c>
      <c r="C684" s="7">
        <v>45375</v>
      </c>
      <c r="D684" s="7">
        <v>45381</v>
      </c>
      <c r="E684" t="s">
        <v>101</v>
      </c>
      <c r="F684" t="s">
        <v>235</v>
      </c>
      <c r="G684" t="s">
        <v>1573</v>
      </c>
      <c r="H684" t="s">
        <v>51</v>
      </c>
      <c r="I684" t="s">
        <v>26</v>
      </c>
      <c r="J684" t="s">
        <v>166</v>
      </c>
      <c r="K684" t="s">
        <v>132</v>
      </c>
      <c r="L684" t="s">
        <v>29</v>
      </c>
      <c r="M684">
        <v>673001</v>
      </c>
      <c r="N684" t="s">
        <v>236</v>
      </c>
      <c r="O684" t="s">
        <v>44</v>
      </c>
      <c r="P684" t="s">
        <v>207</v>
      </c>
      <c r="Q684" t="s">
        <v>208</v>
      </c>
      <c r="R684" s="8">
        <v>45848.58</v>
      </c>
      <c r="S684">
        <v>1</v>
      </c>
      <c r="T684">
        <v>0.15</v>
      </c>
      <c r="U684" s="8">
        <v>467.53</v>
      </c>
      <c r="V684" t="s">
        <v>1561</v>
      </c>
      <c r="W684" t="s">
        <v>1561</v>
      </c>
    </row>
    <row r="685" spans="1:23">
      <c r="A685">
        <v>1684</v>
      </c>
      <c r="B685" t="s">
        <v>1300</v>
      </c>
      <c r="C685" s="7">
        <v>45367</v>
      </c>
      <c r="D685" s="7">
        <v>45368</v>
      </c>
      <c r="E685" t="s">
        <v>48</v>
      </c>
      <c r="F685" t="s">
        <v>185</v>
      </c>
      <c r="G685" t="s">
        <v>1565</v>
      </c>
      <c r="H685" t="s">
        <v>25</v>
      </c>
      <c r="I685" t="s">
        <v>26</v>
      </c>
      <c r="J685" t="s">
        <v>226</v>
      </c>
      <c r="K685" t="s">
        <v>110</v>
      </c>
      <c r="L685" t="s">
        <v>63</v>
      </c>
      <c r="M685">
        <v>682001</v>
      </c>
      <c r="N685" t="s">
        <v>835</v>
      </c>
      <c r="O685" t="s">
        <v>83</v>
      </c>
      <c r="P685" t="s">
        <v>33</v>
      </c>
      <c r="Q685" t="s">
        <v>34</v>
      </c>
      <c r="R685" s="8">
        <v>2896.69</v>
      </c>
      <c r="S685">
        <v>2</v>
      </c>
      <c r="T685">
        <v>0</v>
      </c>
      <c r="U685" s="8">
        <v>872.28</v>
      </c>
      <c r="V685" t="s">
        <v>1561</v>
      </c>
      <c r="W685" t="s">
        <v>1561</v>
      </c>
    </row>
    <row r="686" spans="1:23">
      <c r="A686">
        <v>1685</v>
      </c>
      <c r="B686" t="s">
        <v>1156</v>
      </c>
      <c r="C686" s="7">
        <v>45590</v>
      </c>
      <c r="D686" s="7">
        <v>45591</v>
      </c>
      <c r="E686" t="s">
        <v>69</v>
      </c>
      <c r="F686" t="s">
        <v>751</v>
      </c>
      <c r="G686" t="s">
        <v>1567</v>
      </c>
      <c r="H686" t="s">
        <v>51</v>
      </c>
      <c r="I686" t="s">
        <v>26</v>
      </c>
      <c r="J686" t="s">
        <v>166</v>
      </c>
      <c r="K686" t="s">
        <v>132</v>
      </c>
      <c r="L686" t="s">
        <v>41</v>
      </c>
      <c r="M686">
        <v>682001</v>
      </c>
      <c r="N686" t="s">
        <v>137</v>
      </c>
      <c r="O686" t="s">
        <v>83</v>
      </c>
      <c r="P686" t="s">
        <v>33</v>
      </c>
      <c r="Q686" t="s">
        <v>34</v>
      </c>
      <c r="R686" s="8">
        <v>2390.85</v>
      </c>
      <c r="S686">
        <v>2</v>
      </c>
      <c r="T686">
        <v>0.1</v>
      </c>
      <c r="U686" s="8">
        <v>384.26</v>
      </c>
      <c r="V686" t="s">
        <v>1561</v>
      </c>
      <c r="W686" t="s">
        <v>1561</v>
      </c>
    </row>
    <row r="687" spans="1:23">
      <c r="A687">
        <v>1686</v>
      </c>
      <c r="B687" t="s">
        <v>237</v>
      </c>
      <c r="C687" s="7">
        <v>45640</v>
      </c>
      <c r="D687" s="7">
        <v>45646</v>
      </c>
      <c r="E687" t="s">
        <v>22</v>
      </c>
      <c r="F687" t="s">
        <v>238</v>
      </c>
      <c r="G687" t="s">
        <v>1563</v>
      </c>
      <c r="H687" t="s">
        <v>51</v>
      </c>
      <c r="I687" t="s">
        <v>26</v>
      </c>
      <c r="J687" t="s">
        <v>39</v>
      </c>
      <c r="K687" t="s">
        <v>40</v>
      </c>
      <c r="L687" t="s">
        <v>41</v>
      </c>
      <c r="M687">
        <v>110001</v>
      </c>
      <c r="N687" t="s">
        <v>239</v>
      </c>
      <c r="O687" t="s">
        <v>138</v>
      </c>
      <c r="P687" t="s">
        <v>156</v>
      </c>
      <c r="Q687" t="s">
        <v>157</v>
      </c>
      <c r="R687" s="8">
        <v>694.72</v>
      </c>
      <c r="S687">
        <v>2</v>
      </c>
      <c r="T687">
        <v>0.15</v>
      </c>
      <c r="U687" s="8">
        <v>59.85</v>
      </c>
      <c r="V687" t="s">
        <v>1561</v>
      </c>
      <c r="W687" t="s">
        <v>1561</v>
      </c>
    </row>
    <row r="688" spans="1:23">
      <c r="A688">
        <v>1687</v>
      </c>
      <c r="B688" t="s">
        <v>1467</v>
      </c>
      <c r="C688" s="7">
        <v>45524</v>
      </c>
      <c r="D688" s="7">
        <v>45530</v>
      </c>
      <c r="E688" t="s">
        <v>48</v>
      </c>
      <c r="F688" t="s">
        <v>146</v>
      </c>
      <c r="G688" t="s">
        <v>1566</v>
      </c>
      <c r="H688" t="s">
        <v>51</v>
      </c>
      <c r="I688" t="s">
        <v>26</v>
      </c>
      <c r="J688" t="s">
        <v>166</v>
      </c>
      <c r="K688" t="s">
        <v>132</v>
      </c>
      <c r="L688" t="s">
        <v>41</v>
      </c>
      <c r="M688">
        <v>695001</v>
      </c>
      <c r="N688" t="s">
        <v>1468</v>
      </c>
      <c r="O688" t="s">
        <v>44</v>
      </c>
      <c r="P688" t="s">
        <v>207</v>
      </c>
      <c r="Q688" t="s">
        <v>208</v>
      </c>
      <c r="R688" s="8">
        <v>192319.69</v>
      </c>
      <c r="S688">
        <v>5</v>
      </c>
      <c r="T688">
        <v>0.3</v>
      </c>
      <c r="U688" s="8">
        <v>-16284.06</v>
      </c>
      <c r="V688" t="s">
        <v>1561</v>
      </c>
      <c r="W688" t="s">
        <v>1561</v>
      </c>
    </row>
    <row r="689" spans="1:23">
      <c r="A689">
        <v>1688</v>
      </c>
      <c r="B689" t="s">
        <v>1252</v>
      </c>
      <c r="C689" s="7">
        <v>45400</v>
      </c>
      <c r="D689" s="7">
        <v>45401</v>
      </c>
      <c r="E689" t="s">
        <v>48</v>
      </c>
      <c r="F689" t="s">
        <v>553</v>
      </c>
      <c r="G689" t="s">
        <v>1575</v>
      </c>
      <c r="H689" t="s">
        <v>108</v>
      </c>
      <c r="I689" t="s">
        <v>26</v>
      </c>
      <c r="J689" t="s">
        <v>90</v>
      </c>
      <c r="K689" t="s">
        <v>91</v>
      </c>
      <c r="L689" t="s">
        <v>41</v>
      </c>
      <c r="M689">
        <v>400001</v>
      </c>
      <c r="N689" t="s">
        <v>1253</v>
      </c>
      <c r="O689" t="s">
        <v>138</v>
      </c>
      <c r="P689" t="s">
        <v>139</v>
      </c>
      <c r="Q689" t="s">
        <v>140</v>
      </c>
      <c r="R689" s="8">
        <v>1732</v>
      </c>
      <c r="S689">
        <v>2</v>
      </c>
      <c r="T689">
        <v>0.05</v>
      </c>
      <c r="U689" s="8">
        <v>343.89</v>
      </c>
      <c r="V689" t="s">
        <v>1561</v>
      </c>
      <c r="W689" t="s">
        <v>1561</v>
      </c>
    </row>
    <row r="690" spans="1:23">
      <c r="A690">
        <v>1689</v>
      </c>
      <c r="B690" t="s">
        <v>799</v>
      </c>
      <c r="C690" s="7">
        <v>45414</v>
      </c>
      <c r="D690" s="7">
        <v>45418</v>
      </c>
      <c r="E690" t="s">
        <v>22</v>
      </c>
      <c r="F690" t="s">
        <v>701</v>
      </c>
      <c r="G690" t="s">
        <v>1572</v>
      </c>
      <c r="H690" t="s">
        <v>51</v>
      </c>
      <c r="I690" t="s">
        <v>26</v>
      </c>
      <c r="J690" t="s">
        <v>52</v>
      </c>
      <c r="K690" t="s">
        <v>52</v>
      </c>
      <c r="L690" t="s">
        <v>92</v>
      </c>
      <c r="M690">
        <v>682001</v>
      </c>
      <c r="N690" t="s">
        <v>400</v>
      </c>
      <c r="O690" t="s">
        <v>138</v>
      </c>
      <c r="P690" t="s">
        <v>139</v>
      </c>
      <c r="Q690" t="s">
        <v>140</v>
      </c>
      <c r="R690" s="8">
        <v>1789.2</v>
      </c>
      <c r="S690">
        <v>2</v>
      </c>
      <c r="T690">
        <v>0.05</v>
      </c>
      <c r="U690" s="8">
        <v>301.91000000000003</v>
      </c>
      <c r="V690" t="s">
        <v>1561</v>
      </c>
      <c r="W690" t="s">
        <v>1561</v>
      </c>
    </row>
    <row r="691" spans="1:23">
      <c r="A691">
        <v>1690</v>
      </c>
      <c r="B691" t="s">
        <v>1255</v>
      </c>
      <c r="C691" s="7">
        <v>45353</v>
      </c>
      <c r="D691" s="7">
        <v>45356</v>
      </c>
      <c r="E691" t="s">
        <v>101</v>
      </c>
      <c r="F691" t="s">
        <v>398</v>
      </c>
      <c r="G691" t="s">
        <v>1564</v>
      </c>
      <c r="H691" t="s">
        <v>51</v>
      </c>
      <c r="I691" t="s">
        <v>26</v>
      </c>
      <c r="J691" t="s">
        <v>27</v>
      </c>
      <c r="K691" t="s">
        <v>28</v>
      </c>
      <c r="L691" t="s">
        <v>63</v>
      </c>
      <c r="M691">
        <v>400001</v>
      </c>
      <c r="N691" t="s">
        <v>1256</v>
      </c>
      <c r="O691" t="s">
        <v>55</v>
      </c>
      <c r="P691" t="s">
        <v>98</v>
      </c>
      <c r="Q691" t="s">
        <v>99</v>
      </c>
      <c r="R691" s="8">
        <v>23772.25</v>
      </c>
      <c r="S691">
        <v>4</v>
      </c>
      <c r="T691">
        <v>0.05</v>
      </c>
      <c r="U691" s="8">
        <v>3171.83</v>
      </c>
      <c r="V691" t="s">
        <v>1561</v>
      </c>
      <c r="W691" t="s">
        <v>1561</v>
      </c>
    </row>
    <row r="692" spans="1:23">
      <c r="A692">
        <v>1691</v>
      </c>
      <c r="B692" t="s">
        <v>880</v>
      </c>
      <c r="C692" s="7">
        <v>45542</v>
      </c>
      <c r="D692" s="7">
        <v>45546</v>
      </c>
      <c r="E692" t="s">
        <v>101</v>
      </c>
      <c r="F692" t="s">
        <v>479</v>
      </c>
      <c r="G692" t="s">
        <v>1570</v>
      </c>
      <c r="H692" t="s">
        <v>25</v>
      </c>
      <c r="I692" t="s">
        <v>26</v>
      </c>
      <c r="J692" t="s">
        <v>166</v>
      </c>
      <c r="K692" t="s">
        <v>132</v>
      </c>
      <c r="L692" t="s">
        <v>29</v>
      </c>
      <c r="M692">
        <v>673001</v>
      </c>
      <c r="N692" t="s">
        <v>881</v>
      </c>
      <c r="O692" t="s">
        <v>55</v>
      </c>
      <c r="P692" t="s">
        <v>56</v>
      </c>
      <c r="Q692" t="s">
        <v>57</v>
      </c>
      <c r="R692" s="8">
        <v>30655.71</v>
      </c>
      <c r="S692">
        <v>5</v>
      </c>
      <c r="T692">
        <v>0.1</v>
      </c>
      <c r="U692" s="8">
        <v>2753.69</v>
      </c>
      <c r="V692" t="s">
        <v>1561</v>
      </c>
      <c r="W692" t="s">
        <v>1561</v>
      </c>
    </row>
    <row r="693" spans="1:23">
      <c r="A693">
        <v>1692</v>
      </c>
      <c r="B693" t="s">
        <v>630</v>
      </c>
      <c r="C693" s="7">
        <v>45339</v>
      </c>
      <c r="D693" s="7">
        <v>45340</v>
      </c>
      <c r="E693" t="s">
        <v>48</v>
      </c>
      <c r="F693" t="s">
        <v>598</v>
      </c>
      <c r="G693" t="s">
        <v>1566</v>
      </c>
      <c r="H693" t="s">
        <v>51</v>
      </c>
      <c r="I693" t="s">
        <v>26</v>
      </c>
      <c r="J693" t="s">
        <v>109</v>
      </c>
      <c r="K693" t="s">
        <v>110</v>
      </c>
      <c r="L693" t="s">
        <v>92</v>
      </c>
      <c r="M693">
        <v>400001</v>
      </c>
      <c r="N693" t="s">
        <v>631</v>
      </c>
      <c r="O693" t="s">
        <v>83</v>
      </c>
      <c r="P693" t="s">
        <v>84</v>
      </c>
      <c r="Q693" t="s">
        <v>85</v>
      </c>
      <c r="R693" s="8">
        <v>2580.25</v>
      </c>
      <c r="S693">
        <v>1</v>
      </c>
      <c r="T693">
        <v>0.25</v>
      </c>
      <c r="U693" s="8">
        <v>198.47</v>
      </c>
      <c r="V693" t="s">
        <v>1561</v>
      </c>
      <c r="W693" t="s">
        <v>1561</v>
      </c>
    </row>
    <row r="694" spans="1:23">
      <c r="A694">
        <v>1693</v>
      </c>
      <c r="B694" t="s">
        <v>1259</v>
      </c>
      <c r="C694" s="7">
        <v>45440</v>
      </c>
      <c r="D694" s="7">
        <v>45444</v>
      </c>
      <c r="E694" t="s">
        <v>101</v>
      </c>
      <c r="F694" t="s">
        <v>285</v>
      </c>
      <c r="G694" t="s">
        <v>1567</v>
      </c>
      <c r="H694" t="s">
        <v>108</v>
      </c>
      <c r="I694" t="s">
        <v>26</v>
      </c>
      <c r="J694" t="s">
        <v>160</v>
      </c>
      <c r="K694" t="s">
        <v>161</v>
      </c>
      <c r="L694" t="s">
        <v>29</v>
      </c>
      <c r="M694">
        <v>695001</v>
      </c>
      <c r="N694" t="s">
        <v>620</v>
      </c>
      <c r="O694" t="s">
        <v>44</v>
      </c>
      <c r="P694" t="s">
        <v>211</v>
      </c>
      <c r="Q694" t="s">
        <v>212</v>
      </c>
      <c r="R694" s="8">
        <v>3690.28</v>
      </c>
      <c r="S694">
        <v>3</v>
      </c>
      <c r="T694">
        <v>0</v>
      </c>
      <c r="U694" s="8">
        <v>370.45</v>
      </c>
      <c r="V694" t="s">
        <v>1561</v>
      </c>
      <c r="W694" t="s">
        <v>1561</v>
      </c>
    </row>
    <row r="695" spans="1:23">
      <c r="A695">
        <v>1694</v>
      </c>
      <c r="B695" t="s">
        <v>567</v>
      </c>
      <c r="C695" s="7">
        <v>45443</v>
      </c>
      <c r="D695" s="7">
        <v>45448</v>
      </c>
      <c r="E695" t="s">
        <v>22</v>
      </c>
      <c r="F695" t="s">
        <v>198</v>
      </c>
      <c r="G695" t="s">
        <v>1573</v>
      </c>
      <c r="H695" t="s">
        <v>108</v>
      </c>
      <c r="I695" t="s">
        <v>26</v>
      </c>
      <c r="J695" t="s">
        <v>166</v>
      </c>
      <c r="K695" t="s">
        <v>132</v>
      </c>
      <c r="L695" t="s">
        <v>41</v>
      </c>
      <c r="M695">
        <v>600001</v>
      </c>
      <c r="N695" t="s">
        <v>93</v>
      </c>
      <c r="O695" t="s">
        <v>138</v>
      </c>
      <c r="P695" t="s">
        <v>156</v>
      </c>
      <c r="Q695" t="s">
        <v>157</v>
      </c>
      <c r="R695" s="8">
        <v>1487.35</v>
      </c>
      <c r="S695">
        <v>5</v>
      </c>
      <c r="T695">
        <v>0.25</v>
      </c>
      <c r="U695" s="8">
        <v>45.48</v>
      </c>
      <c r="V695" t="s">
        <v>1561</v>
      </c>
      <c r="W695" t="s">
        <v>1561</v>
      </c>
    </row>
    <row r="696" spans="1:23">
      <c r="A696">
        <v>1695</v>
      </c>
      <c r="B696" t="s">
        <v>1064</v>
      </c>
      <c r="C696" s="7">
        <v>45473</v>
      </c>
      <c r="D696" s="7">
        <v>45476</v>
      </c>
      <c r="E696" t="s">
        <v>22</v>
      </c>
      <c r="F696" t="s">
        <v>49</v>
      </c>
      <c r="G696" t="s">
        <v>1568</v>
      </c>
      <c r="H696" t="s">
        <v>51</v>
      </c>
      <c r="I696" t="s">
        <v>26</v>
      </c>
      <c r="J696" t="s">
        <v>52</v>
      </c>
      <c r="K696" t="s">
        <v>52</v>
      </c>
      <c r="L696" t="s">
        <v>41</v>
      </c>
      <c r="M696">
        <v>673001</v>
      </c>
      <c r="N696" t="s">
        <v>54</v>
      </c>
      <c r="O696" t="s">
        <v>55</v>
      </c>
      <c r="P696" t="s">
        <v>98</v>
      </c>
      <c r="Q696" t="s">
        <v>99</v>
      </c>
      <c r="R696" s="8">
        <v>11697.86</v>
      </c>
      <c r="S696">
        <v>2</v>
      </c>
      <c r="T696">
        <v>0.15</v>
      </c>
      <c r="U696" s="8">
        <v>714.22</v>
      </c>
      <c r="V696" t="s">
        <v>1561</v>
      </c>
      <c r="W696" t="s">
        <v>1561</v>
      </c>
    </row>
    <row r="697" spans="1:23">
      <c r="A697">
        <v>1696</v>
      </c>
      <c r="B697" t="s">
        <v>764</v>
      </c>
      <c r="C697" s="7">
        <v>45315</v>
      </c>
      <c r="D697" s="7">
        <v>45316</v>
      </c>
      <c r="E697" t="s">
        <v>101</v>
      </c>
      <c r="F697" t="s">
        <v>765</v>
      </c>
      <c r="G697" t="s">
        <v>1560</v>
      </c>
      <c r="H697" t="s">
        <v>51</v>
      </c>
      <c r="I697" t="s">
        <v>26</v>
      </c>
      <c r="J697" t="s">
        <v>90</v>
      </c>
      <c r="K697" t="s">
        <v>91</v>
      </c>
      <c r="L697" t="s">
        <v>63</v>
      </c>
      <c r="M697">
        <v>695001</v>
      </c>
      <c r="N697" t="s">
        <v>766</v>
      </c>
      <c r="O697" t="s">
        <v>138</v>
      </c>
      <c r="P697" t="s">
        <v>182</v>
      </c>
      <c r="Q697" t="s">
        <v>183</v>
      </c>
      <c r="R697" s="8">
        <v>323.25</v>
      </c>
      <c r="S697">
        <v>1</v>
      </c>
      <c r="T697">
        <v>0.25</v>
      </c>
      <c r="U697" s="8">
        <v>9.5399999999999991</v>
      </c>
      <c r="V697" t="s">
        <v>1561</v>
      </c>
      <c r="W697" t="s">
        <v>1561</v>
      </c>
    </row>
    <row r="698" spans="1:23">
      <c r="A698">
        <v>1697</v>
      </c>
      <c r="B698" t="s">
        <v>436</v>
      </c>
      <c r="C698" s="7">
        <v>45466</v>
      </c>
      <c r="D698" s="7">
        <v>45468</v>
      </c>
      <c r="E698" t="s">
        <v>69</v>
      </c>
      <c r="F698" t="s">
        <v>437</v>
      </c>
      <c r="G698" t="s">
        <v>1573</v>
      </c>
      <c r="H698" t="s">
        <v>25</v>
      </c>
      <c r="I698" t="s">
        <v>26</v>
      </c>
      <c r="J698" t="s">
        <v>160</v>
      </c>
      <c r="K698" t="s">
        <v>161</v>
      </c>
      <c r="L698" t="s">
        <v>63</v>
      </c>
      <c r="M698">
        <v>110001</v>
      </c>
      <c r="N698" t="s">
        <v>438</v>
      </c>
      <c r="O698" t="s">
        <v>138</v>
      </c>
      <c r="P698" t="s">
        <v>182</v>
      </c>
      <c r="Q698" t="s">
        <v>183</v>
      </c>
      <c r="R698" s="8">
        <v>724.58</v>
      </c>
      <c r="S698">
        <v>2</v>
      </c>
      <c r="T698">
        <v>0.15</v>
      </c>
      <c r="U698" s="8">
        <v>75</v>
      </c>
      <c r="V698" t="s">
        <v>1561</v>
      </c>
      <c r="W698" t="s">
        <v>1561</v>
      </c>
    </row>
    <row r="699" spans="1:23">
      <c r="A699">
        <v>1698</v>
      </c>
      <c r="B699" t="s">
        <v>429</v>
      </c>
      <c r="C699" s="7">
        <v>45298</v>
      </c>
      <c r="D699" s="7">
        <v>45300</v>
      </c>
      <c r="E699" t="s">
        <v>101</v>
      </c>
      <c r="F699" t="s">
        <v>192</v>
      </c>
      <c r="G699" t="s">
        <v>1560</v>
      </c>
      <c r="H699" t="s">
        <v>51</v>
      </c>
      <c r="I699" t="s">
        <v>26</v>
      </c>
      <c r="J699" t="s">
        <v>131</v>
      </c>
      <c r="K699" t="s">
        <v>132</v>
      </c>
      <c r="L699" t="s">
        <v>29</v>
      </c>
      <c r="M699">
        <v>110001</v>
      </c>
      <c r="N699" t="s">
        <v>430</v>
      </c>
      <c r="O699" t="s">
        <v>55</v>
      </c>
      <c r="P699" t="s">
        <v>98</v>
      </c>
      <c r="Q699" t="s">
        <v>99</v>
      </c>
      <c r="R699" s="8">
        <v>6233.09</v>
      </c>
      <c r="S699">
        <v>1</v>
      </c>
      <c r="T699">
        <v>0</v>
      </c>
      <c r="U699" s="8">
        <v>1161.29</v>
      </c>
      <c r="V699" t="s">
        <v>1561</v>
      </c>
      <c r="W699" t="s">
        <v>1561</v>
      </c>
    </row>
    <row r="700" spans="1:23">
      <c r="A700">
        <v>1699</v>
      </c>
      <c r="B700" t="s">
        <v>1074</v>
      </c>
      <c r="C700" s="7">
        <v>45645</v>
      </c>
      <c r="D700" s="7">
        <v>45651</v>
      </c>
      <c r="E700" t="s">
        <v>101</v>
      </c>
      <c r="F700" t="s">
        <v>398</v>
      </c>
      <c r="G700" t="s">
        <v>1570</v>
      </c>
      <c r="H700" t="s">
        <v>25</v>
      </c>
      <c r="I700" t="s">
        <v>26</v>
      </c>
      <c r="J700" t="s">
        <v>160</v>
      </c>
      <c r="K700" t="s">
        <v>161</v>
      </c>
      <c r="L700" t="s">
        <v>41</v>
      </c>
      <c r="M700">
        <v>682001</v>
      </c>
      <c r="N700" t="s">
        <v>1075</v>
      </c>
      <c r="O700" t="s">
        <v>138</v>
      </c>
      <c r="P700" t="s">
        <v>139</v>
      </c>
      <c r="Q700" t="s">
        <v>140</v>
      </c>
      <c r="R700" s="8">
        <v>1503.19</v>
      </c>
      <c r="S700">
        <v>2</v>
      </c>
      <c r="T700">
        <v>0.2</v>
      </c>
      <c r="U700" s="8">
        <v>92</v>
      </c>
      <c r="V700" t="s">
        <v>1561</v>
      </c>
      <c r="W700" t="s">
        <v>1561</v>
      </c>
    </row>
    <row r="701" spans="1:23">
      <c r="A701">
        <v>1700</v>
      </c>
      <c r="B701" t="s">
        <v>1471</v>
      </c>
      <c r="C701" s="7">
        <v>45305</v>
      </c>
      <c r="D701" s="7">
        <v>45307</v>
      </c>
      <c r="E701" t="s">
        <v>101</v>
      </c>
      <c r="F701" t="s">
        <v>411</v>
      </c>
      <c r="G701" t="s">
        <v>1571</v>
      </c>
      <c r="H701" t="s">
        <v>51</v>
      </c>
      <c r="I701" t="s">
        <v>26</v>
      </c>
      <c r="J701" t="s">
        <v>346</v>
      </c>
      <c r="K701" t="s">
        <v>132</v>
      </c>
      <c r="L701" t="s">
        <v>92</v>
      </c>
      <c r="M701">
        <v>560001</v>
      </c>
      <c r="N701" t="s">
        <v>1472</v>
      </c>
      <c r="O701" t="s">
        <v>44</v>
      </c>
      <c r="P701" t="s">
        <v>211</v>
      </c>
      <c r="Q701" t="s">
        <v>223</v>
      </c>
      <c r="R701" s="8">
        <v>1650.36</v>
      </c>
      <c r="S701">
        <v>1</v>
      </c>
      <c r="T701">
        <v>0.1</v>
      </c>
      <c r="U701" s="8">
        <v>81.94</v>
      </c>
      <c r="V701" t="s">
        <v>1561</v>
      </c>
      <c r="W701" t="s">
        <v>1561</v>
      </c>
    </row>
    <row r="702" spans="1:23">
      <c r="A702">
        <v>1701</v>
      </c>
      <c r="B702" t="s">
        <v>1519</v>
      </c>
      <c r="C702" s="7">
        <v>45529</v>
      </c>
      <c r="D702" s="7">
        <v>45531</v>
      </c>
      <c r="E702" t="s">
        <v>101</v>
      </c>
      <c r="F702" t="s">
        <v>791</v>
      </c>
      <c r="G702" t="s">
        <v>1569</v>
      </c>
      <c r="H702" t="s">
        <v>25</v>
      </c>
      <c r="I702" t="s">
        <v>26</v>
      </c>
      <c r="J702" t="s">
        <v>90</v>
      </c>
      <c r="K702" t="s">
        <v>91</v>
      </c>
      <c r="L702" t="s">
        <v>41</v>
      </c>
      <c r="M702">
        <v>682001</v>
      </c>
      <c r="N702" t="s">
        <v>1001</v>
      </c>
      <c r="O702" t="s">
        <v>188</v>
      </c>
      <c r="P702" t="s">
        <v>189</v>
      </c>
      <c r="Q702" t="s">
        <v>386</v>
      </c>
      <c r="R702" s="8">
        <v>1770.38</v>
      </c>
      <c r="S702">
        <v>1</v>
      </c>
      <c r="T702">
        <v>0.15</v>
      </c>
      <c r="U702" s="8">
        <v>47.98</v>
      </c>
      <c r="V702" t="s">
        <v>1561</v>
      </c>
      <c r="W702" t="s">
        <v>1561</v>
      </c>
    </row>
    <row r="703" spans="1:23">
      <c r="A703">
        <v>1702</v>
      </c>
      <c r="B703" t="s">
        <v>200</v>
      </c>
      <c r="C703" s="7">
        <v>45522</v>
      </c>
      <c r="D703" s="7">
        <v>45527</v>
      </c>
      <c r="E703" t="s">
        <v>69</v>
      </c>
      <c r="F703" t="s">
        <v>59</v>
      </c>
      <c r="G703" t="s">
        <v>1570</v>
      </c>
      <c r="H703" t="s">
        <v>51</v>
      </c>
      <c r="I703" t="s">
        <v>26</v>
      </c>
      <c r="J703" t="s">
        <v>160</v>
      </c>
      <c r="K703" t="s">
        <v>161</v>
      </c>
      <c r="L703" t="s">
        <v>29</v>
      </c>
      <c r="M703">
        <v>673001</v>
      </c>
      <c r="N703" t="s">
        <v>201</v>
      </c>
      <c r="O703" t="s">
        <v>83</v>
      </c>
      <c r="P703" t="s">
        <v>33</v>
      </c>
      <c r="Q703" t="s">
        <v>34</v>
      </c>
      <c r="R703" s="8">
        <v>3888.64</v>
      </c>
      <c r="S703">
        <v>3</v>
      </c>
      <c r="T703">
        <v>0</v>
      </c>
      <c r="U703" s="8">
        <v>1087.07</v>
      </c>
      <c r="V703" t="s">
        <v>1561</v>
      </c>
      <c r="W703" t="s">
        <v>1561</v>
      </c>
    </row>
    <row r="704" spans="1:23">
      <c r="A704">
        <v>1703</v>
      </c>
      <c r="B704" t="s">
        <v>1218</v>
      </c>
      <c r="C704" s="7">
        <v>45574</v>
      </c>
      <c r="D704" s="7">
        <v>45551</v>
      </c>
      <c r="E704" t="s">
        <v>48</v>
      </c>
      <c r="F704" t="s">
        <v>280</v>
      </c>
      <c r="G704" t="s">
        <v>1562</v>
      </c>
      <c r="H704" t="s">
        <v>25</v>
      </c>
      <c r="I704" t="s">
        <v>26</v>
      </c>
      <c r="J704" t="s">
        <v>346</v>
      </c>
      <c r="K704" t="s">
        <v>132</v>
      </c>
      <c r="L704" t="s">
        <v>29</v>
      </c>
      <c r="M704">
        <v>560001</v>
      </c>
      <c r="N704" t="s">
        <v>1219</v>
      </c>
      <c r="O704" t="s">
        <v>44</v>
      </c>
      <c r="P704" t="s">
        <v>45</v>
      </c>
      <c r="Q704" t="s">
        <v>46</v>
      </c>
      <c r="R704" s="8">
        <v>110830.54</v>
      </c>
      <c r="S704">
        <v>4</v>
      </c>
      <c r="T704">
        <v>0.25</v>
      </c>
      <c r="U704" s="8">
        <v>-5744.8</v>
      </c>
      <c r="V704" t="s">
        <v>1561</v>
      </c>
      <c r="W704" t="s">
        <v>1561</v>
      </c>
    </row>
    <row r="705" spans="1:23">
      <c r="A705">
        <v>1704</v>
      </c>
      <c r="B705" t="s">
        <v>746</v>
      </c>
      <c r="C705" s="7">
        <v>45410</v>
      </c>
      <c r="D705" s="7">
        <v>45416</v>
      </c>
      <c r="E705" t="s">
        <v>22</v>
      </c>
      <c r="F705" t="s">
        <v>288</v>
      </c>
      <c r="G705" t="s">
        <v>1569</v>
      </c>
      <c r="H705" t="s">
        <v>25</v>
      </c>
      <c r="I705" t="s">
        <v>26</v>
      </c>
      <c r="J705" t="s">
        <v>79</v>
      </c>
      <c r="K705" t="s">
        <v>80</v>
      </c>
      <c r="L705" t="s">
        <v>29</v>
      </c>
      <c r="M705">
        <v>600001</v>
      </c>
      <c r="N705" t="s">
        <v>747</v>
      </c>
      <c r="O705" t="s">
        <v>83</v>
      </c>
      <c r="P705" t="s">
        <v>33</v>
      </c>
      <c r="Q705" t="s">
        <v>34</v>
      </c>
      <c r="R705" s="8">
        <v>4135.8599999999997</v>
      </c>
      <c r="S705">
        <v>4</v>
      </c>
      <c r="T705">
        <v>0.3</v>
      </c>
      <c r="U705" s="8">
        <v>262.24</v>
      </c>
      <c r="V705" t="s">
        <v>1561</v>
      </c>
      <c r="W705" t="s">
        <v>1561</v>
      </c>
    </row>
    <row r="706" spans="1:23">
      <c r="A706">
        <v>1705</v>
      </c>
      <c r="B706" t="s">
        <v>427</v>
      </c>
      <c r="C706" s="7">
        <v>45351</v>
      </c>
      <c r="D706" s="7">
        <v>45355</v>
      </c>
      <c r="E706" t="s">
        <v>48</v>
      </c>
      <c r="F706" t="s">
        <v>260</v>
      </c>
      <c r="G706" t="s">
        <v>1560</v>
      </c>
      <c r="H706" t="s">
        <v>51</v>
      </c>
      <c r="I706" t="s">
        <v>26</v>
      </c>
      <c r="J706" t="s">
        <v>52</v>
      </c>
      <c r="K706" t="s">
        <v>52</v>
      </c>
      <c r="L706" t="s">
        <v>29</v>
      </c>
      <c r="M706">
        <v>673001</v>
      </c>
      <c r="N706" t="s">
        <v>428</v>
      </c>
      <c r="O706" t="s">
        <v>44</v>
      </c>
      <c r="P706" t="s">
        <v>45</v>
      </c>
      <c r="Q706" t="s">
        <v>46</v>
      </c>
      <c r="R706" s="8">
        <v>76632.45</v>
      </c>
      <c r="S706">
        <v>3</v>
      </c>
      <c r="T706">
        <v>0.3</v>
      </c>
      <c r="U706" s="8">
        <v>-7713.17</v>
      </c>
      <c r="V706" t="s">
        <v>1561</v>
      </c>
      <c r="W706" t="s">
        <v>1561</v>
      </c>
    </row>
    <row r="707" spans="1:23">
      <c r="A707">
        <v>1706</v>
      </c>
      <c r="B707" t="s">
        <v>977</v>
      </c>
      <c r="C707" s="7">
        <v>45551</v>
      </c>
      <c r="D707" s="7">
        <v>45553</v>
      </c>
      <c r="E707" t="s">
        <v>48</v>
      </c>
      <c r="F707" t="s">
        <v>404</v>
      </c>
      <c r="G707" t="s">
        <v>1574</v>
      </c>
      <c r="H707" t="s">
        <v>51</v>
      </c>
      <c r="I707" t="s">
        <v>26</v>
      </c>
      <c r="J707" t="s">
        <v>115</v>
      </c>
      <c r="K707" t="s">
        <v>116</v>
      </c>
      <c r="L707" t="s">
        <v>29</v>
      </c>
      <c r="M707">
        <v>682001</v>
      </c>
      <c r="N707" t="s">
        <v>978</v>
      </c>
      <c r="O707" t="s">
        <v>83</v>
      </c>
      <c r="P707" t="s">
        <v>33</v>
      </c>
      <c r="Q707" t="s">
        <v>34</v>
      </c>
      <c r="R707" s="8">
        <v>2401.4</v>
      </c>
      <c r="S707">
        <v>2</v>
      </c>
      <c r="T707">
        <v>0.1</v>
      </c>
      <c r="U707" s="8">
        <v>358.05</v>
      </c>
      <c r="V707" t="s">
        <v>1561</v>
      </c>
      <c r="W707" t="s">
        <v>1561</v>
      </c>
    </row>
    <row r="708" spans="1:23">
      <c r="A708">
        <v>1707</v>
      </c>
      <c r="B708" t="s">
        <v>1249</v>
      </c>
      <c r="C708" s="7">
        <v>45533</v>
      </c>
      <c r="D708" s="7">
        <v>45535</v>
      </c>
      <c r="E708" t="s">
        <v>69</v>
      </c>
      <c r="F708" t="s">
        <v>1014</v>
      </c>
      <c r="G708" t="s">
        <v>1560</v>
      </c>
      <c r="H708" t="s">
        <v>51</v>
      </c>
      <c r="I708" t="s">
        <v>26</v>
      </c>
      <c r="J708" t="s">
        <v>160</v>
      </c>
      <c r="K708" t="s">
        <v>161</v>
      </c>
      <c r="L708" t="s">
        <v>41</v>
      </c>
      <c r="M708">
        <v>400001</v>
      </c>
      <c r="N708" t="s">
        <v>824</v>
      </c>
      <c r="O708" t="s">
        <v>83</v>
      </c>
      <c r="P708" t="s">
        <v>33</v>
      </c>
      <c r="Q708" t="s">
        <v>34</v>
      </c>
      <c r="R708" s="8">
        <v>2157.48</v>
      </c>
      <c r="S708">
        <v>2</v>
      </c>
      <c r="T708">
        <v>0.2</v>
      </c>
      <c r="U708" s="8">
        <v>201.56</v>
      </c>
      <c r="V708" t="s">
        <v>1561</v>
      </c>
      <c r="W708" t="s">
        <v>1561</v>
      </c>
    </row>
    <row r="709" spans="1:23">
      <c r="A709">
        <v>1708</v>
      </c>
      <c r="B709" t="s">
        <v>1427</v>
      </c>
      <c r="C709" s="7">
        <v>45504</v>
      </c>
      <c r="D709" s="7">
        <v>45508</v>
      </c>
      <c r="E709" t="s">
        <v>48</v>
      </c>
      <c r="F709" t="s">
        <v>395</v>
      </c>
      <c r="G709" t="s">
        <v>1565</v>
      </c>
      <c r="H709" t="s">
        <v>51</v>
      </c>
      <c r="I709" t="s">
        <v>26</v>
      </c>
      <c r="J709" t="s">
        <v>166</v>
      </c>
      <c r="K709" t="s">
        <v>132</v>
      </c>
      <c r="L709" t="s">
        <v>41</v>
      </c>
      <c r="M709">
        <v>673001</v>
      </c>
      <c r="N709" t="s">
        <v>1428</v>
      </c>
      <c r="O709" t="s">
        <v>44</v>
      </c>
      <c r="P709" t="s">
        <v>211</v>
      </c>
      <c r="Q709" t="s">
        <v>212</v>
      </c>
      <c r="R709" s="8">
        <v>3617.95</v>
      </c>
      <c r="S709">
        <v>3</v>
      </c>
      <c r="T709">
        <v>0</v>
      </c>
      <c r="U709" s="8">
        <v>484.85</v>
      </c>
      <c r="V709" t="s">
        <v>1561</v>
      </c>
      <c r="W709" t="s">
        <v>1561</v>
      </c>
    </row>
    <row r="710" spans="1:23">
      <c r="A710">
        <v>1709</v>
      </c>
      <c r="B710" t="s">
        <v>537</v>
      </c>
      <c r="C710" s="7">
        <v>45324</v>
      </c>
      <c r="D710" s="7">
        <v>45327</v>
      </c>
      <c r="E710" t="s">
        <v>101</v>
      </c>
      <c r="F710" t="s">
        <v>102</v>
      </c>
      <c r="G710" t="s">
        <v>1574</v>
      </c>
      <c r="H710" t="s">
        <v>25</v>
      </c>
      <c r="I710" t="s">
        <v>26</v>
      </c>
      <c r="J710" t="s">
        <v>115</v>
      </c>
      <c r="K710" t="s">
        <v>116</v>
      </c>
      <c r="L710" t="s">
        <v>92</v>
      </c>
      <c r="M710">
        <v>673001</v>
      </c>
      <c r="N710" t="s">
        <v>538</v>
      </c>
      <c r="O710" t="s">
        <v>55</v>
      </c>
      <c r="P710" t="s">
        <v>56</v>
      </c>
      <c r="Q710" t="s">
        <v>57</v>
      </c>
      <c r="R710" s="8">
        <v>6669.32</v>
      </c>
      <c r="S710">
        <v>1</v>
      </c>
      <c r="T710">
        <v>0</v>
      </c>
      <c r="U710" s="8">
        <v>865.47</v>
      </c>
      <c r="V710" t="s">
        <v>1561</v>
      </c>
      <c r="W710" t="s">
        <v>1561</v>
      </c>
    </row>
    <row r="711" spans="1:23">
      <c r="A711">
        <v>1710</v>
      </c>
      <c r="B711" t="s">
        <v>581</v>
      </c>
      <c r="C711" s="7">
        <v>45315</v>
      </c>
      <c r="D711" s="7">
        <v>45320</v>
      </c>
      <c r="E711" t="s">
        <v>48</v>
      </c>
      <c r="F711" t="s">
        <v>177</v>
      </c>
      <c r="G711" t="s">
        <v>1571</v>
      </c>
      <c r="H711" t="s">
        <v>51</v>
      </c>
      <c r="I711" t="s">
        <v>26</v>
      </c>
      <c r="J711" t="s">
        <v>72</v>
      </c>
      <c r="K711" t="s">
        <v>73</v>
      </c>
      <c r="L711" t="s">
        <v>41</v>
      </c>
      <c r="M711">
        <v>400001</v>
      </c>
      <c r="N711" t="s">
        <v>554</v>
      </c>
      <c r="O711" t="s">
        <v>138</v>
      </c>
      <c r="P711" t="s">
        <v>182</v>
      </c>
      <c r="Q711" t="s">
        <v>183</v>
      </c>
      <c r="R711" s="8">
        <v>714.49</v>
      </c>
      <c r="S711">
        <v>2</v>
      </c>
      <c r="T711">
        <v>0.2</v>
      </c>
      <c r="U711" s="8">
        <v>60.86</v>
      </c>
      <c r="V711" t="s">
        <v>1561</v>
      </c>
      <c r="W711" t="s">
        <v>1561</v>
      </c>
    </row>
    <row r="712" spans="1:23">
      <c r="A712">
        <v>1711</v>
      </c>
      <c r="B712" t="s">
        <v>715</v>
      </c>
      <c r="C712" s="7">
        <v>45346</v>
      </c>
      <c r="D712" s="7">
        <v>45351</v>
      </c>
      <c r="E712" t="s">
        <v>22</v>
      </c>
      <c r="F712" t="s">
        <v>247</v>
      </c>
      <c r="G712" t="s">
        <v>1568</v>
      </c>
      <c r="H712" t="s">
        <v>51</v>
      </c>
      <c r="I712" t="s">
        <v>26</v>
      </c>
      <c r="J712" t="s">
        <v>39</v>
      </c>
      <c r="K712" t="s">
        <v>40</v>
      </c>
      <c r="L712" t="s">
        <v>41</v>
      </c>
      <c r="M712">
        <v>600001</v>
      </c>
      <c r="N712" t="s">
        <v>716</v>
      </c>
      <c r="O712" t="s">
        <v>83</v>
      </c>
      <c r="P712" t="s">
        <v>84</v>
      </c>
      <c r="Q712" t="s">
        <v>85</v>
      </c>
      <c r="R712" s="8">
        <v>15529.36</v>
      </c>
      <c r="S712">
        <v>5</v>
      </c>
      <c r="T712">
        <v>0</v>
      </c>
      <c r="U712" s="8">
        <v>3896.38</v>
      </c>
      <c r="V712" t="s">
        <v>1561</v>
      </c>
      <c r="W712" t="s">
        <v>1561</v>
      </c>
    </row>
    <row r="713" spans="1:23">
      <c r="A713">
        <v>1712</v>
      </c>
      <c r="B713" t="s">
        <v>1228</v>
      </c>
      <c r="C713" s="7">
        <v>45372</v>
      </c>
      <c r="D713" s="7">
        <v>45378</v>
      </c>
      <c r="E713" t="s">
        <v>48</v>
      </c>
      <c r="F713" t="s">
        <v>663</v>
      </c>
      <c r="G713" t="s">
        <v>1562</v>
      </c>
      <c r="H713" t="s">
        <v>51</v>
      </c>
      <c r="I713" t="s">
        <v>26</v>
      </c>
      <c r="J713" t="s">
        <v>166</v>
      </c>
      <c r="K713" t="s">
        <v>132</v>
      </c>
      <c r="L713" t="s">
        <v>41</v>
      </c>
      <c r="M713">
        <v>400001</v>
      </c>
      <c r="N713" t="s">
        <v>741</v>
      </c>
      <c r="O713" t="s">
        <v>138</v>
      </c>
      <c r="P713" t="s">
        <v>156</v>
      </c>
      <c r="Q713" t="s">
        <v>157</v>
      </c>
      <c r="R713" s="8">
        <v>281.7</v>
      </c>
      <c r="S713">
        <v>1</v>
      </c>
      <c r="T713">
        <v>0.2</v>
      </c>
      <c r="U713" s="8">
        <v>16.25</v>
      </c>
      <c r="V713" t="s">
        <v>1561</v>
      </c>
      <c r="W713" t="s">
        <v>1561</v>
      </c>
    </row>
    <row r="714" spans="1:23">
      <c r="A714">
        <v>1713</v>
      </c>
      <c r="B714" t="s">
        <v>1322</v>
      </c>
      <c r="C714" s="7">
        <v>45354</v>
      </c>
      <c r="D714" s="7">
        <v>45356</v>
      </c>
      <c r="E714" t="s">
        <v>101</v>
      </c>
      <c r="F714" t="s">
        <v>751</v>
      </c>
      <c r="G714" t="s">
        <v>1575</v>
      </c>
      <c r="H714" t="s">
        <v>25</v>
      </c>
      <c r="I714" t="s">
        <v>26</v>
      </c>
      <c r="J714" t="s">
        <v>131</v>
      </c>
      <c r="K714" t="s">
        <v>132</v>
      </c>
      <c r="L714" t="s">
        <v>41</v>
      </c>
      <c r="M714">
        <v>682001</v>
      </c>
      <c r="N714" t="s">
        <v>835</v>
      </c>
      <c r="O714" t="s">
        <v>44</v>
      </c>
      <c r="P714" t="s">
        <v>211</v>
      </c>
      <c r="Q714" t="s">
        <v>212</v>
      </c>
      <c r="R714" s="8">
        <v>2457.52</v>
      </c>
      <c r="S714">
        <v>2</v>
      </c>
      <c r="T714">
        <v>0.05</v>
      </c>
      <c r="U714" s="8">
        <v>234.75</v>
      </c>
      <c r="V714" t="s">
        <v>1561</v>
      </c>
      <c r="W714" t="s">
        <v>1561</v>
      </c>
    </row>
    <row r="715" spans="1:23">
      <c r="A715">
        <v>1714</v>
      </c>
      <c r="B715" t="s">
        <v>1184</v>
      </c>
      <c r="C715" s="7">
        <v>45428</v>
      </c>
      <c r="D715" s="7">
        <v>45431</v>
      </c>
      <c r="E715" t="s">
        <v>101</v>
      </c>
      <c r="F715" t="s">
        <v>203</v>
      </c>
      <c r="G715" t="s">
        <v>1566</v>
      </c>
      <c r="H715" t="s">
        <v>51</v>
      </c>
      <c r="I715" t="s">
        <v>26</v>
      </c>
      <c r="J715" t="s">
        <v>27</v>
      </c>
      <c r="K715" t="s">
        <v>28</v>
      </c>
      <c r="L715" t="s">
        <v>92</v>
      </c>
      <c r="M715">
        <v>682001</v>
      </c>
      <c r="N715" t="s">
        <v>1185</v>
      </c>
      <c r="O715" t="s">
        <v>138</v>
      </c>
      <c r="P715" t="s">
        <v>182</v>
      </c>
      <c r="Q715" t="s">
        <v>183</v>
      </c>
      <c r="R715" s="8">
        <v>1243.07</v>
      </c>
      <c r="S715">
        <v>3</v>
      </c>
      <c r="T715">
        <v>0</v>
      </c>
      <c r="U715" s="8">
        <v>304.77999999999997</v>
      </c>
      <c r="V715" t="s">
        <v>1561</v>
      </c>
      <c r="W715" t="s">
        <v>1561</v>
      </c>
    </row>
    <row r="716" spans="1:23">
      <c r="A716">
        <v>1715</v>
      </c>
      <c r="B716" t="s">
        <v>770</v>
      </c>
      <c r="C716" s="7">
        <v>45503</v>
      </c>
      <c r="D716" s="7">
        <v>45507</v>
      </c>
      <c r="E716" t="s">
        <v>101</v>
      </c>
      <c r="F716" t="s">
        <v>771</v>
      </c>
      <c r="G716" t="s">
        <v>1568</v>
      </c>
      <c r="H716" t="s">
        <v>51</v>
      </c>
      <c r="I716" t="s">
        <v>26</v>
      </c>
      <c r="J716" t="s">
        <v>27</v>
      </c>
      <c r="K716" t="s">
        <v>28</v>
      </c>
      <c r="L716" t="s">
        <v>63</v>
      </c>
      <c r="M716">
        <v>673001</v>
      </c>
      <c r="N716" t="s">
        <v>772</v>
      </c>
      <c r="O716" t="s">
        <v>138</v>
      </c>
      <c r="P716" t="s">
        <v>121</v>
      </c>
      <c r="Q716" t="s">
        <v>122</v>
      </c>
      <c r="R716" s="8">
        <v>498.35</v>
      </c>
      <c r="S716">
        <v>1</v>
      </c>
      <c r="T716">
        <v>0.25</v>
      </c>
      <c r="U716" s="8">
        <v>22.13</v>
      </c>
      <c r="V716" t="s">
        <v>1561</v>
      </c>
      <c r="W716" t="s">
        <v>1561</v>
      </c>
    </row>
    <row r="717" spans="1:23">
      <c r="A717">
        <v>1716</v>
      </c>
      <c r="B717" t="s">
        <v>231</v>
      </c>
      <c r="C717" s="7">
        <v>45335</v>
      </c>
      <c r="D717" s="7">
        <v>45338</v>
      </c>
      <c r="E717" t="s">
        <v>48</v>
      </c>
      <c r="F717" t="s">
        <v>232</v>
      </c>
      <c r="G717" t="s">
        <v>1575</v>
      </c>
      <c r="H717" t="s">
        <v>51</v>
      </c>
      <c r="I717" t="s">
        <v>26</v>
      </c>
      <c r="J717" t="s">
        <v>166</v>
      </c>
      <c r="K717" t="s">
        <v>132</v>
      </c>
      <c r="L717" t="s">
        <v>92</v>
      </c>
      <c r="M717">
        <v>560001</v>
      </c>
      <c r="N717" t="s">
        <v>233</v>
      </c>
      <c r="O717" t="s">
        <v>83</v>
      </c>
      <c r="P717" t="s">
        <v>84</v>
      </c>
      <c r="Q717" t="s">
        <v>85</v>
      </c>
      <c r="R717" s="8">
        <v>15884.13</v>
      </c>
      <c r="S717">
        <v>5</v>
      </c>
      <c r="T717">
        <v>0</v>
      </c>
      <c r="U717" s="8">
        <v>4002</v>
      </c>
      <c r="V717" t="s">
        <v>1561</v>
      </c>
      <c r="W717" t="s">
        <v>1561</v>
      </c>
    </row>
    <row r="718" spans="1:23">
      <c r="A718">
        <v>1717</v>
      </c>
      <c r="B718" t="s">
        <v>750</v>
      </c>
      <c r="C718" s="7">
        <v>45586</v>
      </c>
      <c r="D718" s="7">
        <v>45587</v>
      </c>
      <c r="E718" t="s">
        <v>48</v>
      </c>
      <c r="F718" t="s">
        <v>751</v>
      </c>
      <c r="G718" t="s">
        <v>1564</v>
      </c>
      <c r="H718" t="s">
        <v>51</v>
      </c>
      <c r="I718" t="s">
        <v>26</v>
      </c>
      <c r="J718" t="s">
        <v>109</v>
      </c>
      <c r="K718" t="s">
        <v>110</v>
      </c>
      <c r="L718" t="s">
        <v>63</v>
      </c>
      <c r="M718">
        <v>400001</v>
      </c>
      <c r="N718" t="s">
        <v>752</v>
      </c>
      <c r="O718" t="s">
        <v>83</v>
      </c>
      <c r="P718" t="s">
        <v>84</v>
      </c>
      <c r="Q718" t="s">
        <v>85</v>
      </c>
      <c r="R718" s="8">
        <v>18207.45</v>
      </c>
      <c r="S718">
        <v>6</v>
      </c>
      <c r="T718">
        <v>0.05</v>
      </c>
      <c r="U718" s="8">
        <v>4290.5200000000004</v>
      </c>
      <c r="V718" t="s">
        <v>1561</v>
      </c>
      <c r="W718" t="s">
        <v>1561</v>
      </c>
    </row>
    <row r="719" spans="1:23">
      <c r="A719">
        <v>1718</v>
      </c>
      <c r="B719" t="s">
        <v>1119</v>
      </c>
      <c r="C719" s="7">
        <v>45650</v>
      </c>
      <c r="D719" s="7">
        <v>45654</v>
      </c>
      <c r="E719" t="s">
        <v>101</v>
      </c>
      <c r="F719" t="s">
        <v>499</v>
      </c>
      <c r="G719" t="s">
        <v>1565</v>
      </c>
      <c r="H719" t="s">
        <v>51</v>
      </c>
      <c r="I719" t="s">
        <v>26</v>
      </c>
      <c r="J719" t="s">
        <v>226</v>
      </c>
      <c r="K719" t="s">
        <v>110</v>
      </c>
      <c r="L719" t="s">
        <v>29</v>
      </c>
      <c r="M719">
        <v>400001</v>
      </c>
      <c r="N719" t="s">
        <v>1120</v>
      </c>
      <c r="O719" t="s">
        <v>188</v>
      </c>
      <c r="P719" t="s">
        <v>189</v>
      </c>
      <c r="Q719" t="s">
        <v>190</v>
      </c>
      <c r="R719" s="8">
        <v>25961.58</v>
      </c>
      <c r="S719">
        <v>5</v>
      </c>
      <c r="T719">
        <v>0.2</v>
      </c>
      <c r="U719" s="8">
        <v>-5192</v>
      </c>
      <c r="V719" t="s">
        <v>1561</v>
      </c>
      <c r="W719" t="s">
        <v>1561</v>
      </c>
    </row>
    <row r="720" spans="1:23">
      <c r="A720">
        <v>1719</v>
      </c>
      <c r="B720" t="s">
        <v>892</v>
      </c>
      <c r="C720" s="7">
        <v>45335</v>
      </c>
      <c r="D720" s="7">
        <v>45336</v>
      </c>
      <c r="E720" t="s">
        <v>48</v>
      </c>
      <c r="F720" t="s">
        <v>262</v>
      </c>
      <c r="G720" t="s">
        <v>1560</v>
      </c>
      <c r="H720" t="s">
        <v>25</v>
      </c>
      <c r="I720" t="s">
        <v>26</v>
      </c>
      <c r="J720" t="s">
        <v>27</v>
      </c>
      <c r="K720" t="s">
        <v>28</v>
      </c>
      <c r="L720" t="s">
        <v>92</v>
      </c>
      <c r="M720">
        <v>600001</v>
      </c>
      <c r="N720" t="s">
        <v>893</v>
      </c>
      <c r="O720" t="s">
        <v>83</v>
      </c>
      <c r="P720" t="s">
        <v>84</v>
      </c>
      <c r="Q720" t="s">
        <v>85</v>
      </c>
      <c r="R720" s="8">
        <v>10545.64</v>
      </c>
      <c r="S720">
        <v>4</v>
      </c>
      <c r="T720">
        <v>0.15</v>
      </c>
      <c r="U720" s="8">
        <v>1772.79</v>
      </c>
      <c r="V720" t="s">
        <v>1561</v>
      </c>
      <c r="W720" t="s">
        <v>1561</v>
      </c>
    </row>
    <row r="721" spans="1:23">
      <c r="A721">
        <v>1720</v>
      </c>
      <c r="B721" t="s">
        <v>1294</v>
      </c>
      <c r="C721" s="7">
        <v>45617</v>
      </c>
      <c r="D721" s="7">
        <v>45619</v>
      </c>
      <c r="E721" t="s">
        <v>22</v>
      </c>
      <c r="F721" t="s">
        <v>426</v>
      </c>
      <c r="G721" t="s">
        <v>1567</v>
      </c>
      <c r="H721" t="s">
        <v>51</v>
      </c>
      <c r="I721" t="s">
        <v>26</v>
      </c>
      <c r="J721" t="s">
        <v>115</v>
      </c>
      <c r="K721" t="s">
        <v>116</v>
      </c>
      <c r="L721" t="s">
        <v>63</v>
      </c>
      <c r="M721">
        <v>682001</v>
      </c>
      <c r="N721" t="s">
        <v>1276</v>
      </c>
      <c r="O721" t="s">
        <v>44</v>
      </c>
      <c r="P721" t="s">
        <v>211</v>
      </c>
      <c r="Q721" t="s">
        <v>223</v>
      </c>
      <c r="R721" s="8">
        <v>4113.92</v>
      </c>
      <c r="S721">
        <v>2</v>
      </c>
      <c r="T721">
        <v>0.2</v>
      </c>
      <c r="U721" s="8">
        <v>-89.41</v>
      </c>
      <c r="V721" t="s">
        <v>1561</v>
      </c>
      <c r="W721" t="s">
        <v>1561</v>
      </c>
    </row>
    <row r="722" spans="1:23">
      <c r="A722">
        <v>1721</v>
      </c>
      <c r="B722" t="s">
        <v>960</v>
      </c>
      <c r="C722" s="7">
        <v>45322</v>
      </c>
      <c r="D722" s="7">
        <v>45325</v>
      </c>
      <c r="E722" t="s">
        <v>48</v>
      </c>
      <c r="F722" t="s">
        <v>708</v>
      </c>
      <c r="G722" t="s">
        <v>1568</v>
      </c>
      <c r="H722" t="s">
        <v>25</v>
      </c>
      <c r="I722" t="s">
        <v>26</v>
      </c>
      <c r="J722" t="s">
        <v>27</v>
      </c>
      <c r="K722" t="s">
        <v>28</v>
      </c>
      <c r="L722" t="s">
        <v>63</v>
      </c>
      <c r="M722">
        <v>673001</v>
      </c>
      <c r="N722" t="s">
        <v>961</v>
      </c>
      <c r="O722" t="s">
        <v>55</v>
      </c>
      <c r="P722" t="s">
        <v>66</v>
      </c>
      <c r="Q722" t="s">
        <v>67</v>
      </c>
      <c r="R722" s="8">
        <v>73112.639999999999</v>
      </c>
      <c r="S722">
        <v>8</v>
      </c>
      <c r="T722">
        <v>0</v>
      </c>
      <c r="U722" s="8">
        <v>9322.74</v>
      </c>
      <c r="V722" t="s">
        <v>1561</v>
      </c>
      <c r="W722" t="s">
        <v>1561</v>
      </c>
    </row>
    <row r="723" spans="1:23">
      <c r="A723">
        <v>1722</v>
      </c>
      <c r="B723" t="s">
        <v>654</v>
      </c>
      <c r="C723" s="7">
        <v>45524</v>
      </c>
      <c r="D723" s="7">
        <v>45527</v>
      </c>
      <c r="E723" t="s">
        <v>69</v>
      </c>
      <c r="F723" t="s">
        <v>414</v>
      </c>
      <c r="G723" t="s">
        <v>1560</v>
      </c>
      <c r="H723" t="s">
        <v>108</v>
      </c>
      <c r="I723" t="s">
        <v>26</v>
      </c>
      <c r="J723" t="s">
        <v>27</v>
      </c>
      <c r="K723" t="s">
        <v>28</v>
      </c>
      <c r="L723" t="s">
        <v>92</v>
      </c>
      <c r="M723">
        <v>695001</v>
      </c>
      <c r="N723" t="s">
        <v>655</v>
      </c>
      <c r="O723" t="s">
        <v>138</v>
      </c>
      <c r="P723" t="s">
        <v>156</v>
      </c>
      <c r="Q723" t="s">
        <v>157</v>
      </c>
      <c r="R723" s="8">
        <v>780.99</v>
      </c>
      <c r="S723">
        <v>2</v>
      </c>
      <c r="T723">
        <v>0</v>
      </c>
      <c r="U723" s="8">
        <v>151.80000000000001</v>
      </c>
      <c r="V723" t="s">
        <v>1561</v>
      </c>
      <c r="W723" t="s">
        <v>1561</v>
      </c>
    </row>
    <row r="724" spans="1:23">
      <c r="A724">
        <v>1723</v>
      </c>
      <c r="B724" t="s">
        <v>172</v>
      </c>
      <c r="C724" s="7">
        <v>45485</v>
      </c>
      <c r="D724" s="7">
        <v>45490</v>
      </c>
      <c r="E724" t="s">
        <v>69</v>
      </c>
      <c r="F724" t="s">
        <v>173</v>
      </c>
      <c r="G724" t="s">
        <v>1563</v>
      </c>
      <c r="H724" t="s">
        <v>25</v>
      </c>
      <c r="I724" t="s">
        <v>26</v>
      </c>
      <c r="J724" t="s">
        <v>115</v>
      </c>
      <c r="K724" t="s">
        <v>116</v>
      </c>
      <c r="L724" t="s">
        <v>92</v>
      </c>
      <c r="M724">
        <v>110001</v>
      </c>
      <c r="N724" t="s">
        <v>175</v>
      </c>
      <c r="O724" t="s">
        <v>138</v>
      </c>
      <c r="P724" t="s">
        <v>156</v>
      </c>
      <c r="Q724" t="s">
        <v>157</v>
      </c>
      <c r="R724" s="8">
        <v>1529.06</v>
      </c>
      <c r="S724">
        <v>4</v>
      </c>
      <c r="T724">
        <v>0.05</v>
      </c>
      <c r="U724" s="8">
        <v>214.77</v>
      </c>
      <c r="V724" t="s">
        <v>1561</v>
      </c>
      <c r="W724" t="s">
        <v>1561</v>
      </c>
    </row>
    <row r="725" spans="1:23">
      <c r="A725">
        <v>1724</v>
      </c>
      <c r="B725" t="s">
        <v>1230</v>
      </c>
      <c r="C725" s="7">
        <v>45333</v>
      </c>
      <c r="D725" s="7">
        <v>45334</v>
      </c>
      <c r="E725" t="s">
        <v>22</v>
      </c>
      <c r="F725" t="s">
        <v>791</v>
      </c>
      <c r="G725" t="s">
        <v>1567</v>
      </c>
      <c r="H725" t="s">
        <v>51</v>
      </c>
      <c r="I725" t="s">
        <v>26</v>
      </c>
      <c r="J725" t="s">
        <v>226</v>
      </c>
      <c r="K725" t="s">
        <v>110</v>
      </c>
      <c r="L725" t="s">
        <v>92</v>
      </c>
      <c r="M725">
        <v>560001</v>
      </c>
      <c r="N725" t="s">
        <v>402</v>
      </c>
      <c r="O725" t="s">
        <v>138</v>
      </c>
      <c r="P725" t="s">
        <v>182</v>
      </c>
      <c r="Q725" t="s">
        <v>183</v>
      </c>
      <c r="R725" s="8">
        <v>1391.61</v>
      </c>
      <c r="S725">
        <v>4</v>
      </c>
      <c r="T725">
        <v>0.25</v>
      </c>
      <c r="U725" s="8">
        <v>61.01</v>
      </c>
      <c r="V725" t="s">
        <v>1561</v>
      </c>
      <c r="W725" t="s">
        <v>1561</v>
      </c>
    </row>
    <row r="726" spans="1:23">
      <c r="A726">
        <v>1725</v>
      </c>
      <c r="B726" t="s">
        <v>254</v>
      </c>
      <c r="C726" s="7">
        <v>45427</v>
      </c>
      <c r="D726" s="7">
        <v>45432</v>
      </c>
      <c r="E726" t="s">
        <v>101</v>
      </c>
      <c r="F726" t="s">
        <v>255</v>
      </c>
      <c r="G726" t="s">
        <v>1564</v>
      </c>
      <c r="H726" t="s">
        <v>51</v>
      </c>
      <c r="I726" t="s">
        <v>26</v>
      </c>
      <c r="J726" t="s">
        <v>39</v>
      </c>
      <c r="K726" t="s">
        <v>40</v>
      </c>
      <c r="L726" t="s">
        <v>29</v>
      </c>
      <c r="M726">
        <v>400001</v>
      </c>
      <c r="N726" t="s">
        <v>256</v>
      </c>
      <c r="O726" t="s">
        <v>44</v>
      </c>
      <c r="P726" t="s">
        <v>45</v>
      </c>
      <c r="Q726" t="s">
        <v>46</v>
      </c>
      <c r="R726" s="8">
        <v>86762.2</v>
      </c>
      <c r="S726">
        <v>3</v>
      </c>
      <c r="T726">
        <v>0.25</v>
      </c>
      <c r="U726" s="8">
        <v>-4972.3599999999997</v>
      </c>
      <c r="V726" t="s">
        <v>1561</v>
      </c>
      <c r="W726" t="s">
        <v>1561</v>
      </c>
    </row>
    <row r="727" spans="1:23">
      <c r="A727">
        <v>1726</v>
      </c>
      <c r="B727" t="s">
        <v>735</v>
      </c>
      <c r="C727" s="7">
        <v>45421</v>
      </c>
      <c r="D727" s="7">
        <v>45546</v>
      </c>
      <c r="E727" t="s">
        <v>101</v>
      </c>
      <c r="F727" t="s">
        <v>736</v>
      </c>
      <c r="G727" t="s">
        <v>1560</v>
      </c>
      <c r="H727" t="s">
        <v>25</v>
      </c>
      <c r="I727" t="s">
        <v>26</v>
      </c>
      <c r="J727" t="s">
        <v>160</v>
      </c>
      <c r="K727" t="s">
        <v>161</v>
      </c>
      <c r="L727" t="s">
        <v>41</v>
      </c>
      <c r="M727">
        <v>400001</v>
      </c>
      <c r="N727" t="s">
        <v>737</v>
      </c>
      <c r="O727" t="s">
        <v>55</v>
      </c>
      <c r="P727" t="s">
        <v>98</v>
      </c>
      <c r="Q727" t="s">
        <v>99</v>
      </c>
      <c r="R727" s="8">
        <v>6077.25</v>
      </c>
      <c r="S727">
        <v>1</v>
      </c>
      <c r="T727">
        <v>0.05</v>
      </c>
      <c r="U727" s="8">
        <v>820.51</v>
      </c>
      <c r="V727" t="s">
        <v>1561</v>
      </c>
      <c r="W727" t="s">
        <v>1561</v>
      </c>
    </row>
    <row r="728" spans="1:23">
      <c r="A728">
        <v>1727</v>
      </c>
      <c r="B728" t="s">
        <v>1044</v>
      </c>
      <c r="C728" s="7">
        <v>45352</v>
      </c>
      <c r="D728" s="7">
        <v>45357</v>
      </c>
      <c r="E728" t="s">
        <v>101</v>
      </c>
      <c r="F728" t="s">
        <v>102</v>
      </c>
      <c r="G728" t="s">
        <v>1573</v>
      </c>
      <c r="H728" t="s">
        <v>51</v>
      </c>
      <c r="I728" t="s">
        <v>26</v>
      </c>
      <c r="J728" t="s">
        <v>39</v>
      </c>
      <c r="K728" t="s">
        <v>40</v>
      </c>
      <c r="L728" t="s">
        <v>63</v>
      </c>
      <c r="M728">
        <v>600001</v>
      </c>
      <c r="N728" t="s">
        <v>1045</v>
      </c>
      <c r="O728" t="s">
        <v>138</v>
      </c>
      <c r="P728" t="s">
        <v>182</v>
      </c>
      <c r="Q728" t="s">
        <v>183</v>
      </c>
      <c r="R728" s="8">
        <v>381.25</v>
      </c>
      <c r="S728">
        <v>1</v>
      </c>
      <c r="T728">
        <v>0.2</v>
      </c>
      <c r="U728" s="8">
        <v>27.63</v>
      </c>
      <c r="V728" t="s">
        <v>1561</v>
      </c>
      <c r="W728" t="s">
        <v>1561</v>
      </c>
    </row>
    <row r="729" spans="1:23">
      <c r="A729">
        <v>1728</v>
      </c>
      <c r="B729" t="s">
        <v>1032</v>
      </c>
      <c r="C729" s="7">
        <v>45447</v>
      </c>
      <c r="D729" s="7">
        <v>45450</v>
      </c>
      <c r="E729" t="s">
        <v>101</v>
      </c>
      <c r="F729" t="s">
        <v>426</v>
      </c>
      <c r="G729" t="s">
        <v>1575</v>
      </c>
      <c r="H729" t="s">
        <v>51</v>
      </c>
      <c r="I729" t="s">
        <v>26</v>
      </c>
      <c r="J729" t="s">
        <v>346</v>
      </c>
      <c r="K729" t="s">
        <v>132</v>
      </c>
      <c r="L729" t="s">
        <v>92</v>
      </c>
      <c r="M729">
        <v>682001</v>
      </c>
      <c r="N729" t="s">
        <v>934</v>
      </c>
      <c r="O729" t="s">
        <v>138</v>
      </c>
      <c r="P729" t="s">
        <v>121</v>
      </c>
      <c r="Q729" t="s">
        <v>122</v>
      </c>
      <c r="R729" s="8">
        <v>961.86</v>
      </c>
      <c r="S729">
        <v>2</v>
      </c>
      <c r="T729">
        <v>0.2</v>
      </c>
      <c r="U729" s="8">
        <v>81.84</v>
      </c>
      <c r="V729" t="s">
        <v>1561</v>
      </c>
      <c r="W729" t="s">
        <v>1561</v>
      </c>
    </row>
    <row r="730" spans="1:23">
      <c r="A730">
        <v>1729</v>
      </c>
      <c r="B730" t="s">
        <v>1105</v>
      </c>
      <c r="C730" s="7">
        <v>45402</v>
      </c>
      <c r="D730" s="7">
        <v>45404</v>
      </c>
      <c r="E730" t="s">
        <v>101</v>
      </c>
      <c r="F730" t="s">
        <v>180</v>
      </c>
      <c r="G730" t="s">
        <v>1573</v>
      </c>
      <c r="H730" t="s">
        <v>51</v>
      </c>
      <c r="I730" t="s">
        <v>26</v>
      </c>
      <c r="J730" t="s">
        <v>79</v>
      </c>
      <c r="K730" t="s">
        <v>80</v>
      </c>
      <c r="L730" t="s">
        <v>63</v>
      </c>
      <c r="M730">
        <v>673001</v>
      </c>
      <c r="N730" t="s">
        <v>741</v>
      </c>
      <c r="O730" t="s">
        <v>55</v>
      </c>
      <c r="P730" t="s">
        <v>98</v>
      </c>
      <c r="Q730" t="s">
        <v>99</v>
      </c>
      <c r="R730" s="8">
        <v>33629.78</v>
      </c>
      <c r="S730">
        <v>6</v>
      </c>
      <c r="T730">
        <v>0.15</v>
      </c>
      <c r="U730" s="8">
        <v>2287.36</v>
      </c>
      <c r="V730" t="s">
        <v>1561</v>
      </c>
      <c r="W730" t="s">
        <v>1561</v>
      </c>
    </row>
    <row r="731" spans="1:23">
      <c r="A731">
        <v>1730</v>
      </c>
      <c r="B731" t="s">
        <v>937</v>
      </c>
      <c r="C731" s="7">
        <v>45464</v>
      </c>
      <c r="D731" s="7">
        <v>45468</v>
      </c>
      <c r="E731" t="s">
        <v>101</v>
      </c>
      <c r="F731" t="s">
        <v>340</v>
      </c>
      <c r="G731" t="s">
        <v>1560</v>
      </c>
      <c r="H731" t="s">
        <v>51</v>
      </c>
      <c r="I731" t="s">
        <v>26</v>
      </c>
      <c r="J731" t="s">
        <v>346</v>
      </c>
      <c r="K731" t="s">
        <v>132</v>
      </c>
      <c r="L731" t="s">
        <v>92</v>
      </c>
      <c r="M731">
        <v>110001</v>
      </c>
      <c r="N731" t="s">
        <v>938</v>
      </c>
      <c r="O731" t="s">
        <v>55</v>
      </c>
      <c r="P731" t="s">
        <v>98</v>
      </c>
      <c r="Q731" t="s">
        <v>99</v>
      </c>
      <c r="R731" s="8">
        <v>8552.39</v>
      </c>
      <c r="S731">
        <v>2</v>
      </c>
      <c r="T731">
        <v>0.3</v>
      </c>
      <c r="U731" s="8">
        <v>-323.11</v>
      </c>
      <c r="V731" t="s">
        <v>1561</v>
      </c>
      <c r="W731" t="s">
        <v>1561</v>
      </c>
    </row>
    <row r="732" spans="1:23">
      <c r="A732">
        <v>1731</v>
      </c>
      <c r="B732" t="s">
        <v>1112</v>
      </c>
      <c r="C732" s="7">
        <v>45368</v>
      </c>
      <c r="D732" s="7">
        <v>45374</v>
      </c>
      <c r="E732" t="s">
        <v>48</v>
      </c>
      <c r="F732" t="s">
        <v>185</v>
      </c>
      <c r="G732" t="s">
        <v>1575</v>
      </c>
      <c r="H732" t="s">
        <v>51</v>
      </c>
      <c r="I732" t="s">
        <v>26</v>
      </c>
      <c r="J732" t="s">
        <v>52</v>
      </c>
      <c r="K732" t="s">
        <v>52</v>
      </c>
      <c r="L732" t="s">
        <v>29</v>
      </c>
      <c r="M732">
        <v>560001</v>
      </c>
      <c r="N732" t="s">
        <v>181</v>
      </c>
      <c r="O732" t="s">
        <v>138</v>
      </c>
      <c r="P732" t="s">
        <v>156</v>
      </c>
      <c r="Q732" t="s">
        <v>157</v>
      </c>
      <c r="R732" s="8">
        <v>522.97</v>
      </c>
      <c r="S732">
        <v>2</v>
      </c>
      <c r="T732">
        <v>0.3</v>
      </c>
      <c r="U732" s="8">
        <v>2.81</v>
      </c>
      <c r="V732" t="s">
        <v>1561</v>
      </c>
      <c r="W732" t="s">
        <v>1561</v>
      </c>
    </row>
    <row r="733" spans="1:23">
      <c r="A733">
        <v>1732</v>
      </c>
      <c r="B733" t="s">
        <v>1138</v>
      </c>
      <c r="C733" s="7">
        <v>45434</v>
      </c>
      <c r="D733" s="7">
        <v>45440</v>
      </c>
      <c r="E733" t="s">
        <v>22</v>
      </c>
      <c r="F733" t="s">
        <v>295</v>
      </c>
      <c r="G733" t="s">
        <v>1571</v>
      </c>
      <c r="H733" t="s">
        <v>51</v>
      </c>
      <c r="I733" t="s">
        <v>26</v>
      </c>
      <c r="J733" t="s">
        <v>109</v>
      </c>
      <c r="K733" t="s">
        <v>110</v>
      </c>
      <c r="L733" t="s">
        <v>41</v>
      </c>
      <c r="M733">
        <v>600001</v>
      </c>
      <c r="N733" t="s">
        <v>1139</v>
      </c>
      <c r="O733" t="s">
        <v>55</v>
      </c>
      <c r="P733" t="s">
        <v>56</v>
      </c>
      <c r="Q733" t="s">
        <v>57</v>
      </c>
      <c r="R733" s="8">
        <v>33059.300000000003</v>
      </c>
      <c r="S733">
        <v>7</v>
      </c>
      <c r="T733">
        <v>0.3</v>
      </c>
      <c r="U733" s="8">
        <v>-1248.3900000000001</v>
      </c>
      <c r="V733" t="s">
        <v>1561</v>
      </c>
      <c r="W733" t="s">
        <v>1561</v>
      </c>
    </row>
    <row r="734" spans="1:23">
      <c r="A734">
        <v>1733</v>
      </c>
      <c r="B734" t="s">
        <v>1133</v>
      </c>
      <c r="C734" s="7">
        <v>45621</v>
      </c>
      <c r="D734" s="7">
        <v>45626</v>
      </c>
      <c r="E734" t="s">
        <v>22</v>
      </c>
      <c r="F734" t="s">
        <v>355</v>
      </c>
      <c r="G734" t="s">
        <v>1574</v>
      </c>
      <c r="H734" t="s">
        <v>25</v>
      </c>
      <c r="I734" t="s">
        <v>26</v>
      </c>
      <c r="J734" t="s">
        <v>27</v>
      </c>
      <c r="K734" t="s">
        <v>28</v>
      </c>
      <c r="L734" t="s">
        <v>41</v>
      </c>
      <c r="M734">
        <v>600001</v>
      </c>
      <c r="N734" t="s">
        <v>1134</v>
      </c>
      <c r="O734" t="s">
        <v>83</v>
      </c>
      <c r="P734" t="s">
        <v>84</v>
      </c>
      <c r="Q734" t="s">
        <v>85</v>
      </c>
      <c r="R734" s="8">
        <v>10367.1</v>
      </c>
      <c r="S734">
        <v>3</v>
      </c>
      <c r="T734">
        <v>0</v>
      </c>
      <c r="U734" s="8">
        <v>2006.31</v>
      </c>
      <c r="V734" t="s">
        <v>1561</v>
      </c>
      <c r="W734" t="s">
        <v>1561</v>
      </c>
    </row>
    <row r="735" spans="1:23">
      <c r="A735">
        <v>1734</v>
      </c>
      <c r="B735" t="s">
        <v>1063</v>
      </c>
      <c r="C735" s="7">
        <v>45629</v>
      </c>
      <c r="D735" s="7">
        <v>45634</v>
      </c>
      <c r="E735" t="s">
        <v>69</v>
      </c>
      <c r="F735" t="s">
        <v>701</v>
      </c>
      <c r="G735" t="s">
        <v>1570</v>
      </c>
      <c r="H735" t="s">
        <v>51</v>
      </c>
      <c r="I735" t="s">
        <v>26</v>
      </c>
      <c r="J735" t="s">
        <v>72</v>
      </c>
      <c r="K735" t="s">
        <v>73</v>
      </c>
      <c r="L735" t="s">
        <v>92</v>
      </c>
      <c r="M735">
        <v>682001</v>
      </c>
      <c r="N735" t="s">
        <v>674</v>
      </c>
      <c r="O735" t="s">
        <v>83</v>
      </c>
      <c r="P735" t="s">
        <v>84</v>
      </c>
      <c r="Q735" t="s">
        <v>85</v>
      </c>
      <c r="R735" s="8">
        <v>20665.88</v>
      </c>
      <c r="S735">
        <v>6</v>
      </c>
      <c r="T735">
        <v>0</v>
      </c>
      <c r="U735" s="8">
        <v>4925.99</v>
      </c>
      <c r="V735" t="s">
        <v>1561</v>
      </c>
      <c r="W735" t="s">
        <v>1561</v>
      </c>
    </row>
    <row r="736" spans="1:23">
      <c r="A736">
        <v>1735</v>
      </c>
      <c r="B736" t="s">
        <v>1263</v>
      </c>
      <c r="C736" s="7">
        <v>45497</v>
      </c>
      <c r="D736" s="7">
        <v>45502</v>
      </c>
      <c r="E736" t="s">
        <v>22</v>
      </c>
      <c r="F736" t="s">
        <v>135</v>
      </c>
      <c r="G736" t="s">
        <v>1572</v>
      </c>
      <c r="H736" t="s">
        <v>108</v>
      </c>
      <c r="I736" t="s">
        <v>26</v>
      </c>
      <c r="J736" t="s">
        <v>160</v>
      </c>
      <c r="K736" t="s">
        <v>161</v>
      </c>
      <c r="L736" t="s">
        <v>41</v>
      </c>
      <c r="M736">
        <v>695001</v>
      </c>
      <c r="N736" t="s">
        <v>966</v>
      </c>
      <c r="O736" t="s">
        <v>188</v>
      </c>
      <c r="P736" t="s">
        <v>189</v>
      </c>
      <c r="Q736" t="s">
        <v>386</v>
      </c>
      <c r="R736" s="8">
        <v>3728.81</v>
      </c>
      <c r="S736">
        <v>2</v>
      </c>
      <c r="T736">
        <v>0.2</v>
      </c>
      <c r="U736" s="8">
        <v>-149.15</v>
      </c>
      <c r="V736" t="s">
        <v>1561</v>
      </c>
      <c r="W736" t="s">
        <v>1561</v>
      </c>
    </row>
    <row r="737" spans="1:23">
      <c r="A737">
        <v>1736</v>
      </c>
      <c r="B737" t="s">
        <v>451</v>
      </c>
      <c r="C737" s="7">
        <v>45423</v>
      </c>
      <c r="D737" s="7">
        <v>45424</v>
      </c>
      <c r="E737" t="s">
        <v>22</v>
      </c>
      <c r="F737" t="s">
        <v>452</v>
      </c>
      <c r="G737" t="s">
        <v>1568</v>
      </c>
      <c r="H737" t="s">
        <v>51</v>
      </c>
      <c r="I737" t="s">
        <v>26</v>
      </c>
      <c r="J737" t="s">
        <v>166</v>
      </c>
      <c r="K737" t="s">
        <v>132</v>
      </c>
      <c r="L737" t="s">
        <v>92</v>
      </c>
      <c r="M737">
        <v>695001</v>
      </c>
      <c r="N737" t="s">
        <v>453</v>
      </c>
      <c r="O737" t="s">
        <v>55</v>
      </c>
      <c r="P737" t="s">
        <v>98</v>
      </c>
      <c r="Q737" t="s">
        <v>99</v>
      </c>
      <c r="R737" s="8">
        <v>14554.41</v>
      </c>
      <c r="S737">
        <v>3</v>
      </c>
      <c r="T737">
        <v>0.25</v>
      </c>
      <c r="U737" s="8">
        <v>-40.72</v>
      </c>
      <c r="V737" t="s">
        <v>1561</v>
      </c>
      <c r="W737" t="s">
        <v>1561</v>
      </c>
    </row>
    <row r="738" spans="1:23">
      <c r="A738">
        <v>1737</v>
      </c>
      <c r="B738" t="s">
        <v>918</v>
      </c>
      <c r="C738" s="7">
        <v>45639</v>
      </c>
      <c r="D738" s="7">
        <v>45641</v>
      </c>
      <c r="E738" t="s">
        <v>22</v>
      </c>
      <c r="F738" t="s">
        <v>113</v>
      </c>
      <c r="G738" t="s">
        <v>1563</v>
      </c>
      <c r="H738" t="s">
        <v>25</v>
      </c>
      <c r="I738" t="s">
        <v>26</v>
      </c>
      <c r="J738" t="s">
        <v>166</v>
      </c>
      <c r="K738" t="s">
        <v>132</v>
      </c>
      <c r="L738" t="s">
        <v>92</v>
      </c>
      <c r="M738">
        <v>673001</v>
      </c>
      <c r="N738" t="s">
        <v>706</v>
      </c>
      <c r="O738" t="s">
        <v>55</v>
      </c>
      <c r="P738" t="s">
        <v>66</v>
      </c>
      <c r="Q738" t="s">
        <v>67</v>
      </c>
      <c r="R738" s="8">
        <v>6761.09</v>
      </c>
      <c r="S738">
        <v>1</v>
      </c>
      <c r="T738">
        <v>0.25</v>
      </c>
      <c r="U738" s="8">
        <v>-16.09</v>
      </c>
      <c r="V738" t="s">
        <v>1561</v>
      </c>
      <c r="W738" t="s">
        <v>1561</v>
      </c>
    </row>
    <row r="739" spans="1:23">
      <c r="A739">
        <v>1738</v>
      </c>
      <c r="B739" t="s">
        <v>1387</v>
      </c>
      <c r="C739" s="7">
        <v>45457</v>
      </c>
      <c r="D739" s="7">
        <v>45460</v>
      </c>
      <c r="E739" t="s">
        <v>101</v>
      </c>
      <c r="F739" t="s">
        <v>247</v>
      </c>
      <c r="G739" t="s">
        <v>1567</v>
      </c>
      <c r="H739" t="s">
        <v>51</v>
      </c>
      <c r="I739" t="s">
        <v>26</v>
      </c>
      <c r="J739" t="s">
        <v>346</v>
      </c>
      <c r="K739" t="s">
        <v>132</v>
      </c>
      <c r="L739" t="s">
        <v>41</v>
      </c>
      <c r="M739">
        <v>673001</v>
      </c>
      <c r="N739" t="s">
        <v>303</v>
      </c>
      <c r="O739" t="s">
        <v>55</v>
      </c>
      <c r="P739" t="s">
        <v>66</v>
      </c>
      <c r="Q739" t="s">
        <v>67</v>
      </c>
      <c r="R739" s="8">
        <v>12397.15</v>
      </c>
      <c r="S739">
        <v>2</v>
      </c>
      <c r="T739">
        <v>0.25</v>
      </c>
      <c r="U739" s="8">
        <v>-33.590000000000003</v>
      </c>
      <c r="V739" t="s">
        <v>1561</v>
      </c>
      <c r="W739" t="s">
        <v>1561</v>
      </c>
    </row>
    <row r="740" spans="1:23">
      <c r="A740">
        <v>1739</v>
      </c>
      <c r="B740" t="s">
        <v>467</v>
      </c>
      <c r="C740" s="7">
        <v>45350</v>
      </c>
      <c r="D740" s="7">
        <v>45353</v>
      </c>
      <c r="E740" t="s">
        <v>22</v>
      </c>
      <c r="F740" t="s">
        <v>468</v>
      </c>
      <c r="G740" t="s">
        <v>1562</v>
      </c>
      <c r="H740" t="s">
        <v>25</v>
      </c>
      <c r="I740" t="s">
        <v>26</v>
      </c>
      <c r="J740" t="s">
        <v>72</v>
      </c>
      <c r="K740" t="s">
        <v>73</v>
      </c>
      <c r="L740" t="s">
        <v>29</v>
      </c>
      <c r="M740">
        <v>673001</v>
      </c>
      <c r="N740" t="s">
        <v>469</v>
      </c>
      <c r="O740" t="s">
        <v>83</v>
      </c>
      <c r="P740" t="s">
        <v>84</v>
      </c>
      <c r="Q740" t="s">
        <v>85</v>
      </c>
      <c r="R740" s="8">
        <v>2518.21</v>
      </c>
      <c r="S740">
        <v>1</v>
      </c>
      <c r="T740">
        <v>0.25</v>
      </c>
      <c r="U740" s="8">
        <v>249.24</v>
      </c>
      <c r="V740" t="s">
        <v>1561</v>
      </c>
      <c r="W740" t="s">
        <v>1561</v>
      </c>
    </row>
    <row r="741" spans="1:23">
      <c r="A741">
        <v>1740</v>
      </c>
      <c r="B741" t="s">
        <v>1123</v>
      </c>
      <c r="C741" s="7">
        <v>45429</v>
      </c>
      <c r="D741" s="7">
        <v>45434</v>
      </c>
      <c r="E741" t="s">
        <v>22</v>
      </c>
      <c r="F741" t="s">
        <v>1124</v>
      </c>
      <c r="G741" t="s">
        <v>1575</v>
      </c>
      <c r="H741" t="s">
        <v>25</v>
      </c>
      <c r="I741" t="s">
        <v>26</v>
      </c>
      <c r="J741" t="s">
        <v>346</v>
      </c>
      <c r="K741" t="s">
        <v>132</v>
      </c>
      <c r="L741" t="s">
        <v>92</v>
      </c>
      <c r="M741">
        <v>695001</v>
      </c>
      <c r="N741" t="s">
        <v>1125</v>
      </c>
      <c r="O741" t="s">
        <v>55</v>
      </c>
      <c r="P741" t="s">
        <v>98</v>
      </c>
      <c r="Q741" t="s">
        <v>99</v>
      </c>
      <c r="R741" s="8">
        <v>40229.769999999997</v>
      </c>
      <c r="S741">
        <v>6</v>
      </c>
      <c r="T741">
        <v>0</v>
      </c>
      <c r="U741" s="8">
        <v>6229.45</v>
      </c>
      <c r="V741" t="s">
        <v>1561</v>
      </c>
      <c r="W741" t="s">
        <v>1561</v>
      </c>
    </row>
    <row r="742" spans="1:23">
      <c r="A742">
        <v>1741</v>
      </c>
      <c r="B742" t="s">
        <v>1458</v>
      </c>
      <c r="C742" s="7">
        <v>45364</v>
      </c>
      <c r="D742" s="7">
        <v>45367</v>
      </c>
      <c r="E742" t="s">
        <v>69</v>
      </c>
      <c r="F742" t="s">
        <v>274</v>
      </c>
      <c r="G742" t="s">
        <v>1565</v>
      </c>
      <c r="H742" t="s">
        <v>51</v>
      </c>
      <c r="I742" t="s">
        <v>26</v>
      </c>
      <c r="J742" t="s">
        <v>109</v>
      </c>
      <c r="K742" t="s">
        <v>110</v>
      </c>
      <c r="L742" t="s">
        <v>29</v>
      </c>
      <c r="M742">
        <v>600001</v>
      </c>
      <c r="N742" t="s">
        <v>1459</v>
      </c>
      <c r="O742" t="s">
        <v>138</v>
      </c>
      <c r="P742" t="s">
        <v>182</v>
      </c>
      <c r="Q742" t="s">
        <v>183</v>
      </c>
      <c r="R742" s="8">
        <v>1276.79</v>
      </c>
      <c r="S742">
        <v>3</v>
      </c>
      <c r="T742">
        <v>0.1</v>
      </c>
      <c r="U742" s="8">
        <v>139.63999999999999</v>
      </c>
      <c r="V742" t="s">
        <v>1561</v>
      </c>
      <c r="W742" t="s">
        <v>1561</v>
      </c>
    </row>
    <row r="743" spans="1:23">
      <c r="A743">
        <v>1742</v>
      </c>
      <c r="B743" t="s">
        <v>344</v>
      </c>
      <c r="C743" s="7">
        <v>45626</v>
      </c>
      <c r="D743" s="7">
        <v>45628</v>
      </c>
      <c r="E743" t="s">
        <v>22</v>
      </c>
      <c r="F743" t="s">
        <v>345</v>
      </c>
      <c r="G743" t="s">
        <v>1567</v>
      </c>
      <c r="H743" t="s">
        <v>25</v>
      </c>
      <c r="I743" t="s">
        <v>26</v>
      </c>
      <c r="J743" t="s">
        <v>346</v>
      </c>
      <c r="K743" t="s">
        <v>132</v>
      </c>
      <c r="L743" t="s">
        <v>29</v>
      </c>
      <c r="M743">
        <v>695001</v>
      </c>
      <c r="N743" t="s">
        <v>347</v>
      </c>
      <c r="O743" t="s">
        <v>44</v>
      </c>
      <c r="P743" t="s">
        <v>207</v>
      </c>
      <c r="Q743" t="s">
        <v>208</v>
      </c>
      <c r="R743" s="8">
        <v>311602.39</v>
      </c>
      <c r="S743">
        <v>12</v>
      </c>
      <c r="T743">
        <v>0.15</v>
      </c>
      <c r="U743" s="8">
        <v>2932.49</v>
      </c>
      <c r="V743" t="s">
        <v>1561</v>
      </c>
      <c r="W743" t="s">
        <v>1583</v>
      </c>
    </row>
    <row r="744" spans="1:23">
      <c r="A744">
        <v>1743</v>
      </c>
      <c r="B744" t="s">
        <v>815</v>
      </c>
      <c r="C744" s="7">
        <v>45591</v>
      </c>
      <c r="D744" s="7">
        <v>45596</v>
      </c>
      <c r="E744" t="s">
        <v>48</v>
      </c>
      <c r="F744" t="s">
        <v>517</v>
      </c>
      <c r="G744" t="s">
        <v>1571</v>
      </c>
      <c r="H744" t="s">
        <v>25</v>
      </c>
      <c r="I744" t="s">
        <v>26</v>
      </c>
      <c r="J744" t="s">
        <v>115</v>
      </c>
      <c r="K744" t="s">
        <v>116</v>
      </c>
      <c r="L744" t="s">
        <v>41</v>
      </c>
      <c r="M744">
        <v>695001</v>
      </c>
      <c r="N744" t="s">
        <v>816</v>
      </c>
      <c r="O744" t="s">
        <v>188</v>
      </c>
      <c r="P744" t="s">
        <v>189</v>
      </c>
      <c r="Q744" t="s">
        <v>386</v>
      </c>
      <c r="R744" s="8">
        <v>15395.43</v>
      </c>
      <c r="S744">
        <v>8</v>
      </c>
      <c r="T744">
        <v>0.1</v>
      </c>
      <c r="U744" s="8">
        <v>933.89</v>
      </c>
      <c r="V744" t="s">
        <v>1561</v>
      </c>
      <c r="W744" t="s">
        <v>1561</v>
      </c>
    </row>
    <row r="745" spans="1:23">
      <c r="A745">
        <v>1744</v>
      </c>
      <c r="B745" t="s">
        <v>1054</v>
      </c>
      <c r="C745" s="7">
        <v>45513</v>
      </c>
      <c r="D745" s="7">
        <v>45515</v>
      </c>
      <c r="E745" t="s">
        <v>48</v>
      </c>
      <c r="F745" t="s">
        <v>373</v>
      </c>
      <c r="G745" t="s">
        <v>1566</v>
      </c>
      <c r="H745" t="s">
        <v>51</v>
      </c>
      <c r="I745" t="s">
        <v>26</v>
      </c>
      <c r="J745" t="s">
        <v>109</v>
      </c>
      <c r="K745" t="s">
        <v>110</v>
      </c>
      <c r="L745" t="s">
        <v>63</v>
      </c>
      <c r="M745">
        <v>400001</v>
      </c>
      <c r="N745" t="s">
        <v>1055</v>
      </c>
      <c r="O745" t="s">
        <v>83</v>
      </c>
      <c r="P745" t="s">
        <v>33</v>
      </c>
      <c r="Q745" t="s">
        <v>34</v>
      </c>
      <c r="R745" s="8">
        <v>1170.23</v>
      </c>
      <c r="S745">
        <v>1</v>
      </c>
      <c r="T745">
        <v>0.15</v>
      </c>
      <c r="U745" s="8">
        <v>195.9</v>
      </c>
      <c r="V745" t="s">
        <v>1561</v>
      </c>
      <c r="W745" t="s">
        <v>1561</v>
      </c>
    </row>
    <row r="746" spans="1:23">
      <c r="A746">
        <v>1745</v>
      </c>
      <c r="B746" t="s">
        <v>251</v>
      </c>
      <c r="C746" s="7">
        <v>45466</v>
      </c>
      <c r="D746" s="7">
        <v>45468</v>
      </c>
      <c r="E746" t="s">
        <v>101</v>
      </c>
      <c r="F746" t="s">
        <v>146</v>
      </c>
      <c r="G746" t="s">
        <v>1563</v>
      </c>
      <c r="H746" t="s">
        <v>51</v>
      </c>
      <c r="I746" t="s">
        <v>26</v>
      </c>
      <c r="J746" t="s">
        <v>27</v>
      </c>
      <c r="K746" t="s">
        <v>28</v>
      </c>
      <c r="L746" t="s">
        <v>41</v>
      </c>
      <c r="M746">
        <v>400001</v>
      </c>
      <c r="N746" t="s">
        <v>252</v>
      </c>
      <c r="O746" t="s">
        <v>83</v>
      </c>
      <c r="P746" t="s">
        <v>33</v>
      </c>
      <c r="Q746" t="s">
        <v>34</v>
      </c>
      <c r="R746" s="8">
        <v>1100.03</v>
      </c>
      <c r="S746">
        <v>1</v>
      </c>
      <c r="T746">
        <v>0.2</v>
      </c>
      <c r="U746" s="8">
        <v>128.62</v>
      </c>
      <c r="V746" t="s">
        <v>1561</v>
      </c>
      <c r="W746" t="s">
        <v>1561</v>
      </c>
    </row>
    <row r="747" spans="1:23">
      <c r="A747">
        <v>1746</v>
      </c>
      <c r="B747" t="s">
        <v>888</v>
      </c>
      <c r="C747" s="7">
        <v>45636</v>
      </c>
      <c r="D747" s="7">
        <v>45638</v>
      </c>
      <c r="E747" t="s">
        <v>101</v>
      </c>
      <c r="F747" t="s">
        <v>142</v>
      </c>
      <c r="G747" t="s">
        <v>1567</v>
      </c>
      <c r="H747" t="s">
        <v>51</v>
      </c>
      <c r="I747" t="s">
        <v>26</v>
      </c>
      <c r="J747" t="s">
        <v>90</v>
      </c>
      <c r="K747" t="s">
        <v>91</v>
      </c>
      <c r="L747" t="s">
        <v>29</v>
      </c>
      <c r="M747">
        <v>110001</v>
      </c>
      <c r="N747" t="s">
        <v>889</v>
      </c>
      <c r="O747" t="s">
        <v>188</v>
      </c>
      <c r="P747" t="s">
        <v>189</v>
      </c>
      <c r="Q747" t="s">
        <v>190</v>
      </c>
      <c r="R747" s="8">
        <v>16669.32</v>
      </c>
      <c r="S747">
        <v>3</v>
      </c>
      <c r="T747">
        <v>0</v>
      </c>
      <c r="U747" s="8">
        <v>2029.68</v>
      </c>
      <c r="V747" t="s">
        <v>1561</v>
      </c>
      <c r="W747" t="s">
        <v>1561</v>
      </c>
    </row>
    <row r="748" spans="1:23">
      <c r="A748">
        <v>1747</v>
      </c>
      <c r="B748" t="s">
        <v>1298</v>
      </c>
      <c r="C748" s="7">
        <v>45567</v>
      </c>
      <c r="D748" s="7">
        <v>45568</v>
      </c>
      <c r="E748" t="s">
        <v>101</v>
      </c>
      <c r="F748" t="s">
        <v>375</v>
      </c>
      <c r="G748" t="s">
        <v>1573</v>
      </c>
      <c r="H748" t="s">
        <v>25</v>
      </c>
      <c r="I748" t="s">
        <v>26</v>
      </c>
      <c r="J748" t="s">
        <v>52</v>
      </c>
      <c r="K748" t="s">
        <v>52</v>
      </c>
      <c r="L748" t="s">
        <v>63</v>
      </c>
      <c r="M748">
        <v>110001</v>
      </c>
      <c r="N748" t="s">
        <v>1299</v>
      </c>
      <c r="O748" t="s">
        <v>44</v>
      </c>
      <c r="P748" t="s">
        <v>45</v>
      </c>
      <c r="Q748" t="s">
        <v>46</v>
      </c>
      <c r="R748" s="8">
        <v>103287.22</v>
      </c>
      <c r="S748">
        <v>3</v>
      </c>
      <c r="T748">
        <v>0</v>
      </c>
      <c r="U748" s="8">
        <v>8937.01</v>
      </c>
      <c r="V748" t="s">
        <v>1561</v>
      </c>
      <c r="W748" t="s">
        <v>1561</v>
      </c>
    </row>
    <row r="749" spans="1:23">
      <c r="A749">
        <v>1748</v>
      </c>
      <c r="B749" t="s">
        <v>954</v>
      </c>
      <c r="C749" s="7">
        <v>45355</v>
      </c>
      <c r="D749" s="7">
        <v>45359</v>
      </c>
      <c r="E749" t="s">
        <v>48</v>
      </c>
      <c r="F749" t="s">
        <v>242</v>
      </c>
      <c r="G749" t="s">
        <v>1565</v>
      </c>
      <c r="H749" t="s">
        <v>51</v>
      </c>
      <c r="I749" t="s">
        <v>26</v>
      </c>
      <c r="J749" t="s">
        <v>61</v>
      </c>
      <c r="K749" t="s">
        <v>62</v>
      </c>
      <c r="L749" t="s">
        <v>29</v>
      </c>
      <c r="M749">
        <v>673001</v>
      </c>
      <c r="N749" t="s">
        <v>955</v>
      </c>
      <c r="O749" t="s">
        <v>138</v>
      </c>
      <c r="P749" t="s">
        <v>139</v>
      </c>
      <c r="Q749" t="s">
        <v>140</v>
      </c>
      <c r="R749" s="8">
        <v>965.72</v>
      </c>
      <c r="S749">
        <v>1</v>
      </c>
      <c r="T749">
        <v>0</v>
      </c>
      <c r="U749" s="8">
        <v>209.39</v>
      </c>
      <c r="V749" t="s">
        <v>1561</v>
      </c>
      <c r="W749" t="s">
        <v>1561</v>
      </c>
    </row>
    <row r="750" spans="1:23">
      <c r="A750">
        <v>1749</v>
      </c>
      <c r="B750" t="s">
        <v>413</v>
      </c>
      <c r="C750" s="7">
        <v>45390</v>
      </c>
      <c r="D750" s="7">
        <v>45391</v>
      </c>
      <c r="E750" t="s">
        <v>48</v>
      </c>
      <c r="F750" t="s">
        <v>414</v>
      </c>
      <c r="G750" t="s">
        <v>1560</v>
      </c>
      <c r="H750" t="s">
        <v>25</v>
      </c>
      <c r="I750" t="s">
        <v>26</v>
      </c>
      <c r="J750" t="s">
        <v>160</v>
      </c>
      <c r="K750" t="s">
        <v>161</v>
      </c>
      <c r="L750" t="s">
        <v>92</v>
      </c>
      <c r="M750">
        <v>682001</v>
      </c>
      <c r="N750" t="s">
        <v>415</v>
      </c>
      <c r="O750" t="s">
        <v>44</v>
      </c>
      <c r="P750" t="s">
        <v>207</v>
      </c>
      <c r="Q750" t="s">
        <v>208</v>
      </c>
      <c r="R750" s="8">
        <v>169581.31</v>
      </c>
      <c r="S750">
        <v>4</v>
      </c>
      <c r="T750">
        <v>0.2</v>
      </c>
      <c r="U750" s="8">
        <v>-3329.72</v>
      </c>
      <c r="V750" t="s">
        <v>1561</v>
      </c>
      <c r="W750" t="s">
        <v>1561</v>
      </c>
    </row>
    <row r="751" spans="1:23">
      <c r="A751">
        <v>1750</v>
      </c>
      <c r="B751" t="s">
        <v>865</v>
      </c>
      <c r="C751" s="7">
        <v>45295</v>
      </c>
      <c r="D751" s="7">
        <v>45297</v>
      </c>
      <c r="E751" t="s">
        <v>101</v>
      </c>
      <c r="F751" t="s">
        <v>102</v>
      </c>
      <c r="G751" t="s">
        <v>1572</v>
      </c>
      <c r="H751" t="s">
        <v>51</v>
      </c>
      <c r="I751" t="s">
        <v>26</v>
      </c>
      <c r="J751" t="s">
        <v>226</v>
      </c>
      <c r="K751" t="s">
        <v>110</v>
      </c>
      <c r="L751" t="s">
        <v>92</v>
      </c>
      <c r="M751">
        <v>600001</v>
      </c>
      <c r="N751" t="s">
        <v>349</v>
      </c>
      <c r="O751" t="s">
        <v>44</v>
      </c>
      <c r="P751" t="s">
        <v>207</v>
      </c>
      <c r="Q751" t="s">
        <v>208</v>
      </c>
      <c r="R751" s="8">
        <v>275399.02</v>
      </c>
      <c r="S751">
        <v>6</v>
      </c>
      <c r="T751">
        <v>0.1</v>
      </c>
      <c r="U751" s="8">
        <v>14644.34</v>
      </c>
      <c r="V751" t="s">
        <v>1561</v>
      </c>
      <c r="W751" t="s">
        <v>1561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932DF-4B53-4E62-9C02-0A1B40E56B79}">
  <dimension ref="A1:N754"/>
  <sheetViews>
    <sheetView workbookViewId="0">
      <selection activeCell="E14" sqref="E14"/>
    </sheetView>
  </sheetViews>
  <sheetFormatPr defaultRowHeight="14.4"/>
  <cols>
    <col min="1" max="1" width="15.109375" bestFit="1" customWidth="1"/>
    <col min="2" max="2" width="14.21875" bestFit="1" customWidth="1"/>
    <col min="4" max="4" width="10.77734375" bestFit="1" customWidth="1"/>
    <col min="5" max="5" width="14.21875" bestFit="1" customWidth="1"/>
    <col min="7" max="7" width="11.33203125" bestFit="1" customWidth="1"/>
    <col min="8" max="8" width="12.109375" bestFit="1" customWidth="1"/>
    <col min="10" max="10" width="15.109375" bestFit="1" customWidth="1"/>
    <col min="11" max="11" width="14.88671875" bestFit="1" customWidth="1"/>
    <col min="13" max="13" width="15.109375" bestFit="1" customWidth="1"/>
    <col min="14" max="14" width="15.88671875" bestFit="1" customWidth="1"/>
  </cols>
  <sheetData>
    <row r="1" spans="1:14">
      <c r="A1" s="9" t="s">
        <v>14</v>
      </c>
      <c r="B1" t="s">
        <v>1587</v>
      </c>
      <c r="D1" s="9" t="s">
        <v>11</v>
      </c>
      <c r="E1" t="s">
        <v>1587</v>
      </c>
      <c r="G1" s="9" t="s">
        <v>7</v>
      </c>
      <c r="H1" t="s">
        <v>1588</v>
      </c>
      <c r="J1" s="9" t="s">
        <v>14</v>
      </c>
      <c r="K1" t="s">
        <v>1589</v>
      </c>
      <c r="M1" s="9" t="s">
        <v>1585</v>
      </c>
      <c r="N1" t="s">
        <v>1590</v>
      </c>
    </row>
    <row r="2" spans="1:14">
      <c r="A2" s="10" t="s">
        <v>83</v>
      </c>
      <c r="B2" s="11">
        <v>757185.97</v>
      </c>
      <c r="D2" s="10" t="s">
        <v>29</v>
      </c>
      <c r="E2" s="11">
        <v>4836233.8100000015</v>
      </c>
      <c r="G2" s="10" t="s">
        <v>51</v>
      </c>
      <c r="H2" s="11">
        <v>509235.26999999979</v>
      </c>
      <c r="J2" s="10" t="s">
        <v>83</v>
      </c>
      <c r="K2" s="15">
        <v>355</v>
      </c>
      <c r="M2" s="10" t="s">
        <v>864</v>
      </c>
      <c r="N2" s="15">
        <v>1</v>
      </c>
    </row>
    <row r="3" spans="1:14">
      <c r="A3" s="10" t="s">
        <v>44</v>
      </c>
      <c r="B3" s="11">
        <v>13711838.059999991</v>
      </c>
      <c r="D3" s="10" t="s">
        <v>63</v>
      </c>
      <c r="E3" s="11">
        <v>3972680.4600000014</v>
      </c>
      <c r="G3" s="10" t="s">
        <v>25</v>
      </c>
      <c r="H3" s="11">
        <v>293021.39999999985</v>
      </c>
      <c r="J3" s="10" t="s">
        <v>44</v>
      </c>
      <c r="K3" s="15">
        <v>600</v>
      </c>
      <c r="M3" s="10" t="s">
        <v>1425</v>
      </c>
      <c r="N3" s="15">
        <v>1</v>
      </c>
    </row>
    <row r="4" spans="1:14">
      <c r="A4" s="10" t="s">
        <v>55</v>
      </c>
      <c r="B4" s="11">
        <v>3314942.6499999994</v>
      </c>
      <c r="D4" s="10" t="s">
        <v>41</v>
      </c>
      <c r="E4" s="11">
        <v>4957758.6099999994</v>
      </c>
      <c r="G4" s="10" t="s">
        <v>108</v>
      </c>
      <c r="H4" s="11">
        <v>155047.87000000008</v>
      </c>
      <c r="J4" s="10" t="s">
        <v>55</v>
      </c>
      <c r="K4" s="15">
        <v>520</v>
      </c>
      <c r="M4" s="10" t="s">
        <v>416</v>
      </c>
      <c r="N4" s="15">
        <v>1</v>
      </c>
    </row>
    <row r="5" spans="1:14">
      <c r="A5" s="10" t="s">
        <v>188</v>
      </c>
      <c r="B5" s="11">
        <v>773774.10000000033</v>
      </c>
      <c r="D5" s="10" t="s">
        <v>92</v>
      </c>
      <c r="E5" s="11">
        <v>6127562.8200000003</v>
      </c>
      <c r="G5" s="10" t="s">
        <v>1586</v>
      </c>
      <c r="H5" s="11">
        <v>957304.5399999998</v>
      </c>
      <c r="J5" s="10" t="s">
        <v>188</v>
      </c>
      <c r="K5" s="15">
        <v>206</v>
      </c>
      <c r="M5" s="10" t="s">
        <v>1065</v>
      </c>
      <c r="N5" s="15">
        <v>1</v>
      </c>
    </row>
    <row r="6" spans="1:14">
      <c r="A6" s="10" t="s">
        <v>138</v>
      </c>
      <c r="B6" s="11">
        <v>1336494.9200000004</v>
      </c>
      <c r="D6" s="10" t="s">
        <v>1586</v>
      </c>
      <c r="E6" s="11">
        <v>19894235.700000003</v>
      </c>
      <c r="J6" s="10" t="s">
        <v>138</v>
      </c>
      <c r="K6" s="15">
        <v>696</v>
      </c>
      <c r="M6" s="10" t="s">
        <v>1340</v>
      </c>
      <c r="N6" s="15">
        <v>1</v>
      </c>
    </row>
    <row r="7" spans="1:14">
      <c r="A7" s="10" t="s">
        <v>1586</v>
      </c>
      <c r="B7" s="11">
        <v>19894235.699999996</v>
      </c>
      <c r="J7" s="10" t="s">
        <v>1586</v>
      </c>
      <c r="K7" s="15">
        <v>2377</v>
      </c>
      <c r="M7" s="10" t="s">
        <v>1053</v>
      </c>
      <c r="N7" s="15">
        <v>1</v>
      </c>
    </row>
    <row r="8" spans="1:14">
      <c r="H8" s="13">
        <f>GETPIVOTDATA("Profit",$G$1)</f>
        <v>957304.5399999998</v>
      </c>
      <c r="M8" s="10" t="s">
        <v>561</v>
      </c>
      <c r="N8" s="15">
        <v>1</v>
      </c>
    </row>
    <row r="9" spans="1:14">
      <c r="E9" s="13"/>
      <c r="K9">
        <f>GETPIVOTDATA("Quantity",$J$1)</f>
        <v>2377</v>
      </c>
      <c r="M9" s="10" t="s">
        <v>382</v>
      </c>
      <c r="N9" s="15">
        <v>1</v>
      </c>
    </row>
    <row r="10" spans="1:14">
      <c r="B10" s="13">
        <f>GETPIVOTDATA("Sales",$A$1)</f>
        <v>19894235.699999996</v>
      </c>
      <c r="M10" s="10" t="s">
        <v>1190</v>
      </c>
      <c r="N10" s="15">
        <v>1</v>
      </c>
    </row>
    <row r="11" spans="1:14">
      <c r="M11" s="10" t="s">
        <v>806</v>
      </c>
      <c r="N11" s="15">
        <v>1</v>
      </c>
    </row>
    <row r="12" spans="1:14">
      <c r="M12" s="10" t="s">
        <v>287</v>
      </c>
      <c r="N12" s="15">
        <v>1</v>
      </c>
    </row>
    <row r="13" spans="1:14">
      <c r="M13" s="10" t="s">
        <v>753</v>
      </c>
      <c r="N13" s="15">
        <v>1</v>
      </c>
    </row>
    <row r="14" spans="1:14">
      <c r="M14" s="10" t="s">
        <v>979</v>
      </c>
      <c r="N14" s="15">
        <v>1</v>
      </c>
    </row>
    <row r="15" spans="1:14">
      <c r="M15" s="10" t="s">
        <v>1446</v>
      </c>
      <c r="N15" s="15">
        <v>1</v>
      </c>
    </row>
    <row r="16" spans="1:14">
      <c r="M16" s="10" t="s">
        <v>1391</v>
      </c>
      <c r="N16" s="15">
        <v>1</v>
      </c>
    </row>
    <row r="17" spans="13:14">
      <c r="M17" s="10" t="s">
        <v>787</v>
      </c>
      <c r="N17" s="15">
        <v>1</v>
      </c>
    </row>
    <row r="18" spans="13:14">
      <c r="M18" s="10" t="s">
        <v>1061</v>
      </c>
      <c r="N18" s="15">
        <v>1</v>
      </c>
    </row>
    <row r="19" spans="13:14">
      <c r="M19" s="10" t="s">
        <v>1023</v>
      </c>
      <c r="N19" s="15">
        <v>1</v>
      </c>
    </row>
    <row r="20" spans="13:14">
      <c r="M20" s="10" t="s">
        <v>639</v>
      </c>
      <c r="N20" s="15">
        <v>1</v>
      </c>
    </row>
    <row r="21" spans="13:14">
      <c r="M21" s="10" t="s">
        <v>970</v>
      </c>
      <c r="N21" s="15">
        <v>1</v>
      </c>
    </row>
    <row r="22" spans="13:14">
      <c r="M22" s="10" t="s">
        <v>1518</v>
      </c>
      <c r="N22" s="15">
        <v>1</v>
      </c>
    </row>
    <row r="23" spans="13:14">
      <c r="M23" s="10" t="s">
        <v>1485</v>
      </c>
      <c r="N23" s="15">
        <v>1</v>
      </c>
    </row>
    <row r="24" spans="13:14">
      <c r="M24" s="10" t="s">
        <v>809</v>
      </c>
      <c r="N24" s="15">
        <v>1</v>
      </c>
    </row>
    <row r="25" spans="13:14">
      <c r="M25" s="10" t="s">
        <v>387</v>
      </c>
      <c r="N25" s="15">
        <v>1</v>
      </c>
    </row>
    <row r="26" spans="13:14">
      <c r="M26" s="10" t="s">
        <v>603</v>
      </c>
      <c r="N26" s="15">
        <v>1</v>
      </c>
    </row>
    <row r="27" spans="13:14">
      <c r="M27" s="10" t="s">
        <v>982</v>
      </c>
      <c r="N27" s="15">
        <v>1</v>
      </c>
    </row>
    <row r="28" spans="13:14">
      <c r="M28" s="10" t="s">
        <v>1087</v>
      </c>
      <c r="N28" s="15">
        <v>1</v>
      </c>
    </row>
    <row r="29" spans="13:14">
      <c r="M29" s="10" t="s">
        <v>1362</v>
      </c>
      <c r="N29" s="15">
        <v>1</v>
      </c>
    </row>
    <row r="30" spans="13:14">
      <c r="M30" s="10" t="s">
        <v>546</v>
      </c>
      <c r="N30" s="15">
        <v>1</v>
      </c>
    </row>
    <row r="31" spans="13:14">
      <c r="M31" s="10" t="s">
        <v>658</v>
      </c>
      <c r="N31" s="15">
        <v>1</v>
      </c>
    </row>
    <row r="32" spans="13:14">
      <c r="M32" s="10" t="s">
        <v>423</v>
      </c>
      <c r="N32" s="15">
        <v>1</v>
      </c>
    </row>
    <row r="33" spans="13:14">
      <c r="M33" s="10" t="s">
        <v>296</v>
      </c>
      <c r="N33" s="15">
        <v>1</v>
      </c>
    </row>
    <row r="34" spans="13:14">
      <c r="M34" s="10" t="s">
        <v>1356</v>
      </c>
      <c r="N34" s="15">
        <v>1</v>
      </c>
    </row>
    <row r="35" spans="13:14">
      <c r="M35" s="10" t="s">
        <v>265</v>
      </c>
      <c r="N35" s="15">
        <v>1</v>
      </c>
    </row>
    <row r="36" spans="13:14">
      <c r="M36" s="10" t="s">
        <v>1433</v>
      </c>
      <c r="N36" s="15">
        <v>1</v>
      </c>
    </row>
    <row r="37" spans="13:14">
      <c r="M37" s="10" t="s">
        <v>1315</v>
      </c>
      <c r="N37" s="15">
        <v>1</v>
      </c>
    </row>
    <row r="38" spans="13:14">
      <c r="M38" s="10" t="s">
        <v>1194</v>
      </c>
      <c r="N38" s="15">
        <v>1</v>
      </c>
    </row>
    <row r="39" spans="13:14">
      <c r="M39" s="10" t="s">
        <v>1100</v>
      </c>
      <c r="N39" s="15">
        <v>1</v>
      </c>
    </row>
    <row r="40" spans="13:14">
      <c r="M40" s="10" t="s">
        <v>986</v>
      </c>
      <c r="N40" s="15">
        <v>1</v>
      </c>
    </row>
    <row r="41" spans="13:14">
      <c r="M41" s="10" t="s">
        <v>112</v>
      </c>
      <c r="N41" s="15">
        <v>1</v>
      </c>
    </row>
    <row r="42" spans="13:14">
      <c r="M42" s="10" t="s">
        <v>1394</v>
      </c>
      <c r="N42" s="15">
        <v>1</v>
      </c>
    </row>
    <row r="43" spans="13:14">
      <c r="M43" s="10" t="s">
        <v>582</v>
      </c>
      <c r="N43" s="15">
        <v>1</v>
      </c>
    </row>
    <row r="44" spans="13:14">
      <c r="M44" s="10" t="s">
        <v>758</v>
      </c>
      <c r="N44" s="15">
        <v>1</v>
      </c>
    </row>
    <row r="45" spans="13:14">
      <c r="M45" s="10" t="s">
        <v>756</v>
      </c>
      <c r="N45" s="15">
        <v>1</v>
      </c>
    </row>
    <row r="46" spans="13:14">
      <c r="M46" s="10" t="s">
        <v>529</v>
      </c>
      <c r="N46" s="15">
        <v>1</v>
      </c>
    </row>
    <row r="47" spans="13:14">
      <c r="M47" s="10" t="s">
        <v>1056</v>
      </c>
      <c r="N47" s="15">
        <v>1</v>
      </c>
    </row>
    <row r="48" spans="13:14">
      <c r="M48" s="10" t="s">
        <v>906</v>
      </c>
      <c r="N48" s="15">
        <v>1</v>
      </c>
    </row>
    <row r="49" spans="13:14">
      <c r="M49" s="10" t="s">
        <v>1354</v>
      </c>
      <c r="N49" s="15">
        <v>1</v>
      </c>
    </row>
    <row r="50" spans="13:14">
      <c r="M50" s="10" t="s">
        <v>1062</v>
      </c>
      <c r="N50" s="15">
        <v>1</v>
      </c>
    </row>
    <row r="51" spans="13:14">
      <c r="M51" s="10" t="s">
        <v>365</v>
      </c>
      <c r="N51" s="15">
        <v>1</v>
      </c>
    </row>
    <row r="52" spans="13:14">
      <c r="M52" s="10" t="s">
        <v>1095</v>
      </c>
      <c r="N52" s="15">
        <v>1</v>
      </c>
    </row>
    <row r="53" spans="13:14">
      <c r="M53" s="10" t="s">
        <v>621</v>
      </c>
      <c r="N53" s="15">
        <v>1</v>
      </c>
    </row>
    <row r="54" spans="13:14">
      <c r="M54" s="10" t="s">
        <v>1401</v>
      </c>
      <c r="N54" s="15">
        <v>1</v>
      </c>
    </row>
    <row r="55" spans="13:14">
      <c r="M55" s="10" t="s">
        <v>1178</v>
      </c>
      <c r="N55" s="15">
        <v>1</v>
      </c>
    </row>
    <row r="56" spans="13:14">
      <c r="M56" s="10" t="s">
        <v>86</v>
      </c>
      <c r="N56" s="15">
        <v>1</v>
      </c>
    </row>
    <row r="57" spans="13:14">
      <c r="M57" s="10" t="s">
        <v>481</v>
      </c>
      <c r="N57" s="15">
        <v>1</v>
      </c>
    </row>
    <row r="58" spans="13:14">
      <c r="M58" s="10" t="s">
        <v>589</v>
      </c>
      <c r="N58" s="15">
        <v>1</v>
      </c>
    </row>
    <row r="59" spans="13:14">
      <c r="M59" s="10" t="s">
        <v>1016</v>
      </c>
      <c r="N59" s="15">
        <v>1</v>
      </c>
    </row>
    <row r="60" spans="13:14">
      <c r="M60" s="10" t="s">
        <v>1479</v>
      </c>
      <c r="N60" s="15">
        <v>1</v>
      </c>
    </row>
    <row r="61" spans="13:14">
      <c r="M61" s="10" t="s">
        <v>915</v>
      </c>
      <c r="N61" s="15">
        <v>1</v>
      </c>
    </row>
    <row r="62" spans="13:14">
      <c r="M62" s="10" t="s">
        <v>496</v>
      </c>
      <c r="N62" s="15">
        <v>1</v>
      </c>
    </row>
    <row r="63" spans="13:14">
      <c r="M63" s="10" t="s">
        <v>652</v>
      </c>
      <c r="N63" s="15">
        <v>1</v>
      </c>
    </row>
    <row r="64" spans="13:14">
      <c r="M64" s="10" t="s">
        <v>1381</v>
      </c>
      <c r="N64" s="15">
        <v>1</v>
      </c>
    </row>
    <row r="65" spans="13:14">
      <c r="M65" s="10" t="s">
        <v>358</v>
      </c>
      <c r="N65" s="15">
        <v>1</v>
      </c>
    </row>
    <row r="66" spans="13:14">
      <c r="M66" s="10" t="s">
        <v>1389</v>
      </c>
      <c r="N66" s="15">
        <v>1</v>
      </c>
    </row>
    <row r="67" spans="13:14">
      <c r="M67" s="10" t="s">
        <v>317</v>
      </c>
      <c r="N67" s="15">
        <v>1</v>
      </c>
    </row>
    <row r="68" spans="13:14">
      <c r="M68" s="10" t="s">
        <v>246</v>
      </c>
      <c r="N68" s="15">
        <v>1</v>
      </c>
    </row>
    <row r="69" spans="13:14">
      <c r="M69" s="10" t="s">
        <v>1137</v>
      </c>
      <c r="N69" s="15">
        <v>1</v>
      </c>
    </row>
    <row r="70" spans="13:14">
      <c r="M70" s="10" t="s">
        <v>845</v>
      </c>
      <c r="N70" s="15">
        <v>1</v>
      </c>
    </row>
    <row r="71" spans="13:14">
      <c r="M71" s="10" t="s">
        <v>523</v>
      </c>
      <c r="N71" s="15">
        <v>1</v>
      </c>
    </row>
    <row r="72" spans="13:14">
      <c r="M72" s="10" t="s">
        <v>531</v>
      </c>
      <c r="N72" s="15">
        <v>1</v>
      </c>
    </row>
    <row r="73" spans="13:14">
      <c r="M73" s="10" t="s">
        <v>1520</v>
      </c>
      <c r="N73" s="15">
        <v>1</v>
      </c>
    </row>
    <row r="74" spans="13:14">
      <c r="M74" s="10" t="s">
        <v>348</v>
      </c>
      <c r="N74" s="15">
        <v>1</v>
      </c>
    </row>
    <row r="75" spans="13:14">
      <c r="M75" s="10" t="s">
        <v>565</v>
      </c>
      <c r="N75" s="15">
        <v>1</v>
      </c>
    </row>
    <row r="76" spans="13:14">
      <c r="M76" s="10" t="s">
        <v>726</v>
      </c>
      <c r="N76" s="15">
        <v>1</v>
      </c>
    </row>
    <row r="77" spans="13:14">
      <c r="M77" s="10" t="s">
        <v>839</v>
      </c>
      <c r="N77" s="15">
        <v>1</v>
      </c>
    </row>
    <row r="78" spans="13:14">
      <c r="M78" s="10" t="s">
        <v>342</v>
      </c>
      <c r="N78" s="15">
        <v>1</v>
      </c>
    </row>
    <row r="79" spans="13:14">
      <c r="M79" s="10" t="s">
        <v>270</v>
      </c>
      <c r="N79" s="15">
        <v>1</v>
      </c>
    </row>
    <row r="80" spans="13:14">
      <c r="M80" s="10" t="s">
        <v>76</v>
      </c>
      <c r="N80" s="15">
        <v>1</v>
      </c>
    </row>
    <row r="81" spans="13:14">
      <c r="M81" s="10" t="s">
        <v>465</v>
      </c>
      <c r="N81" s="15">
        <v>1</v>
      </c>
    </row>
    <row r="82" spans="13:14">
      <c r="M82" s="10" t="s">
        <v>1431</v>
      </c>
      <c r="N82" s="15">
        <v>1</v>
      </c>
    </row>
    <row r="83" spans="13:14">
      <c r="M83" s="10" t="s">
        <v>294</v>
      </c>
      <c r="N83" s="15">
        <v>1</v>
      </c>
    </row>
    <row r="84" spans="13:14">
      <c r="M84" s="10" t="s">
        <v>618</v>
      </c>
      <c r="N84" s="15">
        <v>1</v>
      </c>
    </row>
    <row r="85" spans="13:14">
      <c r="M85" s="10" t="s">
        <v>650</v>
      </c>
      <c r="N85" s="15">
        <v>1</v>
      </c>
    </row>
    <row r="86" spans="13:14">
      <c r="M86" s="10" t="s">
        <v>460</v>
      </c>
      <c r="N86" s="15">
        <v>1</v>
      </c>
    </row>
    <row r="87" spans="13:14">
      <c r="M87" s="10" t="s">
        <v>1307</v>
      </c>
      <c r="N87" s="15">
        <v>1</v>
      </c>
    </row>
    <row r="88" spans="13:14">
      <c r="M88" s="10" t="s">
        <v>410</v>
      </c>
      <c r="N88" s="15">
        <v>1</v>
      </c>
    </row>
    <row r="89" spans="13:14">
      <c r="M89" s="10" t="s">
        <v>1509</v>
      </c>
      <c r="N89" s="15">
        <v>1</v>
      </c>
    </row>
    <row r="90" spans="13:14">
      <c r="M90" s="10" t="s">
        <v>854</v>
      </c>
      <c r="N90" s="15">
        <v>1</v>
      </c>
    </row>
    <row r="91" spans="13:14">
      <c r="M91" s="10" t="s">
        <v>740</v>
      </c>
      <c r="N91" s="15">
        <v>1</v>
      </c>
    </row>
    <row r="92" spans="13:14">
      <c r="M92" s="10" t="s">
        <v>514</v>
      </c>
      <c r="N92" s="15">
        <v>1</v>
      </c>
    </row>
    <row r="93" spans="13:14">
      <c r="M93" s="10" t="s">
        <v>1441</v>
      </c>
      <c r="N93" s="15">
        <v>1</v>
      </c>
    </row>
    <row r="94" spans="13:14">
      <c r="M94" s="10" t="s">
        <v>738</v>
      </c>
      <c r="N94" s="15">
        <v>1</v>
      </c>
    </row>
    <row r="95" spans="13:14">
      <c r="M95" s="10" t="s">
        <v>825</v>
      </c>
      <c r="N95" s="15">
        <v>1</v>
      </c>
    </row>
    <row r="96" spans="13:14">
      <c r="M96" s="10" t="s">
        <v>1038</v>
      </c>
      <c r="N96" s="15">
        <v>1</v>
      </c>
    </row>
    <row r="97" spans="13:14">
      <c r="M97" s="10" t="s">
        <v>1323</v>
      </c>
      <c r="N97" s="15">
        <v>1</v>
      </c>
    </row>
    <row r="98" spans="13:14">
      <c r="M98" s="10" t="s">
        <v>1078</v>
      </c>
      <c r="N98" s="15">
        <v>1</v>
      </c>
    </row>
    <row r="99" spans="13:14">
      <c r="M99" s="10" t="s">
        <v>35</v>
      </c>
      <c r="N99" s="15">
        <v>1</v>
      </c>
    </row>
    <row r="100" spans="13:14">
      <c r="M100" s="10" t="s">
        <v>1348</v>
      </c>
      <c r="N100" s="15">
        <v>1</v>
      </c>
    </row>
    <row r="101" spans="13:14">
      <c r="M101" s="10" t="s">
        <v>1506</v>
      </c>
      <c r="N101" s="15">
        <v>1</v>
      </c>
    </row>
    <row r="102" spans="13:14">
      <c r="M102" s="10" t="s">
        <v>919</v>
      </c>
      <c r="N102" s="15">
        <v>1</v>
      </c>
    </row>
    <row r="103" spans="13:14">
      <c r="M103" s="10" t="s">
        <v>372</v>
      </c>
      <c r="N103" s="15">
        <v>1</v>
      </c>
    </row>
    <row r="104" spans="13:14">
      <c r="M104" s="10" t="s">
        <v>1526</v>
      </c>
      <c r="N104" s="15">
        <v>1</v>
      </c>
    </row>
    <row r="105" spans="13:14">
      <c r="M105" s="10" t="s">
        <v>1170</v>
      </c>
      <c r="N105" s="15">
        <v>1</v>
      </c>
    </row>
    <row r="106" spans="13:14">
      <c r="M106" s="10" t="s">
        <v>732</v>
      </c>
      <c r="N106" s="15">
        <v>1</v>
      </c>
    </row>
    <row r="107" spans="13:14">
      <c r="M107" s="10" t="s">
        <v>1421</v>
      </c>
      <c r="N107" s="15">
        <v>1</v>
      </c>
    </row>
    <row r="108" spans="13:14">
      <c r="M108" s="10" t="s">
        <v>1522</v>
      </c>
      <c r="N108" s="15">
        <v>1</v>
      </c>
    </row>
    <row r="109" spans="13:14">
      <c r="M109" s="10" t="s">
        <v>913</v>
      </c>
      <c r="N109" s="15">
        <v>1</v>
      </c>
    </row>
    <row r="110" spans="13:14">
      <c r="M110" s="10" t="s">
        <v>587</v>
      </c>
      <c r="N110" s="15">
        <v>1</v>
      </c>
    </row>
    <row r="111" spans="13:14">
      <c r="M111" s="10" t="s">
        <v>95</v>
      </c>
      <c r="N111" s="15">
        <v>1</v>
      </c>
    </row>
    <row r="112" spans="13:14">
      <c r="M112" s="10" t="s">
        <v>617</v>
      </c>
      <c r="N112" s="15">
        <v>1</v>
      </c>
    </row>
    <row r="113" spans="13:14">
      <c r="M113" s="10" t="s">
        <v>1166</v>
      </c>
      <c r="N113" s="15">
        <v>1</v>
      </c>
    </row>
    <row r="114" spans="13:14">
      <c r="M114" s="10" t="s">
        <v>1273</v>
      </c>
      <c r="N114" s="15">
        <v>1</v>
      </c>
    </row>
    <row r="115" spans="13:14">
      <c r="M115" s="10" t="s">
        <v>1006</v>
      </c>
      <c r="N115" s="15">
        <v>1</v>
      </c>
    </row>
    <row r="116" spans="13:14">
      <c r="M116" s="10" t="s">
        <v>733</v>
      </c>
      <c r="N116" s="15">
        <v>1</v>
      </c>
    </row>
    <row r="117" spans="13:14">
      <c r="M117" s="10" t="s">
        <v>1034</v>
      </c>
      <c r="N117" s="15">
        <v>1</v>
      </c>
    </row>
    <row r="118" spans="13:14">
      <c r="M118" s="10" t="s">
        <v>875</v>
      </c>
      <c r="N118" s="15">
        <v>1</v>
      </c>
    </row>
    <row r="119" spans="13:14">
      <c r="M119" s="10" t="s">
        <v>857</v>
      </c>
      <c r="N119" s="15">
        <v>1</v>
      </c>
    </row>
    <row r="120" spans="13:14">
      <c r="M120" s="10" t="s">
        <v>408</v>
      </c>
      <c r="N120" s="15">
        <v>1</v>
      </c>
    </row>
    <row r="121" spans="13:14">
      <c r="M121" s="10" t="s">
        <v>1175</v>
      </c>
      <c r="N121" s="15">
        <v>1</v>
      </c>
    </row>
    <row r="122" spans="13:14">
      <c r="M122" s="10" t="s">
        <v>217</v>
      </c>
      <c r="N122" s="15">
        <v>1</v>
      </c>
    </row>
    <row r="123" spans="13:14">
      <c r="M123" s="10" t="s">
        <v>1516</v>
      </c>
      <c r="N123" s="15">
        <v>1</v>
      </c>
    </row>
    <row r="124" spans="13:14">
      <c r="M124" s="10" t="s">
        <v>1237</v>
      </c>
      <c r="N124" s="15">
        <v>1</v>
      </c>
    </row>
    <row r="125" spans="13:14">
      <c r="M125" s="10" t="s">
        <v>1226</v>
      </c>
      <c r="N125" s="15">
        <v>1</v>
      </c>
    </row>
    <row r="126" spans="13:14">
      <c r="M126" s="10" t="s">
        <v>941</v>
      </c>
      <c r="N126" s="15">
        <v>1</v>
      </c>
    </row>
    <row r="127" spans="13:14">
      <c r="M127" s="10" t="s">
        <v>858</v>
      </c>
      <c r="N127" s="15">
        <v>1</v>
      </c>
    </row>
    <row r="128" spans="13:14">
      <c r="M128" s="10" t="s">
        <v>1000</v>
      </c>
      <c r="N128" s="15">
        <v>1</v>
      </c>
    </row>
    <row r="129" spans="13:14">
      <c r="M129" s="10" t="s">
        <v>1117</v>
      </c>
      <c r="N129" s="15">
        <v>1</v>
      </c>
    </row>
    <row r="130" spans="13:14">
      <c r="M130" s="10" t="s">
        <v>1385</v>
      </c>
      <c r="N130" s="15">
        <v>1</v>
      </c>
    </row>
    <row r="131" spans="13:14">
      <c r="M131" s="10" t="s">
        <v>1247</v>
      </c>
      <c r="N131" s="15">
        <v>1</v>
      </c>
    </row>
    <row r="132" spans="13:14">
      <c r="M132" s="10" t="s">
        <v>1503</v>
      </c>
      <c r="N132" s="15">
        <v>1</v>
      </c>
    </row>
    <row r="133" spans="13:14">
      <c r="M133" s="10" t="s">
        <v>528</v>
      </c>
      <c r="N133" s="15">
        <v>1</v>
      </c>
    </row>
    <row r="134" spans="13:14">
      <c r="M134" s="10" t="s">
        <v>575</v>
      </c>
      <c r="N134" s="15">
        <v>1</v>
      </c>
    </row>
    <row r="135" spans="13:14">
      <c r="M135" s="10" t="s">
        <v>476</v>
      </c>
      <c r="N135" s="15">
        <v>1</v>
      </c>
    </row>
    <row r="136" spans="13:14">
      <c r="M136" s="10" t="s">
        <v>1360</v>
      </c>
      <c r="N136" s="15">
        <v>1</v>
      </c>
    </row>
    <row r="137" spans="13:14">
      <c r="M137" s="10" t="s">
        <v>540</v>
      </c>
      <c r="N137" s="15">
        <v>1</v>
      </c>
    </row>
    <row r="138" spans="13:14">
      <c r="M138" s="10" t="s">
        <v>555</v>
      </c>
      <c r="N138" s="15">
        <v>1</v>
      </c>
    </row>
    <row r="139" spans="13:14">
      <c r="M139" s="10" t="s">
        <v>709</v>
      </c>
      <c r="N139" s="15">
        <v>1</v>
      </c>
    </row>
    <row r="140" spans="13:14">
      <c r="M140" s="10" t="s">
        <v>1379</v>
      </c>
      <c r="N140" s="15">
        <v>1</v>
      </c>
    </row>
    <row r="141" spans="13:14">
      <c r="M141" s="10" t="s">
        <v>634</v>
      </c>
      <c r="N141" s="15">
        <v>1</v>
      </c>
    </row>
    <row r="142" spans="13:14">
      <c r="M142" s="10" t="s">
        <v>642</v>
      </c>
      <c r="N142" s="15">
        <v>1</v>
      </c>
    </row>
    <row r="143" spans="13:14">
      <c r="M143" s="10" t="s">
        <v>965</v>
      </c>
      <c r="N143" s="15">
        <v>1</v>
      </c>
    </row>
    <row r="144" spans="13:14">
      <c r="M144" s="10" t="s">
        <v>962</v>
      </c>
      <c r="N144" s="15">
        <v>1</v>
      </c>
    </row>
    <row r="145" spans="13:14">
      <c r="M145" s="10" t="s">
        <v>1229</v>
      </c>
      <c r="N145" s="15">
        <v>1</v>
      </c>
    </row>
    <row r="146" spans="13:14">
      <c r="M146" s="10" t="s">
        <v>886</v>
      </c>
      <c r="N146" s="15">
        <v>1</v>
      </c>
    </row>
    <row r="147" spans="13:14">
      <c r="M147" s="10" t="s">
        <v>570</v>
      </c>
      <c r="N147" s="15">
        <v>1</v>
      </c>
    </row>
    <row r="148" spans="13:14">
      <c r="M148" s="10" t="s">
        <v>1215</v>
      </c>
      <c r="N148" s="15">
        <v>1</v>
      </c>
    </row>
    <row r="149" spans="13:14">
      <c r="M149" s="10" t="s">
        <v>1214</v>
      </c>
      <c r="N149" s="15">
        <v>1</v>
      </c>
    </row>
    <row r="150" spans="13:14">
      <c r="M150" s="10" t="s">
        <v>445</v>
      </c>
      <c r="N150" s="15">
        <v>1</v>
      </c>
    </row>
    <row r="151" spans="13:14">
      <c r="M151" s="10" t="s">
        <v>939</v>
      </c>
      <c r="N151" s="15">
        <v>1</v>
      </c>
    </row>
    <row r="152" spans="13:14">
      <c r="M152" s="10" t="s">
        <v>1209</v>
      </c>
      <c r="N152" s="15">
        <v>1</v>
      </c>
    </row>
    <row r="153" spans="13:14">
      <c r="M153" s="10" t="s">
        <v>1180</v>
      </c>
      <c r="N153" s="15">
        <v>1</v>
      </c>
    </row>
    <row r="154" spans="13:14">
      <c r="M154" s="10" t="s">
        <v>1160</v>
      </c>
      <c r="N154" s="15">
        <v>1</v>
      </c>
    </row>
    <row r="155" spans="13:14">
      <c r="M155" s="10" t="s">
        <v>837</v>
      </c>
      <c r="N155" s="15">
        <v>1</v>
      </c>
    </row>
    <row r="156" spans="13:14">
      <c r="M156" s="10" t="s">
        <v>998</v>
      </c>
      <c r="N156" s="15">
        <v>1</v>
      </c>
    </row>
    <row r="157" spans="13:14">
      <c r="M157" s="10" t="s">
        <v>213</v>
      </c>
      <c r="N157" s="15">
        <v>1</v>
      </c>
    </row>
    <row r="158" spans="13:14">
      <c r="M158" s="10" t="s">
        <v>1392</v>
      </c>
      <c r="N158" s="15">
        <v>1</v>
      </c>
    </row>
    <row r="159" spans="13:14">
      <c r="M159" s="10" t="s">
        <v>1102</v>
      </c>
      <c r="N159" s="15">
        <v>1</v>
      </c>
    </row>
    <row r="160" spans="13:14">
      <c r="M160" s="10" t="s">
        <v>406</v>
      </c>
      <c r="N160" s="15">
        <v>1</v>
      </c>
    </row>
    <row r="161" spans="13:14">
      <c r="M161" s="10" t="s">
        <v>1311</v>
      </c>
      <c r="N161" s="15">
        <v>1</v>
      </c>
    </row>
    <row r="162" spans="13:14">
      <c r="M162" s="10" t="s">
        <v>1490</v>
      </c>
      <c r="N162" s="15">
        <v>1</v>
      </c>
    </row>
    <row r="163" spans="13:14">
      <c r="M163" s="10" t="s">
        <v>1414</v>
      </c>
      <c r="N163" s="15">
        <v>1</v>
      </c>
    </row>
    <row r="164" spans="13:14">
      <c r="M164" s="10" t="s">
        <v>1147</v>
      </c>
      <c r="N164" s="15">
        <v>1</v>
      </c>
    </row>
    <row r="165" spans="13:14">
      <c r="M165" s="10" t="s">
        <v>720</v>
      </c>
      <c r="N165" s="15">
        <v>1</v>
      </c>
    </row>
    <row r="166" spans="13:14">
      <c r="M166" s="10" t="s">
        <v>339</v>
      </c>
      <c r="N166" s="15">
        <v>1</v>
      </c>
    </row>
    <row r="167" spans="13:14">
      <c r="M167" s="10" t="s">
        <v>306</v>
      </c>
      <c r="N167" s="15">
        <v>1</v>
      </c>
    </row>
    <row r="168" spans="13:14">
      <c r="M168" s="10" t="s">
        <v>1455</v>
      </c>
      <c r="N168" s="15">
        <v>1</v>
      </c>
    </row>
    <row r="169" spans="13:14">
      <c r="M169" s="10" t="s">
        <v>760</v>
      </c>
      <c r="N169" s="15">
        <v>1</v>
      </c>
    </row>
    <row r="170" spans="13:14">
      <c r="M170" s="10" t="s">
        <v>1141</v>
      </c>
      <c r="N170" s="15">
        <v>1</v>
      </c>
    </row>
    <row r="171" spans="13:14">
      <c r="M171" s="10" t="s">
        <v>984</v>
      </c>
      <c r="N171" s="15">
        <v>1</v>
      </c>
    </row>
    <row r="172" spans="13:14">
      <c r="M172" s="10" t="s">
        <v>1318</v>
      </c>
      <c r="N172" s="15">
        <v>1</v>
      </c>
    </row>
    <row r="173" spans="13:14">
      <c r="M173" s="10" t="s">
        <v>1059</v>
      </c>
      <c r="N173" s="15">
        <v>1</v>
      </c>
    </row>
    <row r="174" spans="13:14">
      <c r="M174" s="10" t="s">
        <v>972</v>
      </c>
      <c r="N174" s="15">
        <v>1</v>
      </c>
    </row>
    <row r="175" spans="13:14">
      <c r="M175" s="10" t="s">
        <v>1009</v>
      </c>
      <c r="N175" s="15">
        <v>1</v>
      </c>
    </row>
    <row r="176" spans="13:14">
      <c r="M176" s="10" t="s">
        <v>202</v>
      </c>
      <c r="N176" s="15">
        <v>1</v>
      </c>
    </row>
    <row r="177" spans="13:14">
      <c r="M177" s="10" t="s">
        <v>1113</v>
      </c>
      <c r="N177" s="15">
        <v>1</v>
      </c>
    </row>
    <row r="178" spans="13:14">
      <c r="M178" s="10" t="s">
        <v>697</v>
      </c>
      <c r="N178" s="15">
        <v>1</v>
      </c>
    </row>
    <row r="179" spans="13:14">
      <c r="M179" s="10" t="s">
        <v>773</v>
      </c>
      <c r="N179" s="15">
        <v>1</v>
      </c>
    </row>
    <row r="180" spans="13:14">
      <c r="M180" s="10" t="s">
        <v>767</v>
      </c>
      <c r="N180" s="15">
        <v>1</v>
      </c>
    </row>
    <row r="181" spans="13:14">
      <c r="M181" s="10" t="s">
        <v>928</v>
      </c>
      <c r="N181" s="15">
        <v>1</v>
      </c>
    </row>
    <row r="182" spans="13:14">
      <c r="M182" s="10" t="s">
        <v>1039</v>
      </c>
      <c r="N182" s="15">
        <v>1</v>
      </c>
    </row>
    <row r="183" spans="13:14">
      <c r="M183" s="10" t="s">
        <v>276</v>
      </c>
      <c r="N183" s="15">
        <v>1</v>
      </c>
    </row>
    <row r="184" spans="13:14">
      <c r="M184" s="10" t="s">
        <v>670</v>
      </c>
      <c r="N184" s="15">
        <v>1</v>
      </c>
    </row>
    <row r="185" spans="13:14">
      <c r="M185" s="10" t="s">
        <v>1240</v>
      </c>
      <c r="N185" s="15">
        <v>1</v>
      </c>
    </row>
    <row r="186" spans="13:14">
      <c r="M186" s="10" t="s">
        <v>833</v>
      </c>
      <c r="N186" s="15">
        <v>1</v>
      </c>
    </row>
    <row r="187" spans="13:14">
      <c r="M187" s="10" t="s">
        <v>947</v>
      </c>
      <c r="N187" s="15">
        <v>1</v>
      </c>
    </row>
    <row r="188" spans="13:14">
      <c r="M188" s="10" t="s">
        <v>1225</v>
      </c>
      <c r="N188" s="15">
        <v>1</v>
      </c>
    </row>
    <row r="189" spans="13:14">
      <c r="M189" s="10" t="s">
        <v>1397</v>
      </c>
      <c r="N189" s="15">
        <v>1</v>
      </c>
    </row>
    <row r="190" spans="13:14">
      <c r="M190" s="10" t="s">
        <v>849</v>
      </c>
      <c r="N190" s="15">
        <v>1</v>
      </c>
    </row>
    <row r="191" spans="13:14">
      <c r="M191" s="10" t="s">
        <v>1469</v>
      </c>
      <c r="N191" s="15">
        <v>1</v>
      </c>
    </row>
    <row r="192" spans="13:14">
      <c r="M192" s="10" t="s">
        <v>1033</v>
      </c>
      <c r="N192" s="15">
        <v>1</v>
      </c>
    </row>
    <row r="193" spans="13:14">
      <c r="M193" s="10" t="s">
        <v>1493</v>
      </c>
      <c r="N193" s="15">
        <v>1</v>
      </c>
    </row>
    <row r="194" spans="13:14">
      <c r="M194" s="10" t="s">
        <v>369</v>
      </c>
      <c r="N194" s="15">
        <v>1</v>
      </c>
    </row>
    <row r="195" spans="13:14">
      <c r="M195" s="10" t="s">
        <v>1150</v>
      </c>
      <c r="N195" s="15">
        <v>1</v>
      </c>
    </row>
    <row r="196" spans="13:14">
      <c r="M196" s="10" t="s">
        <v>1121</v>
      </c>
      <c r="N196" s="15">
        <v>1</v>
      </c>
    </row>
    <row r="197" spans="13:14">
      <c r="M197" s="10" t="s">
        <v>911</v>
      </c>
      <c r="N197" s="15">
        <v>1</v>
      </c>
    </row>
    <row r="198" spans="13:14">
      <c r="M198" s="10" t="s">
        <v>323</v>
      </c>
      <c r="N198" s="15">
        <v>1</v>
      </c>
    </row>
    <row r="199" spans="13:14">
      <c r="M199" s="10" t="s">
        <v>1231</v>
      </c>
      <c r="N199" s="15">
        <v>1</v>
      </c>
    </row>
    <row r="200" spans="13:14">
      <c r="M200" s="10" t="s">
        <v>626</v>
      </c>
      <c r="N200" s="15">
        <v>1</v>
      </c>
    </row>
    <row r="201" spans="13:14">
      <c r="M201" s="10" t="s">
        <v>257</v>
      </c>
      <c r="N201" s="15">
        <v>1</v>
      </c>
    </row>
    <row r="202" spans="13:14">
      <c r="M202" s="10" t="s">
        <v>1358</v>
      </c>
      <c r="N202" s="15">
        <v>1</v>
      </c>
    </row>
    <row r="203" spans="13:14">
      <c r="M203" s="10" t="s">
        <v>1412</v>
      </c>
      <c r="N203" s="15">
        <v>1</v>
      </c>
    </row>
    <row r="204" spans="13:14">
      <c r="M204" s="10" t="s">
        <v>1242</v>
      </c>
      <c r="N204" s="15">
        <v>1</v>
      </c>
    </row>
    <row r="205" spans="13:14">
      <c r="M205" s="10" t="s">
        <v>821</v>
      </c>
      <c r="N205" s="15">
        <v>1</v>
      </c>
    </row>
    <row r="206" spans="13:14">
      <c r="M206" s="10" t="s">
        <v>591</v>
      </c>
      <c r="N206" s="15">
        <v>1</v>
      </c>
    </row>
    <row r="207" spans="13:14">
      <c r="M207" s="10" t="s">
        <v>1432</v>
      </c>
      <c r="N207" s="15">
        <v>1</v>
      </c>
    </row>
    <row r="208" spans="13:14">
      <c r="M208" s="10" t="s">
        <v>1334</v>
      </c>
      <c r="N208" s="15">
        <v>1</v>
      </c>
    </row>
    <row r="209" spans="13:14">
      <c r="M209" s="10" t="s">
        <v>1186</v>
      </c>
      <c r="N209" s="15">
        <v>1</v>
      </c>
    </row>
    <row r="210" spans="13:14">
      <c r="M210" s="10" t="s">
        <v>474</v>
      </c>
      <c r="N210" s="15">
        <v>1</v>
      </c>
    </row>
    <row r="211" spans="13:14">
      <c r="M211" s="10" t="s">
        <v>690</v>
      </c>
      <c r="N211" s="15">
        <v>1</v>
      </c>
    </row>
    <row r="212" spans="13:14">
      <c r="M212" s="10" t="s">
        <v>282</v>
      </c>
      <c r="N212" s="15">
        <v>1</v>
      </c>
    </row>
    <row r="213" spans="13:14">
      <c r="M213" s="10" t="s">
        <v>431</v>
      </c>
      <c r="N213" s="15">
        <v>1</v>
      </c>
    </row>
    <row r="214" spans="13:14">
      <c r="M214" s="10" t="s">
        <v>519</v>
      </c>
      <c r="N214" s="15">
        <v>1</v>
      </c>
    </row>
    <row r="215" spans="13:14">
      <c r="M215" s="10" t="s">
        <v>507</v>
      </c>
      <c r="N215" s="15">
        <v>1</v>
      </c>
    </row>
    <row r="216" spans="13:14">
      <c r="M216" s="10" t="s">
        <v>1514</v>
      </c>
      <c r="N216" s="15">
        <v>1</v>
      </c>
    </row>
    <row r="217" spans="13:14">
      <c r="M217" s="10" t="s">
        <v>535</v>
      </c>
      <c r="N217" s="15">
        <v>1</v>
      </c>
    </row>
    <row r="218" spans="13:14">
      <c r="M218" s="10" t="s">
        <v>1399</v>
      </c>
      <c r="N218" s="15">
        <v>1</v>
      </c>
    </row>
    <row r="219" spans="13:14">
      <c r="M219" s="10" t="s">
        <v>1338</v>
      </c>
      <c r="N219" s="15">
        <v>1</v>
      </c>
    </row>
    <row r="220" spans="13:14">
      <c r="M220" s="10" t="s">
        <v>158</v>
      </c>
      <c r="N220" s="15">
        <v>1</v>
      </c>
    </row>
    <row r="221" spans="13:14">
      <c r="M221" s="10" t="s">
        <v>1254</v>
      </c>
      <c r="N221" s="15">
        <v>1</v>
      </c>
    </row>
    <row r="222" spans="13:14">
      <c r="M222" s="10" t="s">
        <v>484</v>
      </c>
      <c r="N222" s="15">
        <v>1</v>
      </c>
    </row>
    <row r="223" spans="13:14">
      <c r="M223" s="10" t="s">
        <v>394</v>
      </c>
      <c r="N223" s="15">
        <v>1</v>
      </c>
    </row>
    <row r="224" spans="13:14">
      <c r="M224" s="10" t="s">
        <v>1019</v>
      </c>
      <c r="N224" s="15">
        <v>1</v>
      </c>
    </row>
    <row r="225" spans="13:14">
      <c r="M225" s="10" t="s">
        <v>677</v>
      </c>
      <c r="N225" s="15">
        <v>1</v>
      </c>
    </row>
    <row r="226" spans="13:14">
      <c r="M226" s="10" t="s">
        <v>1292</v>
      </c>
      <c r="N226" s="15">
        <v>1</v>
      </c>
    </row>
    <row r="227" spans="13:14">
      <c r="M227" s="10" t="s">
        <v>1085</v>
      </c>
      <c r="N227" s="15">
        <v>1</v>
      </c>
    </row>
    <row r="228" spans="13:14">
      <c r="M228" s="10" t="s">
        <v>1168</v>
      </c>
      <c r="N228" s="15">
        <v>1</v>
      </c>
    </row>
    <row r="229" spans="13:14">
      <c r="M229" s="10" t="s">
        <v>336</v>
      </c>
      <c r="N229" s="15">
        <v>1</v>
      </c>
    </row>
    <row r="230" spans="13:14">
      <c r="M230" s="10" t="s">
        <v>876</v>
      </c>
      <c r="N230" s="15">
        <v>1</v>
      </c>
    </row>
    <row r="231" spans="13:14">
      <c r="M231" s="10" t="s">
        <v>1098</v>
      </c>
      <c r="N231" s="15">
        <v>1</v>
      </c>
    </row>
    <row r="232" spans="13:14">
      <c r="M232" s="10" t="s">
        <v>1365</v>
      </c>
      <c r="N232" s="15">
        <v>1</v>
      </c>
    </row>
    <row r="233" spans="13:14">
      <c r="M233" s="10" t="s">
        <v>228</v>
      </c>
      <c r="N233" s="15">
        <v>1</v>
      </c>
    </row>
    <row r="234" spans="13:14">
      <c r="M234" s="10" t="s">
        <v>261</v>
      </c>
      <c r="N234" s="15">
        <v>1</v>
      </c>
    </row>
    <row r="235" spans="13:14">
      <c r="M235" s="10" t="s">
        <v>1278</v>
      </c>
      <c r="N235" s="15">
        <v>1</v>
      </c>
    </row>
    <row r="236" spans="13:14">
      <c r="M236" s="10" t="s">
        <v>592</v>
      </c>
      <c r="N236" s="15">
        <v>1</v>
      </c>
    </row>
    <row r="237" spans="13:14">
      <c r="M237" s="10" t="s">
        <v>397</v>
      </c>
      <c r="N237" s="15">
        <v>1</v>
      </c>
    </row>
    <row r="238" spans="13:14">
      <c r="M238" s="10" t="s">
        <v>852</v>
      </c>
      <c r="N238" s="15">
        <v>1</v>
      </c>
    </row>
    <row r="239" spans="13:14">
      <c r="M239" s="10" t="s">
        <v>1104</v>
      </c>
      <c r="N239" s="15">
        <v>1</v>
      </c>
    </row>
    <row r="240" spans="13:14">
      <c r="M240" s="10" t="s">
        <v>863</v>
      </c>
      <c r="N240" s="15">
        <v>1</v>
      </c>
    </row>
    <row r="241" spans="13:14">
      <c r="M241" s="10" t="s">
        <v>694</v>
      </c>
      <c r="N241" s="15">
        <v>1</v>
      </c>
    </row>
    <row r="242" spans="13:14">
      <c r="M242" s="10" t="s">
        <v>1327</v>
      </c>
      <c r="N242" s="15">
        <v>1</v>
      </c>
    </row>
    <row r="243" spans="13:14">
      <c r="M243" s="10" t="s">
        <v>1445</v>
      </c>
      <c r="N243" s="15">
        <v>1</v>
      </c>
    </row>
    <row r="244" spans="13:14">
      <c r="M244" s="10" t="s">
        <v>1309</v>
      </c>
      <c r="N244" s="15">
        <v>1</v>
      </c>
    </row>
    <row r="245" spans="13:14">
      <c r="M245" s="10" t="s">
        <v>1462</v>
      </c>
      <c r="N245" s="15">
        <v>1</v>
      </c>
    </row>
    <row r="246" spans="13:14">
      <c r="M246" s="10" t="s">
        <v>377</v>
      </c>
      <c r="N246" s="15">
        <v>1</v>
      </c>
    </row>
    <row r="247" spans="13:14">
      <c r="M247" s="10" t="s">
        <v>988</v>
      </c>
      <c r="N247" s="15">
        <v>1</v>
      </c>
    </row>
    <row r="248" spans="13:14">
      <c r="M248" s="10" t="s">
        <v>1244</v>
      </c>
      <c r="N248" s="15">
        <v>1</v>
      </c>
    </row>
    <row r="249" spans="13:14">
      <c r="M249" s="10" t="s">
        <v>454</v>
      </c>
      <c r="N249" s="15">
        <v>1</v>
      </c>
    </row>
    <row r="250" spans="13:14">
      <c r="M250" s="10" t="s">
        <v>713</v>
      </c>
      <c r="N250" s="15">
        <v>1</v>
      </c>
    </row>
    <row r="251" spans="13:14">
      <c r="M251" s="10" t="s">
        <v>807</v>
      </c>
      <c r="N251" s="15">
        <v>1</v>
      </c>
    </row>
    <row r="252" spans="13:14">
      <c r="M252" s="10" t="s">
        <v>380</v>
      </c>
      <c r="N252" s="15">
        <v>1</v>
      </c>
    </row>
    <row r="253" spans="13:14">
      <c r="M253" s="10" t="s">
        <v>1406</v>
      </c>
      <c r="N253" s="15">
        <v>1</v>
      </c>
    </row>
    <row r="254" spans="13:14">
      <c r="M254" s="10" t="s">
        <v>1484</v>
      </c>
      <c r="N254" s="15">
        <v>1</v>
      </c>
    </row>
    <row r="255" spans="13:14">
      <c r="M255" s="10" t="s">
        <v>1197</v>
      </c>
      <c r="N255" s="15">
        <v>1</v>
      </c>
    </row>
    <row r="256" spans="13:14">
      <c r="M256" s="10" t="s">
        <v>149</v>
      </c>
      <c r="N256" s="15">
        <v>1</v>
      </c>
    </row>
    <row r="257" spans="13:14">
      <c r="M257" s="10" t="s">
        <v>1028</v>
      </c>
      <c r="N257" s="15">
        <v>1</v>
      </c>
    </row>
    <row r="258" spans="13:14">
      <c r="M258" s="10" t="s">
        <v>790</v>
      </c>
      <c r="N258" s="15">
        <v>1</v>
      </c>
    </row>
    <row r="259" spans="13:14">
      <c r="M259" s="10" t="s">
        <v>780</v>
      </c>
      <c r="N259" s="15">
        <v>1</v>
      </c>
    </row>
    <row r="260" spans="13:14">
      <c r="M260" s="10" t="s">
        <v>1287</v>
      </c>
      <c r="N260" s="15">
        <v>1</v>
      </c>
    </row>
    <row r="261" spans="13:14">
      <c r="M261" s="10" t="s">
        <v>659</v>
      </c>
      <c r="N261" s="15">
        <v>1</v>
      </c>
    </row>
    <row r="262" spans="13:14">
      <c r="M262" s="10" t="s">
        <v>290</v>
      </c>
      <c r="N262" s="15">
        <v>1</v>
      </c>
    </row>
    <row r="263" spans="13:14">
      <c r="M263" s="10" t="s">
        <v>910</v>
      </c>
      <c r="N263" s="15">
        <v>1</v>
      </c>
    </row>
    <row r="264" spans="13:14">
      <c r="M264" s="10" t="s">
        <v>1204</v>
      </c>
      <c r="N264" s="15">
        <v>1</v>
      </c>
    </row>
    <row r="265" spans="13:14">
      <c r="M265" s="10" t="s">
        <v>1092</v>
      </c>
      <c r="N265" s="15">
        <v>1</v>
      </c>
    </row>
    <row r="266" spans="13:14">
      <c r="M266" s="10" t="s">
        <v>559</v>
      </c>
      <c r="N266" s="15">
        <v>1</v>
      </c>
    </row>
    <row r="267" spans="13:14">
      <c r="M267" s="10" t="s">
        <v>329</v>
      </c>
      <c r="N267" s="15">
        <v>1</v>
      </c>
    </row>
    <row r="268" spans="13:14">
      <c r="M268" s="10" t="s">
        <v>662</v>
      </c>
      <c r="N268" s="15">
        <v>1</v>
      </c>
    </row>
    <row r="269" spans="13:14">
      <c r="M269" s="10" t="s">
        <v>1266</v>
      </c>
      <c r="N269" s="15">
        <v>1</v>
      </c>
    </row>
    <row r="270" spans="13:14">
      <c r="M270" s="10" t="s">
        <v>896</v>
      </c>
      <c r="N270" s="15">
        <v>1</v>
      </c>
    </row>
    <row r="271" spans="13:14">
      <c r="M271" s="10" t="s">
        <v>1411</v>
      </c>
      <c r="N271" s="15">
        <v>1</v>
      </c>
    </row>
    <row r="272" spans="13:14">
      <c r="M272" s="10" t="s">
        <v>1523</v>
      </c>
      <c r="N272" s="15">
        <v>1</v>
      </c>
    </row>
    <row r="273" spans="13:14">
      <c r="M273" s="10" t="s">
        <v>850</v>
      </c>
      <c r="N273" s="15">
        <v>1</v>
      </c>
    </row>
    <row r="274" spans="13:14">
      <c r="M274" s="10" t="s">
        <v>995</v>
      </c>
      <c r="N274" s="15">
        <v>1</v>
      </c>
    </row>
    <row r="275" spans="13:14">
      <c r="M275" s="10" t="s">
        <v>1453</v>
      </c>
      <c r="N275" s="15">
        <v>1</v>
      </c>
    </row>
    <row r="276" spans="13:14">
      <c r="M276" s="10" t="s">
        <v>882</v>
      </c>
      <c r="N276" s="15">
        <v>1</v>
      </c>
    </row>
    <row r="277" spans="13:14">
      <c r="M277" s="10" t="s">
        <v>707</v>
      </c>
      <c r="N277" s="15">
        <v>1</v>
      </c>
    </row>
    <row r="278" spans="13:14">
      <c r="M278" s="10" t="s">
        <v>1491</v>
      </c>
      <c r="N278" s="15">
        <v>1</v>
      </c>
    </row>
    <row r="279" spans="13:14">
      <c r="M279" s="10" t="s">
        <v>843</v>
      </c>
      <c r="N279" s="15">
        <v>1</v>
      </c>
    </row>
    <row r="280" spans="13:14">
      <c r="M280" s="10" t="s">
        <v>871</v>
      </c>
      <c r="N280" s="15">
        <v>1</v>
      </c>
    </row>
    <row r="281" spans="13:14">
      <c r="M281" s="10" t="s">
        <v>1233</v>
      </c>
      <c r="N281" s="15">
        <v>1</v>
      </c>
    </row>
    <row r="282" spans="13:14">
      <c r="M282" s="10" t="s">
        <v>1020</v>
      </c>
      <c r="N282" s="15">
        <v>1</v>
      </c>
    </row>
    <row r="283" spans="13:14">
      <c r="M283" s="10" t="s">
        <v>47</v>
      </c>
      <c r="N283" s="15">
        <v>1</v>
      </c>
    </row>
    <row r="284" spans="13:14">
      <c r="M284" s="10" t="s">
        <v>1288</v>
      </c>
      <c r="N284" s="15">
        <v>1</v>
      </c>
    </row>
    <row r="285" spans="13:14">
      <c r="M285" s="10" t="s">
        <v>1076</v>
      </c>
      <c r="N285" s="15">
        <v>1</v>
      </c>
    </row>
    <row r="286" spans="13:14">
      <c r="M286" s="10" t="s">
        <v>832</v>
      </c>
      <c r="N286" s="15">
        <v>1</v>
      </c>
    </row>
    <row r="287" spans="13:14">
      <c r="M287" s="10" t="s">
        <v>1080</v>
      </c>
      <c r="N287" s="15">
        <v>1</v>
      </c>
    </row>
    <row r="288" spans="13:14">
      <c r="M288" s="10" t="s">
        <v>179</v>
      </c>
      <c r="N288" s="15">
        <v>1</v>
      </c>
    </row>
    <row r="289" spans="13:14">
      <c r="M289" s="10" t="s">
        <v>1004</v>
      </c>
      <c r="N289" s="15">
        <v>1</v>
      </c>
    </row>
    <row r="290" spans="13:14">
      <c r="M290" s="10" t="s">
        <v>1371</v>
      </c>
      <c r="N290" s="15">
        <v>1</v>
      </c>
    </row>
    <row r="291" spans="13:14">
      <c r="M291" s="10" t="s">
        <v>861</v>
      </c>
      <c r="N291" s="15">
        <v>1</v>
      </c>
    </row>
    <row r="292" spans="13:14">
      <c r="M292" s="10" t="s">
        <v>249</v>
      </c>
      <c r="N292" s="15">
        <v>1</v>
      </c>
    </row>
    <row r="293" spans="13:14">
      <c r="M293" s="10" t="s">
        <v>308</v>
      </c>
      <c r="N293" s="15">
        <v>1</v>
      </c>
    </row>
    <row r="294" spans="13:14">
      <c r="M294" s="10" t="s">
        <v>600</v>
      </c>
      <c r="N294" s="15">
        <v>1</v>
      </c>
    </row>
    <row r="295" spans="13:14">
      <c r="M295" s="10" t="s">
        <v>1234</v>
      </c>
      <c r="N295" s="15">
        <v>1</v>
      </c>
    </row>
    <row r="296" spans="13:14">
      <c r="M296" s="10" t="s">
        <v>636</v>
      </c>
      <c r="N296" s="15">
        <v>1</v>
      </c>
    </row>
    <row r="297" spans="13:14">
      <c r="M297" s="10" t="s">
        <v>1405</v>
      </c>
      <c r="N297" s="15">
        <v>1</v>
      </c>
    </row>
    <row r="298" spans="13:14">
      <c r="M298" s="10" t="s">
        <v>314</v>
      </c>
      <c r="N298" s="15">
        <v>1</v>
      </c>
    </row>
    <row r="299" spans="13:14">
      <c r="M299" s="10" t="s">
        <v>1206</v>
      </c>
      <c r="N299" s="15">
        <v>1</v>
      </c>
    </row>
    <row r="300" spans="13:14">
      <c r="M300" s="10" t="s">
        <v>990</v>
      </c>
      <c r="N300" s="15">
        <v>1</v>
      </c>
    </row>
    <row r="301" spans="13:14">
      <c r="M301" s="10" t="s">
        <v>350</v>
      </c>
      <c r="N301" s="15">
        <v>1</v>
      </c>
    </row>
    <row r="302" spans="13:14">
      <c r="M302" s="10" t="s">
        <v>711</v>
      </c>
      <c r="N302" s="15">
        <v>1</v>
      </c>
    </row>
    <row r="303" spans="13:14">
      <c r="M303" s="10" t="s">
        <v>1040</v>
      </c>
      <c r="N303" s="15">
        <v>1</v>
      </c>
    </row>
    <row r="304" spans="13:14">
      <c r="M304" s="10" t="s">
        <v>802</v>
      </c>
      <c r="N304" s="15">
        <v>1</v>
      </c>
    </row>
    <row r="305" spans="13:14">
      <c r="M305" s="10" t="s">
        <v>1198</v>
      </c>
      <c r="N305" s="15">
        <v>1</v>
      </c>
    </row>
    <row r="306" spans="13:14">
      <c r="M306" s="10" t="s">
        <v>930</v>
      </c>
      <c r="N306" s="15">
        <v>1</v>
      </c>
    </row>
    <row r="307" spans="13:14">
      <c r="M307" s="10" t="s">
        <v>980</v>
      </c>
      <c r="N307" s="15">
        <v>1</v>
      </c>
    </row>
    <row r="308" spans="13:14">
      <c r="M308" s="10" t="s">
        <v>403</v>
      </c>
      <c r="N308" s="15">
        <v>1</v>
      </c>
    </row>
    <row r="309" spans="13:14">
      <c r="M309" s="10" t="s">
        <v>900</v>
      </c>
      <c r="N309" s="15">
        <v>1</v>
      </c>
    </row>
    <row r="310" spans="13:14">
      <c r="M310" s="10" t="s">
        <v>1500</v>
      </c>
      <c r="N310" s="15">
        <v>1</v>
      </c>
    </row>
    <row r="311" spans="13:14">
      <c r="M311" s="10" t="s">
        <v>1149</v>
      </c>
      <c r="N311" s="15">
        <v>1</v>
      </c>
    </row>
    <row r="312" spans="13:14">
      <c r="M312" s="10" t="s">
        <v>902</v>
      </c>
      <c r="N312" s="15">
        <v>1</v>
      </c>
    </row>
    <row r="313" spans="13:14">
      <c r="M313" s="10" t="s">
        <v>458</v>
      </c>
      <c r="N313" s="15">
        <v>1</v>
      </c>
    </row>
    <row r="314" spans="13:14">
      <c r="M314" s="10" t="s">
        <v>973</v>
      </c>
      <c r="N314" s="15">
        <v>1</v>
      </c>
    </row>
    <row r="315" spans="13:14">
      <c r="M315" s="10" t="s">
        <v>1486</v>
      </c>
      <c r="N315" s="15">
        <v>1</v>
      </c>
    </row>
    <row r="316" spans="13:14">
      <c r="M316" s="10" t="s">
        <v>615</v>
      </c>
      <c r="N316" s="15">
        <v>1</v>
      </c>
    </row>
    <row r="317" spans="13:14">
      <c r="M317" s="10" t="s">
        <v>1448</v>
      </c>
      <c r="N317" s="15">
        <v>1</v>
      </c>
    </row>
    <row r="318" spans="13:14">
      <c r="M318" s="10" t="s">
        <v>1069</v>
      </c>
      <c r="N318" s="15">
        <v>1</v>
      </c>
    </row>
    <row r="319" spans="13:14">
      <c r="M319" s="10" t="s">
        <v>1281</v>
      </c>
      <c r="N319" s="15">
        <v>1</v>
      </c>
    </row>
    <row r="320" spans="13:14">
      <c r="M320" s="10" t="s">
        <v>883</v>
      </c>
      <c r="N320" s="15">
        <v>1</v>
      </c>
    </row>
    <row r="321" spans="13:14">
      <c r="M321" s="10" t="s">
        <v>829</v>
      </c>
      <c r="N321" s="15">
        <v>1</v>
      </c>
    </row>
    <row r="322" spans="13:14">
      <c r="M322" s="10" t="s">
        <v>968</v>
      </c>
      <c r="N322" s="15">
        <v>1</v>
      </c>
    </row>
    <row r="323" spans="13:14">
      <c r="M323" s="10" t="s">
        <v>957</v>
      </c>
      <c r="N323" s="15">
        <v>1</v>
      </c>
    </row>
    <row r="324" spans="13:14">
      <c r="M324" s="10" t="s">
        <v>1026</v>
      </c>
      <c r="N324" s="15">
        <v>1</v>
      </c>
    </row>
    <row r="325" spans="13:14">
      <c r="M325" s="10" t="s">
        <v>399</v>
      </c>
      <c r="N325" s="15">
        <v>1</v>
      </c>
    </row>
    <row r="326" spans="13:14">
      <c r="M326" s="10" t="s">
        <v>100</v>
      </c>
      <c r="N326" s="15">
        <v>1</v>
      </c>
    </row>
    <row r="327" spans="13:14">
      <c r="M327" s="10" t="s">
        <v>1224</v>
      </c>
      <c r="N327" s="15">
        <v>1</v>
      </c>
    </row>
    <row r="328" spans="13:14">
      <c r="M328" s="10" t="s">
        <v>463</v>
      </c>
      <c r="N328" s="15">
        <v>1</v>
      </c>
    </row>
    <row r="329" spans="13:14">
      <c r="M329" s="10" t="s">
        <v>505</v>
      </c>
      <c r="N329" s="15">
        <v>1</v>
      </c>
    </row>
    <row r="330" spans="13:14">
      <c r="M330" s="10" t="s">
        <v>793</v>
      </c>
      <c r="N330" s="15">
        <v>1</v>
      </c>
    </row>
    <row r="331" spans="13:14">
      <c r="M331" s="10" t="s">
        <v>800</v>
      </c>
      <c r="N331" s="15">
        <v>1</v>
      </c>
    </row>
    <row r="332" spans="13:14">
      <c r="M332" s="10" t="s">
        <v>1512</v>
      </c>
      <c r="N332" s="15">
        <v>1</v>
      </c>
    </row>
    <row r="333" spans="13:14">
      <c r="M333" s="10" t="s">
        <v>489</v>
      </c>
      <c r="N333" s="15">
        <v>1</v>
      </c>
    </row>
    <row r="334" spans="13:14">
      <c r="M334" s="10" t="s">
        <v>576</v>
      </c>
      <c r="N334" s="15">
        <v>1</v>
      </c>
    </row>
    <row r="335" spans="13:14">
      <c r="M335" s="10" t="s">
        <v>498</v>
      </c>
      <c r="N335" s="15">
        <v>1</v>
      </c>
    </row>
    <row r="336" spans="13:14">
      <c r="M336" s="10" t="s">
        <v>145</v>
      </c>
      <c r="N336" s="15">
        <v>1</v>
      </c>
    </row>
    <row r="337" spans="13:14">
      <c r="M337" s="10" t="s">
        <v>494</v>
      </c>
      <c r="N337" s="15">
        <v>1</v>
      </c>
    </row>
    <row r="338" spans="13:14">
      <c r="M338" s="10" t="s">
        <v>574</v>
      </c>
      <c r="N338" s="15">
        <v>1</v>
      </c>
    </row>
    <row r="339" spans="13:14">
      <c r="M339" s="10" t="s">
        <v>1403</v>
      </c>
      <c r="N339" s="15">
        <v>1</v>
      </c>
    </row>
    <row r="340" spans="13:14">
      <c r="M340" s="10" t="s">
        <v>613</v>
      </c>
      <c r="N340" s="15">
        <v>1</v>
      </c>
    </row>
    <row r="341" spans="13:14">
      <c r="M341" s="10" t="s">
        <v>1442</v>
      </c>
      <c r="N341" s="15">
        <v>1</v>
      </c>
    </row>
    <row r="342" spans="13:14">
      <c r="M342" s="10" t="s">
        <v>866</v>
      </c>
      <c r="N342" s="15">
        <v>1</v>
      </c>
    </row>
    <row r="343" spans="13:14">
      <c r="M343" s="10" t="s">
        <v>1003</v>
      </c>
      <c r="N343" s="15">
        <v>1</v>
      </c>
    </row>
    <row r="344" spans="13:14">
      <c r="M344" s="10" t="s">
        <v>665</v>
      </c>
      <c r="N344" s="15">
        <v>1</v>
      </c>
    </row>
    <row r="345" spans="13:14">
      <c r="M345" s="10" t="s">
        <v>1499</v>
      </c>
      <c r="N345" s="15">
        <v>1</v>
      </c>
    </row>
    <row r="346" spans="13:14">
      <c r="M346" s="10" t="s">
        <v>722</v>
      </c>
      <c r="N346" s="15">
        <v>1</v>
      </c>
    </row>
    <row r="347" spans="13:14">
      <c r="M347" s="10" t="s">
        <v>1444</v>
      </c>
      <c r="N347" s="15">
        <v>1</v>
      </c>
    </row>
    <row r="348" spans="13:14">
      <c r="M348" s="10" t="s">
        <v>795</v>
      </c>
      <c r="N348" s="15">
        <v>1</v>
      </c>
    </row>
    <row r="349" spans="13:14">
      <c r="M349" s="10" t="s">
        <v>1296</v>
      </c>
      <c r="N349" s="15">
        <v>1</v>
      </c>
    </row>
    <row r="350" spans="13:14">
      <c r="M350" s="10" t="s">
        <v>1222</v>
      </c>
      <c r="N350" s="15">
        <v>1</v>
      </c>
    </row>
    <row r="351" spans="13:14">
      <c r="M351" s="10" t="s">
        <v>908</v>
      </c>
      <c r="N351" s="15">
        <v>1</v>
      </c>
    </row>
    <row r="352" spans="13:14">
      <c r="M352" s="10" t="s">
        <v>168</v>
      </c>
      <c r="N352" s="15">
        <v>1</v>
      </c>
    </row>
    <row r="353" spans="13:14">
      <c r="M353" s="10" t="s">
        <v>836</v>
      </c>
      <c r="N353" s="15">
        <v>1</v>
      </c>
    </row>
    <row r="354" spans="13:14">
      <c r="M354" s="10" t="s">
        <v>220</v>
      </c>
      <c r="N354" s="15">
        <v>1</v>
      </c>
    </row>
    <row r="355" spans="13:14">
      <c r="M355" s="10" t="s">
        <v>958</v>
      </c>
      <c r="N355" s="15">
        <v>1</v>
      </c>
    </row>
    <row r="356" spans="13:14">
      <c r="M356" s="10" t="s">
        <v>981</v>
      </c>
      <c r="N356" s="15">
        <v>1</v>
      </c>
    </row>
    <row r="357" spans="13:14">
      <c r="M357" s="10" t="s">
        <v>827</v>
      </c>
      <c r="N357" s="15">
        <v>1</v>
      </c>
    </row>
    <row r="358" spans="13:14">
      <c r="M358" s="10" t="s">
        <v>456</v>
      </c>
      <c r="N358" s="15">
        <v>1</v>
      </c>
    </row>
    <row r="359" spans="13:14">
      <c r="M359" s="10" t="s">
        <v>511</v>
      </c>
      <c r="N359" s="15">
        <v>1</v>
      </c>
    </row>
    <row r="360" spans="13:14">
      <c r="M360" s="10" t="s">
        <v>1286</v>
      </c>
      <c r="N360" s="15">
        <v>1</v>
      </c>
    </row>
    <row r="361" spans="13:14">
      <c r="M361" s="10" t="s">
        <v>1011</v>
      </c>
      <c r="N361" s="15">
        <v>1</v>
      </c>
    </row>
    <row r="362" spans="13:14">
      <c r="M362" s="10" t="s">
        <v>548</v>
      </c>
      <c r="N362" s="15">
        <v>1</v>
      </c>
    </row>
    <row r="363" spans="13:14">
      <c r="M363" s="10" t="s">
        <v>516</v>
      </c>
      <c r="N363" s="15">
        <v>1</v>
      </c>
    </row>
    <row r="364" spans="13:14">
      <c r="M364" s="10" t="s">
        <v>367</v>
      </c>
      <c r="N364" s="15">
        <v>1</v>
      </c>
    </row>
    <row r="365" spans="13:14">
      <c r="M365" s="10" t="s">
        <v>595</v>
      </c>
      <c r="N365" s="15">
        <v>1</v>
      </c>
    </row>
    <row r="366" spans="13:14">
      <c r="M366" s="10" t="s">
        <v>1096</v>
      </c>
      <c r="N366" s="15">
        <v>1</v>
      </c>
    </row>
    <row r="367" spans="13:14">
      <c r="M367" s="10" t="s">
        <v>1154</v>
      </c>
      <c r="N367" s="15">
        <v>1</v>
      </c>
    </row>
    <row r="368" spans="13:14">
      <c r="M368" s="10" t="s">
        <v>1440</v>
      </c>
      <c r="N368" s="15">
        <v>1</v>
      </c>
    </row>
    <row r="369" spans="13:14">
      <c r="M369" s="10" t="s">
        <v>472</v>
      </c>
      <c r="N369" s="15">
        <v>1</v>
      </c>
    </row>
    <row r="370" spans="13:14">
      <c r="M370" s="10" t="s">
        <v>197</v>
      </c>
      <c r="N370" s="15">
        <v>1</v>
      </c>
    </row>
    <row r="371" spans="13:14">
      <c r="M371" s="10" t="s">
        <v>354</v>
      </c>
      <c r="N371" s="15">
        <v>1</v>
      </c>
    </row>
    <row r="372" spans="13:14">
      <c r="M372" s="10" t="s">
        <v>1109</v>
      </c>
      <c r="N372" s="15">
        <v>1</v>
      </c>
    </row>
    <row r="373" spans="13:14">
      <c r="M373" s="10" t="s">
        <v>244</v>
      </c>
      <c r="N373" s="15">
        <v>1</v>
      </c>
    </row>
    <row r="374" spans="13:14">
      <c r="M374" s="10" t="s">
        <v>1507</v>
      </c>
      <c r="N374" s="15">
        <v>1</v>
      </c>
    </row>
    <row r="375" spans="13:14">
      <c r="M375" s="10" t="s">
        <v>1277</v>
      </c>
      <c r="N375" s="15">
        <v>1</v>
      </c>
    </row>
    <row r="376" spans="13:14">
      <c r="M376" s="10" t="s">
        <v>1106</v>
      </c>
      <c r="N376" s="15">
        <v>1</v>
      </c>
    </row>
    <row r="377" spans="13:14">
      <c r="M377" s="10" t="s">
        <v>374</v>
      </c>
      <c r="N377" s="15">
        <v>1</v>
      </c>
    </row>
    <row r="378" spans="13:14">
      <c r="M378" s="10" t="s">
        <v>1289</v>
      </c>
      <c r="N378" s="15">
        <v>1</v>
      </c>
    </row>
    <row r="379" spans="13:14">
      <c r="M379" s="10" t="s">
        <v>680</v>
      </c>
      <c r="N379" s="15">
        <v>1</v>
      </c>
    </row>
    <row r="380" spans="13:14">
      <c r="M380" s="10" t="s">
        <v>1369</v>
      </c>
      <c r="N380" s="15">
        <v>1</v>
      </c>
    </row>
    <row r="381" spans="13:14">
      <c r="M381" s="10" t="s">
        <v>1396</v>
      </c>
      <c r="N381" s="15">
        <v>1</v>
      </c>
    </row>
    <row r="382" spans="13:14">
      <c r="M382" s="10" t="s">
        <v>509</v>
      </c>
      <c r="N382" s="15">
        <v>1</v>
      </c>
    </row>
    <row r="383" spans="13:14">
      <c r="M383" s="10" t="s">
        <v>194</v>
      </c>
      <c r="N383" s="15">
        <v>1</v>
      </c>
    </row>
    <row r="384" spans="13:14">
      <c r="M384" s="10" t="s">
        <v>933</v>
      </c>
      <c r="N384" s="15">
        <v>1</v>
      </c>
    </row>
    <row r="385" spans="13:14">
      <c r="M385" s="10" t="s">
        <v>1155</v>
      </c>
      <c r="N385" s="15">
        <v>1</v>
      </c>
    </row>
    <row r="386" spans="13:14">
      <c r="M386" s="10" t="s">
        <v>1290</v>
      </c>
      <c r="N386" s="15">
        <v>1</v>
      </c>
    </row>
    <row r="387" spans="13:14">
      <c r="M387" s="10" t="s">
        <v>1494</v>
      </c>
      <c r="N387" s="15">
        <v>1</v>
      </c>
    </row>
    <row r="388" spans="13:14">
      <c r="M388" s="10" t="s">
        <v>1261</v>
      </c>
      <c r="N388" s="15">
        <v>1</v>
      </c>
    </row>
    <row r="389" spans="13:14">
      <c r="M389" s="10" t="s">
        <v>1452</v>
      </c>
      <c r="N389" s="15">
        <v>1</v>
      </c>
    </row>
    <row r="390" spans="13:14">
      <c r="M390" s="10" t="s">
        <v>470</v>
      </c>
      <c r="N390" s="15">
        <v>1</v>
      </c>
    </row>
    <row r="391" spans="13:14">
      <c r="M391" s="10" t="s">
        <v>1423</v>
      </c>
      <c r="N391" s="15">
        <v>1</v>
      </c>
    </row>
    <row r="392" spans="13:14">
      <c r="M392" s="10" t="s">
        <v>975</v>
      </c>
      <c r="N392" s="15">
        <v>1</v>
      </c>
    </row>
    <row r="393" spans="13:14">
      <c r="M393" s="10" t="s">
        <v>1374</v>
      </c>
      <c r="N393" s="15">
        <v>1</v>
      </c>
    </row>
    <row r="394" spans="13:14">
      <c r="M394" s="10" t="s">
        <v>1335</v>
      </c>
      <c r="N394" s="15">
        <v>1</v>
      </c>
    </row>
    <row r="395" spans="13:14">
      <c r="M395" s="10" t="s">
        <v>441</v>
      </c>
      <c r="N395" s="15">
        <v>1</v>
      </c>
    </row>
    <row r="396" spans="13:14">
      <c r="M396" s="10" t="s">
        <v>533</v>
      </c>
      <c r="N396" s="15">
        <v>1</v>
      </c>
    </row>
    <row r="397" spans="13:14">
      <c r="M397" s="10" t="s">
        <v>692</v>
      </c>
      <c r="N397" s="15">
        <v>1</v>
      </c>
    </row>
    <row r="398" spans="13:14">
      <c r="M398" s="10" t="s">
        <v>550</v>
      </c>
      <c r="N398" s="15">
        <v>1</v>
      </c>
    </row>
    <row r="399" spans="13:14">
      <c r="M399" s="10" t="s">
        <v>1336</v>
      </c>
      <c r="N399" s="15">
        <v>1</v>
      </c>
    </row>
    <row r="400" spans="13:14">
      <c r="M400" s="10" t="s">
        <v>224</v>
      </c>
      <c r="N400" s="15">
        <v>1</v>
      </c>
    </row>
    <row r="401" spans="13:14">
      <c r="M401" s="10" t="s">
        <v>668</v>
      </c>
      <c r="N401" s="15">
        <v>1</v>
      </c>
    </row>
    <row r="402" spans="13:14">
      <c r="M402" s="10" t="s">
        <v>1235</v>
      </c>
      <c r="N402" s="15">
        <v>1</v>
      </c>
    </row>
    <row r="403" spans="13:14">
      <c r="M403" s="10" t="s">
        <v>1417</v>
      </c>
      <c r="N403" s="15">
        <v>1</v>
      </c>
    </row>
    <row r="404" spans="13:14">
      <c r="M404" s="10" t="s">
        <v>1248</v>
      </c>
      <c r="N404" s="15">
        <v>1</v>
      </c>
    </row>
    <row r="405" spans="13:14">
      <c r="M405" s="10" t="s">
        <v>1182</v>
      </c>
      <c r="N405" s="15">
        <v>1</v>
      </c>
    </row>
    <row r="406" spans="13:14">
      <c r="M406" s="10" t="s">
        <v>925</v>
      </c>
      <c r="N406" s="15">
        <v>1</v>
      </c>
    </row>
    <row r="407" spans="13:14">
      <c r="M407" s="10" t="s">
        <v>817</v>
      </c>
      <c r="N407" s="15">
        <v>1</v>
      </c>
    </row>
    <row r="408" spans="13:14">
      <c r="M408" s="10" t="s">
        <v>1350</v>
      </c>
      <c r="N408" s="15">
        <v>1</v>
      </c>
    </row>
    <row r="409" spans="13:14">
      <c r="M409" s="10" t="s">
        <v>804</v>
      </c>
      <c r="N409" s="15">
        <v>1</v>
      </c>
    </row>
    <row r="410" spans="13:14">
      <c r="M410" s="10" t="s">
        <v>667</v>
      </c>
      <c r="N410" s="15">
        <v>1</v>
      </c>
    </row>
    <row r="411" spans="13:14">
      <c r="M411" s="10" t="s">
        <v>700</v>
      </c>
      <c r="N411" s="15">
        <v>1</v>
      </c>
    </row>
    <row r="412" spans="13:14">
      <c r="M412" s="10" t="s">
        <v>1283</v>
      </c>
      <c r="N412" s="15">
        <v>1</v>
      </c>
    </row>
    <row r="413" spans="13:14">
      <c r="M413" s="10" t="s">
        <v>557</v>
      </c>
      <c r="N413" s="15">
        <v>1</v>
      </c>
    </row>
    <row r="414" spans="13:14">
      <c r="M414" s="10" t="s">
        <v>632</v>
      </c>
      <c r="N414" s="15">
        <v>1</v>
      </c>
    </row>
    <row r="415" spans="13:14">
      <c r="M415" s="10" t="s">
        <v>1496</v>
      </c>
      <c r="N415" s="15">
        <v>1</v>
      </c>
    </row>
    <row r="416" spans="13:14">
      <c r="M416" s="10" t="s">
        <v>1207</v>
      </c>
      <c r="N416" s="15">
        <v>1</v>
      </c>
    </row>
    <row r="417" spans="13:14">
      <c r="M417" s="10" t="s">
        <v>1245</v>
      </c>
      <c r="N417" s="15">
        <v>1</v>
      </c>
    </row>
    <row r="418" spans="13:14">
      <c r="M418" s="10" t="s">
        <v>953</v>
      </c>
      <c r="N418" s="15">
        <v>1</v>
      </c>
    </row>
    <row r="419" spans="13:14">
      <c r="M419" s="10" t="s">
        <v>956</v>
      </c>
      <c r="N419" s="15">
        <v>1</v>
      </c>
    </row>
    <row r="420" spans="13:14">
      <c r="M420" s="10" t="s">
        <v>1373</v>
      </c>
      <c r="N420" s="15">
        <v>1</v>
      </c>
    </row>
    <row r="421" spans="13:14">
      <c r="M421" s="10" t="s">
        <v>1173</v>
      </c>
      <c r="N421" s="15">
        <v>1</v>
      </c>
    </row>
    <row r="422" spans="13:14">
      <c r="M422" s="10" t="s">
        <v>401</v>
      </c>
      <c r="N422" s="15">
        <v>1</v>
      </c>
    </row>
    <row r="423" spans="13:14">
      <c r="M423" s="10" t="s">
        <v>1171</v>
      </c>
      <c r="N423" s="15">
        <v>1</v>
      </c>
    </row>
    <row r="424" spans="13:14">
      <c r="M424" s="10" t="s">
        <v>241</v>
      </c>
      <c r="N424" s="15">
        <v>1</v>
      </c>
    </row>
    <row r="425" spans="13:14">
      <c r="M425" s="10" t="s">
        <v>935</v>
      </c>
      <c r="N425" s="15">
        <v>1</v>
      </c>
    </row>
    <row r="426" spans="13:14">
      <c r="M426" s="10" t="s">
        <v>920</v>
      </c>
      <c r="N426" s="15">
        <v>1</v>
      </c>
    </row>
    <row r="427" spans="13:14">
      <c r="M427" s="10" t="s">
        <v>798</v>
      </c>
      <c r="N427" s="15">
        <v>1</v>
      </c>
    </row>
    <row r="428" spans="13:14">
      <c r="M428" s="10" t="s">
        <v>703</v>
      </c>
      <c r="N428" s="15">
        <v>1</v>
      </c>
    </row>
    <row r="429" spans="13:14">
      <c r="M429" s="10" t="s">
        <v>1436</v>
      </c>
      <c r="N429" s="15">
        <v>1</v>
      </c>
    </row>
    <row r="430" spans="13:14">
      <c r="M430" s="10" t="s">
        <v>623</v>
      </c>
      <c r="N430" s="15">
        <v>1</v>
      </c>
    </row>
    <row r="431" spans="13:14">
      <c r="M431" s="10" t="s">
        <v>1013</v>
      </c>
      <c r="N431" s="15">
        <v>1</v>
      </c>
    </row>
    <row r="432" spans="13:14">
      <c r="M432" s="10" t="s">
        <v>176</v>
      </c>
      <c r="N432" s="15">
        <v>1</v>
      </c>
    </row>
    <row r="433" spans="13:14">
      <c r="M433" s="10" t="s">
        <v>300</v>
      </c>
      <c r="N433" s="15">
        <v>1</v>
      </c>
    </row>
    <row r="434" spans="13:14">
      <c r="M434" s="10" t="s">
        <v>682</v>
      </c>
      <c r="N434" s="15">
        <v>1</v>
      </c>
    </row>
    <row r="435" spans="13:14">
      <c r="M435" s="10" t="s">
        <v>748</v>
      </c>
      <c r="N435" s="15">
        <v>1</v>
      </c>
    </row>
    <row r="436" spans="13:14">
      <c r="M436" s="10" t="s">
        <v>191</v>
      </c>
      <c r="N436" s="15">
        <v>1</v>
      </c>
    </row>
    <row r="437" spans="13:14">
      <c r="M437" s="10" t="s">
        <v>1524</v>
      </c>
      <c r="N437" s="15">
        <v>1</v>
      </c>
    </row>
    <row r="438" spans="13:14">
      <c r="M438" s="10" t="s">
        <v>439</v>
      </c>
      <c r="N438" s="15">
        <v>1</v>
      </c>
    </row>
    <row r="439" spans="13:14">
      <c r="M439" s="10" t="s">
        <v>1093</v>
      </c>
      <c r="N439" s="15">
        <v>1</v>
      </c>
    </row>
    <row r="440" spans="13:14">
      <c r="M440" s="10" t="s">
        <v>1243</v>
      </c>
      <c r="N440" s="15">
        <v>1</v>
      </c>
    </row>
    <row r="441" spans="13:14">
      <c r="M441" s="10" t="s">
        <v>585</v>
      </c>
      <c r="N441" s="15">
        <v>1</v>
      </c>
    </row>
    <row r="442" spans="13:14">
      <c r="M442" s="10" t="s">
        <v>686</v>
      </c>
      <c r="N442" s="15">
        <v>1</v>
      </c>
    </row>
    <row r="443" spans="13:14">
      <c r="M443" s="10" t="s">
        <v>1269</v>
      </c>
      <c r="N443" s="15">
        <v>1</v>
      </c>
    </row>
    <row r="444" spans="13:14">
      <c r="M444" s="10" t="s">
        <v>1110</v>
      </c>
      <c r="N444" s="15">
        <v>1</v>
      </c>
    </row>
    <row r="445" spans="13:14">
      <c r="M445" s="10" t="s">
        <v>675</v>
      </c>
      <c r="N445" s="15">
        <v>1</v>
      </c>
    </row>
    <row r="446" spans="13:14">
      <c r="M446" s="10" t="s">
        <v>1143</v>
      </c>
      <c r="N446" s="15">
        <v>1</v>
      </c>
    </row>
    <row r="447" spans="13:14">
      <c r="M447" s="10" t="s">
        <v>539</v>
      </c>
      <c r="N447" s="15">
        <v>1</v>
      </c>
    </row>
    <row r="448" spans="13:14">
      <c r="M448" s="10" t="s">
        <v>1036</v>
      </c>
      <c r="N448" s="15">
        <v>1</v>
      </c>
    </row>
    <row r="449" spans="13:14">
      <c r="M449" s="10" t="s">
        <v>1072</v>
      </c>
      <c r="N449" s="15">
        <v>1</v>
      </c>
    </row>
    <row r="450" spans="13:14">
      <c r="M450" s="10" t="s">
        <v>486</v>
      </c>
      <c r="N450" s="15">
        <v>1</v>
      </c>
    </row>
    <row r="451" spans="13:14">
      <c r="M451" s="10" t="s">
        <v>332</v>
      </c>
      <c r="N451" s="15">
        <v>1</v>
      </c>
    </row>
    <row r="452" spans="13:14">
      <c r="M452" s="10" t="s">
        <v>890</v>
      </c>
      <c r="N452" s="15">
        <v>1</v>
      </c>
    </row>
    <row r="453" spans="13:14">
      <c r="M453" s="10" t="s">
        <v>830</v>
      </c>
      <c r="N453" s="15">
        <v>1</v>
      </c>
    </row>
    <row r="454" spans="13:14">
      <c r="M454" s="10" t="s">
        <v>1195</v>
      </c>
      <c r="N454" s="15">
        <v>1</v>
      </c>
    </row>
    <row r="455" spans="13:14">
      <c r="M455" s="10" t="s">
        <v>656</v>
      </c>
      <c r="N455" s="15">
        <v>1</v>
      </c>
    </row>
    <row r="456" spans="13:14">
      <c r="M456" s="10" t="s">
        <v>1438</v>
      </c>
      <c r="N456" s="15">
        <v>1</v>
      </c>
    </row>
    <row r="457" spans="13:14">
      <c r="M457" s="10" t="s">
        <v>1409</v>
      </c>
      <c r="N457" s="15">
        <v>1</v>
      </c>
    </row>
    <row r="458" spans="13:14">
      <c r="M458" s="10" t="s">
        <v>743</v>
      </c>
      <c r="N458" s="15">
        <v>1</v>
      </c>
    </row>
    <row r="459" spans="13:14">
      <c r="M459" s="10" t="s">
        <v>789</v>
      </c>
      <c r="N459" s="15">
        <v>1</v>
      </c>
    </row>
    <row r="460" spans="13:14">
      <c r="M460" s="10" t="s">
        <v>1510</v>
      </c>
      <c r="N460" s="15">
        <v>1</v>
      </c>
    </row>
    <row r="461" spans="13:14">
      <c r="M461" s="10" t="s">
        <v>1488</v>
      </c>
      <c r="N461" s="15">
        <v>1</v>
      </c>
    </row>
    <row r="462" spans="13:14">
      <c r="M462" s="10" t="s">
        <v>1331</v>
      </c>
      <c r="N462" s="15">
        <v>1</v>
      </c>
    </row>
    <row r="463" spans="13:14">
      <c r="M463" s="10" t="s">
        <v>1407</v>
      </c>
      <c r="N463" s="15">
        <v>1</v>
      </c>
    </row>
    <row r="464" spans="13:14">
      <c r="M464" s="10" t="s">
        <v>326</v>
      </c>
      <c r="N464" s="15">
        <v>1</v>
      </c>
    </row>
    <row r="465" spans="13:14">
      <c r="M465" s="10" t="s">
        <v>1223</v>
      </c>
      <c r="N465" s="15">
        <v>1</v>
      </c>
    </row>
    <row r="466" spans="13:14">
      <c r="M466" s="10" t="s">
        <v>544</v>
      </c>
      <c r="N466" s="15">
        <v>1</v>
      </c>
    </row>
    <row r="467" spans="13:14">
      <c r="M467" s="10" t="s">
        <v>363</v>
      </c>
      <c r="N467" s="15">
        <v>1</v>
      </c>
    </row>
    <row r="468" spans="13:14">
      <c r="M468" s="10" t="s">
        <v>1515</v>
      </c>
      <c r="N468" s="15">
        <v>1</v>
      </c>
    </row>
    <row r="469" spans="13:14">
      <c r="M469" s="10" t="s">
        <v>312</v>
      </c>
      <c r="N469" s="15">
        <v>1</v>
      </c>
    </row>
    <row r="470" spans="13:14">
      <c r="M470" s="10" t="s">
        <v>647</v>
      </c>
      <c r="N470" s="15">
        <v>1</v>
      </c>
    </row>
    <row r="471" spans="13:14">
      <c r="M471" s="10" t="s">
        <v>1107</v>
      </c>
      <c r="N471" s="15">
        <v>1</v>
      </c>
    </row>
    <row r="472" spans="13:14">
      <c r="M472" s="10" t="s">
        <v>205</v>
      </c>
      <c r="N472" s="15">
        <v>1</v>
      </c>
    </row>
    <row r="473" spans="13:14">
      <c r="M473" s="10" t="s">
        <v>1383</v>
      </c>
      <c r="N473" s="15">
        <v>1</v>
      </c>
    </row>
    <row r="474" spans="13:14">
      <c r="M474" s="10" t="s">
        <v>253</v>
      </c>
      <c r="N474" s="15">
        <v>1</v>
      </c>
    </row>
    <row r="475" spans="13:14">
      <c r="M475" s="10" t="s">
        <v>952</v>
      </c>
      <c r="N475" s="15">
        <v>1</v>
      </c>
    </row>
    <row r="476" spans="13:14">
      <c r="M476" s="10" t="s">
        <v>1481</v>
      </c>
      <c r="N476" s="15">
        <v>1</v>
      </c>
    </row>
    <row r="477" spans="13:14">
      <c r="M477" s="10" t="s">
        <v>1473</v>
      </c>
      <c r="N477" s="15">
        <v>1</v>
      </c>
    </row>
    <row r="478" spans="13:14">
      <c r="M478" s="10" t="s">
        <v>1419</v>
      </c>
      <c r="N478" s="15">
        <v>1</v>
      </c>
    </row>
    <row r="479" spans="13:14">
      <c r="M479" s="10" t="s">
        <v>1057</v>
      </c>
      <c r="N479" s="15">
        <v>1</v>
      </c>
    </row>
    <row r="480" spans="13:14">
      <c r="M480" s="10" t="s">
        <v>823</v>
      </c>
      <c r="N480" s="15">
        <v>1</v>
      </c>
    </row>
    <row r="481" spans="13:14">
      <c r="M481" s="10" t="s">
        <v>279</v>
      </c>
      <c r="N481" s="15">
        <v>1</v>
      </c>
    </row>
    <row r="482" spans="13:14">
      <c r="M482" s="10" t="s">
        <v>644</v>
      </c>
      <c r="N482" s="15">
        <v>1</v>
      </c>
    </row>
    <row r="483" spans="13:14">
      <c r="M483" s="10" t="s">
        <v>552</v>
      </c>
      <c r="N483" s="15">
        <v>1</v>
      </c>
    </row>
    <row r="484" spans="13:14">
      <c r="M484" s="10" t="s">
        <v>963</v>
      </c>
      <c r="N484" s="15">
        <v>1</v>
      </c>
    </row>
    <row r="485" spans="13:14">
      <c r="M485" s="10" t="s">
        <v>1140</v>
      </c>
      <c r="N485" s="15">
        <v>1</v>
      </c>
    </row>
    <row r="486" spans="13:14">
      <c r="M486" s="10" t="s">
        <v>1457</v>
      </c>
      <c r="N486" s="15">
        <v>1</v>
      </c>
    </row>
    <row r="487" spans="13:14">
      <c r="M487" s="10" t="s">
        <v>987</v>
      </c>
      <c r="N487" s="15">
        <v>1</v>
      </c>
    </row>
    <row r="488" spans="13:14">
      <c r="M488" s="10" t="s">
        <v>769</v>
      </c>
      <c r="N488" s="15">
        <v>1</v>
      </c>
    </row>
    <row r="489" spans="13:14">
      <c r="M489" s="10" t="s">
        <v>1025</v>
      </c>
      <c r="N489" s="15">
        <v>1</v>
      </c>
    </row>
    <row r="490" spans="13:14">
      <c r="M490" s="10" t="s">
        <v>1213</v>
      </c>
      <c r="N490" s="15">
        <v>1</v>
      </c>
    </row>
    <row r="491" spans="13:14">
      <c r="M491" s="10" t="s">
        <v>1367</v>
      </c>
      <c r="N491" s="15">
        <v>1</v>
      </c>
    </row>
    <row r="492" spans="13:14">
      <c r="M492" s="10" t="s">
        <v>322</v>
      </c>
      <c r="N492" s="15">
        <v>1</v>
      </c>
    </row>
    <row r="493" spans="13:14">
      <c r="M493" s="10" t="s">
        <v>1498</v>
      </c>
      <c r="N493" s="15">
        <v>1</v>
      </c>
    </row>
    <row r="494" spans="13:14">
      <c r="M494" s="10" t="s">
        <v>1395</v>
      </c>
      <c r="N494" s="15">
        <v>1</v>
      </c>
    </row>
    <row r="495" spans="13:14">
      <c r="M495" s="10" t="s">
        <v>841</v>
      </c>
      <c r="N495" s="15">
        <v>1</v>
      </c>
    </row>
    <row r="496" spans="13:14">
      <c r="M496" s="10" t="s">
        <v>1068</v>
      </c>
      <c r="N496" s="15">
        <v>1</v>
      </c>
    </row>
    <row r="497" spans="13:14">
      <c r="M497" s="10" t="s">
        <v>1082</v>
      </c>
      <c r="N497" s="15">
        <v>1</v>
      </c>
    </row>
    <row r="498" spans="13:14">
      <c r="M498" s="10" t="s">
        <v>1271</v>
      </c>
      <c r="N498" s="15">
        <v>1</v>
      </c>
    </row>
    <row r="499" spans="13:14">
      <c r="M499" s="10" t="s">
        <v>813</v>
      </c>
      <c r="N499" s="15">
        <v>1</v>
      </c>
    </row>
    <row r="500" spans="13:14">
      <c r="M500" s="10" t="s">
        <v>1377</v>
      </c>
      <c r="N500" s="15">
        <v>1</v>
      </c>
    </row>
    <row r="501" spans="13:14">
      <c r="M501" s="10" t="s">
        <v>1029</v>
      </c>
      <c r="N501" s="15">
        <v>1</v>
      </c>
    </row>
    <row r="502" spans="13:14">
      <c r="M502" s="10" t="s">
        <v>1008</v>
      </c>
      <c r="N502" s="15">
        <v>1</v>
      </c>
    </row>
    <row r="503" spans="13:14">
      <c r="M503" s="10" t="s">
        <v>105</v>
      </c>
      <c r="N503" s="15">
        <v>1</v>
      </c>
    </row>
    <row r="504" spans="13:14">
      <c r="M504" s="10" t="s">
        <v>1352</v>
      </c>
      <c r="N504" s="15">
        <v>1</v>
      </c>
    </row>
    <row r="505" spans="13:14">
      <c r="M505" s="10" t="s">
        <v>501</v>
      </c>
      <c r="N505" s="15">
        <v>1</v>
      </c>
    </row>
    <row r="506" spans="13:14">
      <c r="M506" s="10" t="s">
        <v>1460</v>
      </c>
      <c r="N506" s="15">
        <v>1</v>
      </c>
    </row>
    <row r="507" spans="13:14">
      <c r="M507" s="10" t="s">
        <v>1297</v>
      </c>
      <c r="N507" s="15">
        <v>1</v>
      </c>
    </row>
    <row r="508" spans="13:14">
      <c r="M508" s="10" t="s">
        <v>320</v>
      </c>
      <c r="N508" s="15">
        <v>1</v>
      </c>
    </row>
    <row r="509" spans="13:14">
      <c r="M509" s="10" t="s">
        <v>783</v>
      </c>
      <c r="N509" s="15">
        <v>1</v>
      </c>
    </row>
    <row r="510" spans="13:14">
      <c r="M510" s="10" t="s">
        <v>1435</v>
      </c>
      <c r="N510" s="15">
        <v>1</v>
      </c>
    </row>
    <row r="511" spans="13:14">
      <c r="M511" s="10" t="s">
        <v>1264</v>
      </c>
      <c r="N511" s="15">
        <v>1</v>
      </c>
    </row>
    <row r="512" spans="13:14">
      <c r="M512" s="10" t="s">
        <v>1477</v>
      </c>
      <c r="N512" s="15">
        <v>1</v>
      </c>
    </row>
    <row r="513" spans="13:14">
      <c r="M513" s="10" t="s">
        <v>1042</v>
      </c>
      <c r="N513" s="15">
        <v>1</v>
      </c>
    </row>
    <row r="514" spans="13:14">
      <c r="M514" s="10" t="s">
        <v>950</v>
      </c>
      <c r="N514" s="15">
        <v>1</v>
      </c>
    </row>
    <row r="515" spans="13:14">
      <c r="M515" s="10" t="s">
        <v>1051</v>
      </c>
      <c r="N515" s="15">
        <v>1</v>
      </c>
    </row>
    <row r="516" spans="13:14">
      <c r="M516" s="10" t="s">
        <v>696</v>
      </c>
      <c r="N516" s="15">
        <v>1</v>
      </c>
    </row>
    <row r="517" spans="13:14">
      <c r="M517" s="10" t="s">
        <v>1128</v>
      </c>
      <c r="N517" s="15">
        <v>1</v>
      </c>
    </row>
    <row r="518" spans="13:14">
      <c r="M518" s="10" t="s">
        <v>648</v>
      </c>
      <c r="N518" s="15">
        <v>1</v>
      </c>
    </row>
    <row r="519" spans="13:14">
      <c r="M519" s="10" t="s">
        <v>699</v>
      </c>
      <c r="N519" s="15">
        <v>1</v>
      </c>
    </row>
    <row r="520" spans="13:14">
      <c r="M520" s="10" t="s">
        <v>811</v>
      </c>
      <c r="N520" s="15">
        <v>1</v>
      </c>
    </row>
    <row r="521" spans="13:14">
      <c r="M521" s="10" t="s">
        <v>993</v>
      </c>
      <c r="N521" s="15">
        <v>1</v>
      </c>
    </row>
    <row r="522" spans="13:14">
      <c r="M522" s="10" t="s">
        <v>1388</v>
      </c>
      <c r="N522" s="15">
        <v>1</v>
      </c>
    </row>
    <row r="523" spans="13:14">
      <c r="M523" s="10" t="s">
        <v>784</v>
      </c>
      <c r="N523" s="15">
        <v>1</v>
      </c>
    </row>
    <row r="524" spans="13:14">
      <c r="M524" s="10" t="s">
        <v>885</v>
      </c>
      <c r="N524" s="15">
        <v>1</v>
      </c>
    </row>
    <row r="525" spans="13:14">
      <c r="M525" s="10" t="s">
        <v>1017</v>
      </c>
      <c r="N525" s="15">
        <v>1</v>
      </c>
    </row>
    <row r="526" spans="13:14">
      <c r="M526" s="10" t="s">
        <v>1313</v>
      </c>
      <c r="N526" s="15">
        <v>1</v>
      </c>
    </row>
    <row r="527" spans="13:14">
      <c r="M527" s="10" t="s">
        <v>1130</v>
      </c>
      <c r="N527" s="15">
        <v>1</v>
      </c>
    </row>
    <row r="528" spans="13:14">
      <c r="M528" s="10" t="s">
        <v>487</v>
      </c>
      <c r="N528" s="15">
        <v>1</v>
      </c>
    </row>
    <row r="529" spans="13:14">
      <c r="M529" s="10" t="s">
        <v>1145</v>
      </c>
      <c r="N529" s="15">
        <v>1</v>
      </c>
    </row>
    <row r="530" spans="13:14">
      <c r="M530" s="10" t="s">
        <v>1161</v>
      </c>
      <c r="N530" s="15">
        <v>1</v>
      </c>
    </row>
    <row r="531" spans="13:14">
      <c r="M531" s="10" t="s">
        <v>1048</v>
      </c>
      <c r="N531" s="15">
        <v>1</v>
      </c>
    </row>
    <row r="532" spans="13:14">
      <c r="M532" s="10" t="s">
        <v>627</v>
      </c>
      <c r="N532" s="15">
        <v>1</v>
      </c>
    </row>
    <row r="533" spans="13:14">
      <c r="M533" s="10" t="s">
        <v>778</v>
      </c>
      <c r="N533" s="15">
        <v>1</v>
      </c>
    </row>
    <row r="534" spans="13:14">
      <c r="M534" s="10" t="s">
        <v>1046</v>
      </c>
      <c r="N534" s="15">
        <v>1</v>
      </c>
    </row>
    <row r="535" spans="13:14">
      <c r="M535" s="10" t="s">
        <v>1071</v>
      </c>
      <c r="N535" s="15">
        <v>1</v>
      </c>
    </row>
    <row r="536" spans="13:14">
      <c r="M536" s="10" t="s">
        <v>1169</v>
      </c>
      <c r="N536" s="15">
        <v>1</v>
      </c>
    </row>
    <row r="537" spans="13:14">
      <c r="M537" s="10" t="s">
        <v>1132</v>
      </c>
      <c r="N537" s="15">
        <v>1</v>
      </c>
    </row>
    <row r="538" spans="13:14">
      <c r="M538" s="10" t="s">
        <v>163</v>
      </c>
      <c r="N538" s="15">
        <v>1</v>
      </c>
    </row>
    <row r="539" spans="13:14">
      <c r="M539" s="10" t="s">
        <v>563</v>
      </c>
      <c r="N539" s="15">
        <v>1</v>
      </c>
    </row>
    <row r="540" spans="13:14">
      <c r="M540" s="10" t="s">
        <v>898</v>
      </c>
      <c r="N540" s="15">
        <v>1</v>
      </c>
    </row>
    <row r="541" spans="13:14">
      <c r="M541" s="10" t="s">
        <v>129</v>
      </c>
      <c r="N541" s="15">
        <v>1</v>
      </c>
    </row>
    <row r="542" spans="13:14">
      <c r="M542" s="10" t="s">
        <v>1316</v>
      </c>
      <c r="N542" s="15">
        <v>1</v>
      </c>
    </row>
    <row r="543" spans="13:14">
      <c r="M543" s="10" t="s">
        <v>870</v>
      </c>
      <c r="N543" s="15">
        <v>1</v>
      </c>
    </row>
    <row r="544" spans="13:14">
      <c r="M544" s="10" t="s">
        <v>1002</v>
      </c>
      <c r="N544" s="15">
        <v>1</v>
      </c>
    </row>
    <row r="545" spans="13:14">
      <c r="M545" s="10" t="s">
        <v>1163</v>
      </c>
      <c r="N545" s="15">
        <v>1</v>
      </c>
    </row>
    <row r="546" spans="13:14">
      <c r="M546" s="10" t="s">
        <v>1152</v>
      </c>
      <c r="N546" s="15">
        <v>1</v>
      </c>
    </row>
    <row r="547" spans="13:14">
      <c r="M547" s="10" t="s">
        <v>384</v>
      </c>
      <c r="N547" s="15">
        <v>1</v>
      </c>
    </row>
    <row r="548" spans="13:14">
      <c r="M548" s="10" t="s">
        <v>1346</v>
      </c>
      <c r="N548" s="15">
        <v>1</v>
      </c>
    </row>
    <row r="549" spans="13:14">
      <c r="M549" s="10" t="s">
        <v>1066</v>
      </c>
      <c r="N549" s="15">
        <v>1</v>
      </c>
    </row>
    <row r="550" spans="13:14">
      <c r="M550" s="10" t="s">
        <v>904</v>
      </c>
      <c r="N550" s="15">
        <v>1</v>
      </c>
    </row>
    <row r="551" spans="13:14">
      <c r="M551" s="10" t="s">
        <v>1201</v>
      </c>
      <c r="N551" s="15">
        <v>1</v>
      </c>
    </row>
    <row r="552" spans="13:14">
      <c r="M552" s="10" t="s">
        <v>283</v>
      </c>
      <c r="N552" s="15">
        <v>1</v>
      </c>
    </row>
    <row r="553" spans="13:14">
      <c r="M553" s="10" t="s">
        <v>1158</v>
      </c>
      <c r="N553" s="15">
        <v>1</v>
      </c>
    </row>
    <row r="554" spans="13:14">
      <c r="M554" s="10" t="s">
        <v>419</v>
      </c>
      <c r="N554" s="15">
        <v>1</v>
      </c>
    </row>
    <row r="555" spans="13:14">
      <c r="M555" s="10" t="s">
        <v>1332</v>
      </c>
      <c r="N555" s="15">
        <v>1</v>
      </c>
    </row>
    <row r="556" spans="13:14">
      <c r="M556" s="10" t="s">
        <v>641</v>
      </c>
      <c r="N556" s="15">
        <v>1</v>
      </c>
    </row>
    <row r="557" spans="13:14">
      <c r="M557" s="10" t="s">
        <v>1416</v>
      </c>
      <c r="N557" s="15">
        <v>1</v>
      </c>
    </row>
    <row r="558" spans="13:14">
      <c r="M558" s="10" t="s">
        <v>1303</v>
      </c>
      <c r="N558" s="15">
        <v>1</v>
      </c>
    </row>
    <row r="559" spans="13:14">
      <c r="M559" s="10" t="s">
        <v>1203</v>
      </c>
      <c r="N559" s="15">
        <v>1</v>
      </c>
    </row>
    <row r="560" spans="13:14">
      <c r="M560" s="10" t="s">
        <v>1216</v>
      </c>
      <c r="N560" s="15">
        <v>1</v>
      </c>
    </row>
    <row r="561" spans="13:14">
      <c r="M561" s="10" t="s">
        <v>478</v>
      </c>
      <c r="N561" s="15">
        <v>1</v>
      </c>
    </row>
    <row r="562" spans="13:14">
      <c r="M562" s="10" t="s">
        <v>1483</v>
      </c>
      <c r="N562" s="15">
        <v>1</v>
      </c>
    </row>
    <row r="563" spans="13:14">
      <c r="M563" s="10" t="s">
        <v>1429</v>
      </c>
      <c r="N563" s="15">
        <v>1</v>
      </c>
    </row>
    <row r="564" spans="13:14">
      <c r="M564" s="10" t="s">
        <v>1465</v>
      </c>
      <c r="N564" s="15">
        <v>1</v>
      </c>
    </row>
    <row r="565" spans="13:14">
      <c r="M565" s="10" t="s">
        <v>1325</v>
      </c>
      <c r="N565" s="15">
        <v>1</v>
      </c>
    </row>
    <row r="566" spans="13:14">
      <c r="M566" s="10" t="s">
        <v>1443</v>
      </c>
      <c r="N566" s="15">
        <v>1</v>
      </c>
    </row>
    <row r="567" spans="13:14">
      <c r="M567" s="10" t="s">
        <v>1422</v>
      </c>
      <c r="N567" s="15">
        <v>1</v>
      </c>
    </row>
    <row r="568" spans="13:14">
      <c r="M568" s="10" t="s">
        <v>1463</v>
      </c>
      <c r="N568" s="15">
        <v>1</v>
      </c>
    </row>
    <row r="569" spans="13:14">
      <c r="M569" s="10" t="s">
        <v>983</v>
      </c>
      <c r="N569" s="15">
        <v>1</v>
      </c>
    </row>
    <row r="570" spans="13:14">
      <c r="M570" s="10" t="s">
        <v>1031</v>
      </c>
      <c r="N570" s="15">
        <v>1</v>
      </c>
    </row>
    <row r="571" spans="13:14">
      <c r="M571" s="10" t="s">
        <v>916</v>
      </c>
      <c r="N571" s="15">
        <v>1</v>
      </c>
    </row>
    <row r="572" spans="13:14">
      <c r="M572" s="10" t="s">
        <v>433</v>
      </c>
      <c r="N572" s="15">
        <v>1</v>
      </c>
    </row>
    <row r="573" spans="13:14">
      <c r="M573" s="10" t="s">
        <v>1220</v>
      </c>
      <c r="N573" s="15">
        <v>1</v>
      </c>
    </row>
    <row r="574" spans="13:14">
      <c r="M574" s="10" t="s">
        <v>572</v>
      </c>
      <c r="N574" s="15">
        <v>1</v>
      </c>
    </row>
    <row r="575" spans="13:14">
      <c r="M575" s="10" t="s">
        <v>1349</v>
      </c>
      <c r="N575" s="15">
        <v>1</v>
      </c>
    </row>
    <row r="576" spans="13:14">
      <c r="M576" s="10" t="s">
        <v>1329</v>
      </c>
      <c r="N576" s="15">
        <v>1</v>
      </c>
    </row>
    <row r="577" spans="13:14">
      <c r="M577" s="10" t="s">
        <v>1058</v>
      </c>
      <c r="N577" s="15">
        <v>1</v>
      </c>
    </row>
    <row r="578" spans="13:14">
      <c r="M578" s="10" t="s">
        <v>1200</v>
      </c>
      <c r="N578" s="15">
        <v>1</v>
      </c>
    </row>
    <row r="579" spans="13:14">
      <c r="M579" s="10" t="s">
        <v>1305</v>
      </c>
      <c r="N579" s="15">
        <v>1</v>
      </c>
    </row>
    <row r="580" spans="13:14">
      <c r="M580" s="10" t="s">
        <v>304</v>
      </c>
      <c r="N580" s="15">
        <v>1</v>
      </c>
    </row>
    <row r="581" spans="13:14">
      <c r="M581" s="10" t="s">
        <v>1257</v>
      </c>
      <c r="N581" s="15">
        <v>1</v>
      </c>
    </row>
    <row r="582" spans="13:14">
      <c r="M582" s="10" t="s">
        <v>209</v>
      </c>
      <c r="N582" s="15">
        <v>1</v>
      </c>
    </row>
    <row r="583" spans="13:14">
      <c r="M583" s="10" t="s">
        <v>997</v>
      </c>
      <c r="N583" s="15">
        <v>1</v>
      </c>
    </row>
    <row r="584" spans="13:14">
      <c r="M584" s="10" t="s">
        <v>1165</v>
      </c>
      <c r="N584" s="15">
        <v>1</v>
      </c>
    </row>
    <row r="585" spans="13:14">
      <c r="M585" s="10" t="s">
        <v>763</v>
      </c>
      <c r="N585" s="15">
        <v>1</v>
      </c>
    </row>
    <row r="586" spans="13:14">
      <c r="M586" s="10" t="s">
        <v>597</v>
      </c>
      <c r="N586" s="15">
        <v>1</v>
      </c>
    </row>
    <row r="587" spans="13:14">
      <c r="M587" s="10" t="s">
        <v>68</v>
      </c>
      <c r="N587" s="15">
        <v>1</v>
      </c>
    </row>
    <row r="588" spans="13:14">
      <c r="M588" s="10" t="s">
        <v>578</v>
      </c>
      <c r="N588" s="15">
        <v>1</v>
      </c>
    </row>
    <row r="589" spans="13:14">
      <c r="M589" s="10" t="s">
        <v>1260</v>
      </c>
      <c r="N589" s="15">
        <v>1</v>
      </c>
    </row>
    <row r="590" spans="13:14">
      <c r="M590" s="10" t="s">
        <v>1188</v>
      </c>
      <c r="N590" s="15">
        <v>1</v>
      </c>
    </row>
    <row r="591" spans="13:14">
      <c r="M591" s="10" t="s">
        <v>967</v>
      </c>
      <c r="N591" s="15">
        <v>1</v>
      </c>
    </row>
    <row r="592" spans="13:14">
      <c r="M592" s="10" t="s">
        <v>878</v>
      </c>
      <c r="N592" s="15">
        <v>1</v>
      </c>
    </row>
    <row r="593" spans="13:14">
      <c r="M593" s="10" t="s">
        <v>184</v>
      </c>
      <c r="N593" s="15">
        <v>1</v>
      </c>
    </row>
    <row r="594" spans="13:14">
      <c r="M594" s="10" t="s">
        <v>1376</v>
      </c>
      <c r="N594" s="15">
        <v>1</v>
      </c>
    </row>
    <row r="595" spans="13:14">
      <c r="M595" s="10" t="s">
        <v>873</v>
      </c>
      <c r="N595" s="15">
        <v>1</v>
      </c>
    </row>
    <row r="596" spans="13:14">
      <c r="M596" s="10" t="s">
        <v>21</v>
      </c>
      <c r="N596" s="15">
        <v>1</v>
      </c>
    </row>
    <row r="597" spans="13:14">
      <c r="M597" s="10" t="s">
        <v>847</v>
      </c>
      <c r="N597" s="15">
        <v>1</v>
      </c>
    </row>
    <row r="598" spans="13:14">
      <c r="M598" s="10" t="s">
        <v>730</v>
      </c>
      <c r="N598" s="15">
        <v>1</v>
      </c>
    </row>
    <row r="599" spans="13:14">
      <c r="M599" s="10" t="s">
        <v>448</v>
      </c>
      <c r="N599" s="15">
        <v>1</v>
      </c>
    </row>
    <row r="600" spans="13:14">
      <c r="M600" s="10" t="s">
        <v>1089</v>
      </c>
      <c r="N600" s="15">
        <v>1</v>
      </c>
    </row>
    <row r="601" spans="13:14">
      <c r="M601" s="10" t="s">
        <v>141</v>
      </c>
      <c r="N601" s="15">
        <v>1</v>
      </c>
    </row>
    <row r="602" spans="13:14">
      <c r="M602" s="10" t="s">
        <v>1449</v>
      </c>
      <c r="N602" s="15">
        <v>1</v>
      </c>
    </row>
    <row r="603" spans="13:14">
      <c r="M603" s="10" t="s">
        <v>1280</v>
      </c>
      <c r="N603" s="15">
        <v>1</v>
      </c>
    </row>
    <row r="604" spans="13:14">
      <c r="M604" s="10" t="s">
        <v>943</v>
      </c>
      <c r="N604" s="15">
        <v>1</v>
      </c>
    </row>
    <row r="605" spans="13:14">
      <c r="M605" s="10" t="s">
        <v>688</v>
      </c>
      <c r="N605" s="15">
        <v>1</v>
      </c>
    </row>
    <row r="606" spans="13:14">
      <c r="M606" s="10" t="s">
        <v>1211</v>
      </c>
      <c r="N606" s="15">
        <v>1</v>
      </c>
    </row>
    <row r="607" spans="13:14">
      <c r="M607" s="10" t="s">
        <v>268</v>
      </c>
      <c r="N607" s="15">
        <v>1</v>
      </c>
    </row>
    <row r="608" spans="13:14">
      <c r="M608" s="10" t="s">
        <v>611</v>
      </c>
      <c r="N608" s="15">
        <v>1</v>
      </c>
    </row>
    <row r="609" spans="13:14">
      <c r="M609" s="10" t="s">
        <v>606</v>
      </c>
      <c r="N609" s="15">
        <v>1</v>
      </c>
    </row>
    <row r="610" spans="13:14">
      <c r="M610" s="10" t="s">
        <v>259</v>
      </c>
      <c r="N610" s="15">
        <v>1</v>
      </c>
    </row>
    <row r="611" spans="13:14">
      <c r="M611" s="10" t="s">
        <v>894</v>
      </c>
      <c r="N611" s="15">
        <v>1</v>
      </c>
    </row>
    <row r="612" spans="13:14">
      <c r="M612" s="10" t="s">
        <v>625</v>
      </c>
      <c r="N612" s="15">
        <v>1</v>
      </c>
    </row>
    <row r="613" spans="13:14">
      <c r="M613" s="10" t="s">
        <v>609</v>
      </c>
      <c r="N613" s="15">
        <v>1</v>
      </c>
    </row>
    <row r="614" spans="13:14">
      <c r="M614" s="10" t="s">
        <v>1344</v>
      </c>
      <c r="N614" s="15">
        <v>1</v>
      </c>
    </row>
    <row r="615" spans="13:14">
      <c r="M615" s="10" t="s">
        <v>671</v>
      </c>
      <c r="N615" s="15">
        <v>1</v>
      </c>
    </row>
    <row r="616" spans="13:14">
      <c r="M616" s="10" t="s">
        <v>1517</v>
      </c>
      <c r="N616" s="15">
        <v>1</v>
      </c>
    </row>
    <row r="617" spans="13:14">
      <c r="M617" s="10" t="s">
        <v>637</v>
      </c>
      <c r="N617" s="15">
        <v>1</v>
      </c>
    </row>
    <row r="618" spans="13:14">
      <c r="M618" s="10" t="s">
        <v>1192</v>
      </c>
      <c r="N618" s="15">
        <v>1</v>
      </c>
    </row>
    <row r="619" spans="13:14">
      <c r="M619" s="10" t="s">
        <v>776</v>
      </c>
      <c r="N619" s="15">
        <v>1</v>
      </c>
    </row>
    <row r="620" spans="13:14">
      <c r="M620" s="10" t="s">
        <v>834</v>
      </c>
      <c r="N620" s="15">
        <v>1</v>
      </c>
    </row>
    <row r="621" spans="13:14">
      <c r="M621" s="10" t="s">
        <v>797</v>
      </c>
      <c r="N621" s="15">
        <v>1</v>
      </c>
    </row>
    <row r="622" spans="13:14">
      <c r="M622" s="10" t="s">
        <v>503</v>
      </c>
      <c r="N622" s="15">
        <v>1</v>
      </c>
    </row>
    <row r="623" spans="13:14">
      <c r="M623" s="10" t="s">
        <v>1295</v>
      </c>
      <c r="N623" s="15">
        <v>1</v>
      </c>
    </row>
    <row r="624" spans="13:14">
      <c r="M624" s="10" t="s">
        <v>392</v>
      </c>
      <c r="N624" s="15">
        <v>1</v>
      </c>
    </row>
    <row r="625" spans="13:14">
      <c r="M625" s="10" t="s">
        <v>588</v>
      </c>
      <c r="N625" s="15">
        <v>1</v>
      </c>
    </row>
    <row r="626" spans="13:14">
      <c r="M626" s="10" t="s">
        <v>860</v>
      </c>
      <c r="N626" s="15">
        <v>1</v>
      </c>
    </row>
    <row r="627" spans="13:14">
      <c r="M627" s="10" t="s">
        <v>1267</v>
      </c>
      <c r="N627" s="15">
        <v>1</v>
      </c>
    </row>
    <row r="628" spans="13:14">
      <c r="M628" s="10" t="s">
        <v>525</v>
      </c>
      <c r="N628" s="15">
        <v>1</v>
      </c>
    </row>
    <row r="629" spans="13:14">
      <c r="M629" s="10" t="s">
        <v>298</v>
      </c>
      <c r="N629" s="15">
        <v>1</v>
      </c>
    </row>
    <row r="630" spans="13:14">
      <c r="M630" s="10" t="s">
        <v>629</v>
      </c>
      <c r="N630" s="15">
        <v>1</v>
      </c>
    </row>
    <row r="631" spans="13:14">
      <c r="M631" s="10" t="s">
        <v>923</v>
      </c>
      <c r="N631" s="15">
        <v>1</v>
      </c>
    </row>
    <row r="632" spans="13:14">
      <c r="M632" s="10" t="s">
        <v>425</v>
      </c>
      <c r="N632" s="15">
        <v>1</v>
      </c>
    </row>
    <row r="633" spans="13:14">
      <c r="M633" s="10" t="s">
        <v>568</v>
      </c>
      <c r="N633" s="15">
        <v>1</v>
      </c>
    </row>
    <row r="634" spans="13:14">
      <c r="M634" s="10" t="s">
        <v>992</v>
      </c>
      <c r="N634" s="15">
        <v>1</v>
      </c>
    </row>
    <row r="635" spans="13:14">
      <c r="M635" s="10" t="s">
        <v>1135</v>
      </c>
      <c r="N635" s="15">
        <v>1</v>
      </c>
    </row>
    <row r="636" spans="13:14">
      <c r="M636" s="10" t="s">
        <v>492</v>
      </c>
      <c r="N636" s="15">
        <v>1</v>
      </c>
    </row>
    <row r="637" spans="13:14">
      <c r="M637" s="10" t="s">
        <v>819</v>
      </c>
      <c r="N637" s="15">
        <v>1</v>
      </c>
    </row>
    <row r="638" spans="13:14">
      <c r="M638" s="10" t="s">
        <v>912</v>
      </c>
      <c r="N638" s="15">
        <v>1</v>
      </c>
    </row>
    <row r="639" spans="13:14">
      <c r="M639" s="10" t="s">
        <v>151</v>
      </c>
      <c r="N639" s="15">
        <v>1</v>
      </c>
    </row>
    <row r="640" spans="13:14">
      <c r="M640" s="10" t="s">
        <v>705</v>
      </c>
      <c r="N640" s="15">
        <v>1</v>
      </c>
    </row>
    <row r="641" spans="13:14">
      <c r="M641" s="10" t="s">
        <v>134</v>
      </c>
      <c r="N641" s="15">
        <v>1</v>
      </c>
    </row>
    <row r="642" spans="13:14">
      <c r="M642" s="10" t="s">
        <v>1187</v>
      </c>
      <c r="N642" s="15">
        <v>1</v>
      </c>
    </row>
    <row r="643" spans="13:14">
      <c r="M643" s="10" t="s">
        <v>1302</v>
      </c>
      <c r="N643" s="15">
        <v>1</v>
      </c>
    </row>
    <row r="644" spans="13:14">
      <c r="M644" s="10" t="s">
        <v>1321</v>
      </c>
      <c r="N644" s="15">
        <v>1</v>
      </c>
    </row>
    <row r="645" spans="13:14">
      <c r="M645" s="10" t="s">
        <v>1337</v>
      </c>
      <c r="N645" s="15">
        <v>1</v>
      </c>
    </row>
    <row r="646" spans="13:14">
      <c r="M646" s="10" t="s">
        <v>856</v>
      </c>
      <c r="N646" s="15">
        <v>1</v>
      </c>
    </row>
    <row r="647" spans="13:14">
      <c r="M647" s="10" t="s">
        <v>1115</v>
      </c>
      <c r="N647" s="15">
        <v>1</v>
      </c>
    </row>
    <row r="648" spans="13:14">
      <c r="M648" s="10" t="s">
        <v>1456</v>
      </c>
      <c r="N648" s="15">
        <v>1</v>
      </c>
    </row>
    <row r="649" spans="13:14">
      <c r="M649" s="10" t="s">
        <v>1384</v>
      </c>
      <c r="N649" s="15">
        <v>1</v>
      </c>
    </row>
    <row r="650" spans="13:14">
      <c r="M650" s="10" t="s">
        <v>1301</v>
      </c>
      <c r="N650" s="15">
        <v>1</v>
      </c>
    </row>
    <row r="651" spans="13:14">
      <c r="M651" s="10" t="s">
        <v>360</v>
      </c>
      <c r="N651" s="15">
        <v>1</v>
      </c>
    </row>
    <row r="652" spans="13:14">
      <c r="M652" s="10" t="s">
        <v>1319</v>
      </c>
      <c r="N652" s="15">
        <v>1</v>
      </c>
    </row>
    <row r="653" spans="13:14">
      <c r="M653" s="10" t="s">
        <v>422</v>
      </c>
      <c r="N653" s="15">
        <v>1</v>
      </c>
    </row>
    <row r="654" spans="13:14">
      <c r="M654" s="10" t="s">
        <v>352</v>
      </c>
      <c r="N654" s="15">
        <v>1</v>
      </c>
    </row>
    <row r="655" spans="13:14">
      <c r="M655" s="10" t="s">
        <v>1136</v>
      </c>
      <c r="N655" s="15">
        <v>1</v>
      </c>
    </row>
    <row r="656" spans="13:14">
      <c r="M656" s="10" t="s">
        <v>728</v>
      </c>
      <c r="N656" s="15">
        <v>1</v>
      </c>
    </row>
    <row r="657" spans="13:14">
      <c r="M657" s="10" t="s">
        <v>1126</v>
      </c>
      <c r="N657" s="15">
        <v>1</v>
      </c>
    </row>
    <row r="658" spans="13:14">
      <c r="M658" s="10" t="s">
        <v>1250</v>
      </c>
      <c r="N658" s="15">
        <v>1</v>
      </c>
    </row>
    <row r="659" spans="13:14">
      <c r="M659" s="10" t="s">
        <v>58</v>
      </c>
      <c r="N659" s="15">
        <v>1</v>
      </c>
    </row>
    <row r="660" spans="13:14">
      <c r="M660" s="10" t="s">
        <v>273</v>
      </c>
      <c r="N660" s="15">
        <v>1</v>
      </c>
    </row>
    <row r="661" spans="13:14">
      <c r="M661" s="10" t="s">
        <v>945</v>
      </c>
      <c r="N661" s="15">
        <v>1</v>
      </c>
    </row>
    <row r="662" spans="13:14">
      <c r="M662" s="10" t="s">
        <v>1275</v>
      </c>
      <c r="N662" s="15">
        <v>1</v>
      </c>
    </row>
    <row r="663" spans="13:14">
      <c r="M663" s="10" t="s">
        <v>1502</v>
      </c>
      <c r="N663" s="15">
        <v>1</v>
      </c>
    </row>
    <row r="664" spans="13:14">
      <c r="M664" s="10" t="s">
        <v>868</v>
      </c>
      <c r="N664" s="15">
        <v>1</v>
      </c>
    </row>
    <row r="665" spans="13:14">
      <c r="M665" s="10" t="s">
        <v>1505</v>
      </c>
      <c r="N665" s="15">
        <v>1</v>
      </c>
    </row>
    <row r="666" spans="13:14">
      <c r="M666" s="10" t="s">
        <v>123</v>
      </c>
      <c r="N666" s="15">
        <v>1</v>
      </c>
    </row>
    <row r="667" spans="13:14">
      <c r="M667" s="10" t="s">
        <v>762</v>
      </c>
      <c r="N667" s="15">
        <v>1</v>
      </c>
    </row>
    <row r="668" spans="13:14">
      <c r="M668" s="10" t="s">
        <v>1333</v>
      </c>
      <c r="N668" s="15">
        <v>1</v>
      </c>
    </row>
    <row r="669" spans="13:14">
      <c r="M669" s="10" t="s">
        <v>724</v>
      </c>
      <c r="N669" s="15">
        <v>1</v>
      </c>
    </row>
    <row r="670" spans="13:14">
      <c r="M670" s="10" t="s">
        <v>1364</v>
      </c>
      <c r="N670" s="15">
        <v>1</v>
      </c>
    </row>
    <row r="671" spans="13:14">
      <c r="M671" s="10" t="s">
        <v>742</v>
      </c>
      <c r="N671" s="15">
        <v>1</v>
      </c>
    </row>
    <row r="672" spans="13:14">
      <c r="M672" s="10" t="s">
        <v>1050</v>
      </c>
      <c r="N672" s="15">
        <v>1</v>
      </c>
    </row>
    <row r="673" spans="13:14">
      <c r="M673" s="10" t="s">
        <v>1035</v>
      </c>
      <c r="N673" s="15">
        <v>1</v>
      </c>
    </row>
    <row r="674" spans="13:14">
      <c r="M674" s="10" t="s">
        <v>718</v>
      </c>
      <c r="N674" s="15">
        <v>1</v>
      </c>
    </row>
    <row r="675" spans="13:14">
      <c r="M675" s="10" t="s">
        <v>1246</v>
      </c>
      <c r="N675" s="15">
        <v>1</v>
      </c>
    </row>
    <row r="676" spans="13:14">
      <c r="M676" s="10" t="s">
        <v>1212</v>
      </c>
      <c r="N676" s="15">
        <v>1</v>
      </c>
    </row>
    <row r="677" spans="13:14">
      <c r="M677" s="10" t="s">
        <v>684</v>
      </c>
      <c r="N677" s="15">
        <v>1</v>
      </c>
    </row>
    <row r="678" spans="13:14">
      <c r="M678" s="10" t="s">
        <v>284</v>
      </c>
      <c r="N678" s="15">
        <v>1</v>
      </c>
    </row>
    <row r="679" spans="13:14">
      <c r="M679" s="10" t="s">
        <v>1342</v>
      </c>
      <c r="N679" s="15">
        <v>1</v>
      </c>
    </row>
    <row r="680" spans="13:14">
      <c r="M680" s="10" t="s">
        <v>1285</v>
      </c>
      <c r="N680" s="15">
        <v>1</v>
      </c>
    </row>
    <row r="681" spans="13:14">
      <c r="M681" s="10" t="s">
        <v>922</v>
      </c>
      <c r="N681" s="15">
        <v>1</v>
      </c>
    </row>
    <row r="682" spans="13:14">
      <c r="M682" s="10" t="s">
        <v>673</v>
      </c>
      <c r="N682" s="15">
        <v>1</v>
      </c>
    </row>
    <row r="683" spans="13:14">
      <c r="M683" s="10" t="s">
        <v>1475</v>
      </c>
      <c r="N683" s="15">
        <v>1</v>
      </c>
    </row>
    <row r="684" spans="13:14">
      <c r="M684" s="10" t="s">
        <v>234</v>
      </c>
      <c r="N684" s="15">
        <v>1</v>
      </c>
    </row>
    <row r="685" spans="13:14">
      <c r="M685" s="10" t="s">
        <v>1300</v>
      </c>
      <c r="N685" s="15">
        <v>1</v>
      </c>
    </row>
    <row r="686" spans="13:14">
      <c r="M686" s="10" t="s">
        <v>1156</v>
      </c>
      <c r="N686" s="15">
        <v>1</v>
      </c>
    </row>
    <row r="687" spans="13:14">
      <c r="M687" s="10" t="s">
        <v>237</v>
      </c>
      <c r="N687" s="15">
        <v>1</v>
      </c>
    </row>
    <row r="688" spans="13:14">
      <c r="M688" s="10" t="s">
        <v>1467</v>
      </c>
      <c r="N688" s="15">
        <v>1</v>
      </c>
    </row>
    <row r="689" spans="13:14">
      <c r="M689" s="10" t="s">
        <v>1252</v>
      </c>
      <c r="N689" s="15">
        <v>1</v>
      </c>
    </row>
    <row r="690" spans="13:14">
      <c r="M690" s="10" t="s">
        <v>799</v>
      </c>
      <c r="N690" s="15">
        <v>1</v>
      </c>
    </row>
    <row r="691" spans="13:14">
      <c r="M691" s="10" t="s">
        <v>1255</v>
      </c>
      <c r="N691" s="15">
        <v>1</v>
      </c>
    </row>
    <row r="692" spans="13:14">
      <c r="M692" s="10" t="s">
        <v>880</v>
      </c>
      <c r="N692" s="15">
        <v>1</v>
      </c>
    </row>
    <row r="693" spans="13:14">
      <c r="M693" s="10" t="s">
        <v>630</v>
      </c>
      <c r="N693" s="15">
        <v>1</v>
      </c>
    </row>
    <row r="694" spans="13:14">
      <c r="M694" s="10" t="s">
        <v>1259</v>
      </c>
      <c r="N694" s="15">
        <v>1</v>
      </c>
    </row>
    <row r="695" spans="13:14">
      <c r="M695" s="10" t="s">
        <v>567</v>
      </c>
      <c r="N695" s="15">
        <v>1</v>
      </c>
    </row>
    <row r="696" spans="13:14">
      <c r="M696" s="10" t="s">
        <v>1064</v>
      </c>
      <c r="N696" s="15">
        <v>1</v>
      </c>
    </row>
    <row r="697" spans="13:14">
      <c r="M697" s="10" t="s">
        <v>764</v>
      </c>
      <c r="N697" s="15">
        <v>1</v>
      </c>
    </row>
    <row r="698" spans="13:14">
      <c r="M698" s="10" t="s">
        <v>436</v>
      </c>
      <c r="N698" s="15">
        <v>1</v>
      </c>
    </row>
    <row r="699" spans="13:14">
      <c r="M699" s="10" t="s">
        <v>429</v>
      </c>
      <c r="N699" s="15">
        <v>1</v>
      </c>
    </row>
    <row r="700" spans="13:14">
      <c r="M700" s="10" t="s">
        <v>1074</v>
      </c>
      <c r="N700" s="15">
        <v>1</v>
      </c>
    </row>
    <row r="701" spans="13:14">
      <c r="M701" s="10" t="s">
        <v>1471</v>
      </c>
      <c r="N701" s="15">
        <v>1</v>
      </c>
    </row>
    <row r="702" spans="13:14">
      <c r="M702" s="10" t="s">
        <v>1519</v>
      </c>
      <c r="N702" s="15">
        <v>1</v>
      </c>
    </row>
    <row r="703" spans="13:14">
      <c r="M703" s="10" t="s">
        <v>200</v>
      </c>
      <c r="N703" s="15">
        <v>1</v>
      </c>
    </row>
    <row r="704" spans="13:14">
      <c r="M704" s="10" t="s">
        <v>1218</v>
      </c>
      <c r="N704" s="15">
        <v>1</v>
      </c>
    </row>
    <row r="705" spans="13:14">
      <c r="M705" s="10" t="s">
        <v>746</v>
      </c>
      <c r="N705" s="15">
        <v>1</v>
      </c>
    </row>
    <row r="706" spans="13:14">
      <c r="M706" s="10" t="s">
        <v>427</v>
      </c>
      <c r="N706" s="15">
        <v>1</v>
      </c>
    </row>
    <row r="707" spans="13:14">
      <c r="M707" s="10" t="s">
        <v>977</v>
      </c>
      <c r="N707" s="15">
        <v>1</v>
      </c>
    </row>
    <row r="708" spans="13:14">
      <c r="M708" s="10" t="s">
        <v>1249</v>
      </c>
      <c r="N708" s="15">
        <v>1</v>
      </c>
    </row>
    <row r="709" spans="13:14">
      <c r="M709" s="10" t="s">
        <v>1427</v>
      </c>
      <c r="N709" s="15">
        <v>1</v>
      </c>
    </row>
    <row r="710" spans="13:14">
      <c r="M710" s="10" t="s">
        <v>537</v>
      </c>
      <c r="N710" s="15">
        <v>1</v>
      </c>
    </row>
    <row r="711" spans="13:14">
      <c r="M711" s="10" t="s">
        <v>581</v>
      </c>
      <c r="N711" s="15">
        <v>1</v>
      </c>
    </row>
    <row r="712" spans="13:14">
      <c r="M712" s="10" t="s">
        <v>715</v>
      </c>
      <c r="N712" s="15">
        <v>1</v>
      </c>
    </row>
    <row r="713" spans="13:14">
      <c r="M713" s="10" t="s">
        <v>1228</v>
      </c>
      <c r="N713" s="15">
        <v>1</v>
      </c>
    </row>
    <row r="714" spans="13:14">
      <c r="M714" s="10" t="s">
        <v>1322</v>
      </c>
      <c r="N714" s="15">
        <v>1</v>
      </c>
    </row>
    <row r="715" spans="13:14">
      <c r="M715" s="10" t="s">
        <v>1184</v>
      </c>
      <c r="N715" s="15">
        <v>1</v>
      </c>
    </row>
    <row r="716" spans="13:14">
      <c r="M716" s="10" t="s">
        <v>770</v>
      </c>
      <c r="N716" s="15">
        <v>1</v>
      </c>
    </row>
    <row r="717" spans="13:14">
      <c r="M717" s="10" t="s">
        <v>231</v>
      </c>
      <c r="N717" s="15">
        <v>1</v>
      </c>
    </row>
    <row r="718" spans="13:14">
      <c r="M718" s="10" t="s">
        <v>750</v>
      </c>
      <c r="N718" s="15">
        <v>1</v>
      </c>
    </row>
    <row r="719" spans="13:14">
      <c r="M719" s="10" t="s">
        <v>1119</v>
      </c>
      <c r="N719" s="15">
        <v>1</v>
      </c>
    </row>
    <row r="720" spans="13:14">
      <c r="M720" s="10" t="s">
        <v>892</v>
      </c>
      <c r="N720" s="15">
        <v>1</v>
      </c>
    </row>
    <row r="721" spans="13:14">
      <c r="M721" s="10" t="s">
        <v>1294</v>
      </c>
      <c r="N721" s="15">
        <v>1</v>
      </c>
    </row>
    <row r="722" spans="13:14">
      <c r="M722" s="10" t="s">
        <v>960</v>
      </c>
      <c r="N722" s="15">
        <v>1</v>
      </c>
    </row>
    <row r="723" spans="13:14">
      <c r="M723" s="10" t="s">
        <v>654</v>
      </c>
      <c r="N723" s="15">
        <v>1</v>
      </c>
    </row>
    <row r="724" spans="13:14">
      <c r="M724" s="10" t="s">
        <v>172</v>
      </c>
      <c r="N724" s="15">
        <v>1</v>
      </c>
    </row>
    <row r="725" spans="13:14">
      <c r="M725" s="10" t="s">
        <v>1230</v>
      </c>
      <c r="N725" s="15">
        <v>1</v>
      </c>
    </row>
    <row r="726" spans="13:14">
      <c r="M726" s="10" t="s">
        <v>254</v>
      </c>
      <c r="N726" s="15">
        <v>1</v>
      </c>
    </row>
    <row r="727" spans="13:14">
      <c r="M727" s="10" t="s">
        <v>735</v>
      </c>
      <c r="N727" s="15">
        <v>1</v>
      </c>
    </row>
    <row r="728" spans="13:14">
      <c r="M728" s="10" t="s">
        <v>1044</v>
      </c>
      <c r="N728" s="15">
        <v>1</v>
      </c>
    </row>
    <row r="729" spans="13:14">
      <c r="M729" s="10" t="s">
        <v>1032</v>
      </c>
      <c r="N729" s="15">
        <v>1</v>
      </c>
    </row>
    <row r="730" spans="13:14">
      <c r="M730" s="10" t="s">
        <v>1105</v>
      </c>
      <c r="N730" s="15">
        <v>1</v>
      </c>
    </row>
    <row r="731" spans="13:14">
      <c r="M731" s="10" t="s">
        <v>937</v>
      </c>
      <c r="N731" s="15">
        <v>1</v>
      </c>
    </row>
    <row r="732" spans="13:14">
      <c r="M732" s="10" t="s">
        <v>1112</v>
      </c>
      <c r="N732" s="15">
        <v>1</v>
      </c>
    </row>
    <row r="733" spans="13:14">
      <c r="M733" s="10" t="s">
        <v>1138</v>
      </c>
      <c r="N733" s="15">
        <v>1</v>
      </c>
    </row>
    <row r="734" spans="13:14">
      <c r="M734" s="10" t="s">
        <v>1133</v>
      </c>
      <c r="N734" s="15">
        <v>1</v>
      </c>
    </row>
    <row r="735" spans="13:14">
      <c r="M735" s="10" t="s">
        <v>1063</v>
      </c>
      <c r="N735" s="15">
        <v>1</v>
      </c>
    </row>
    <row r="736" spans="13:14">
      <c r="M736" s="10" t="s">
        <v>1263</v>
      </c>
      <c r="N736" s="15">
        <v>1</v>
      </c>
    </row>
    <row r="737" spans="13:14">
      <c r="M737" s="10" t="s">
        <v>451</v>
      </c>
      <c r="N737" s="15">
        <v>1</v>
      </c>
    </row>
    <row r="738" spans="13:14">
      <c r="M738" s="10" t="s">
        <v>918</v>
      </c>
      <c r="N738" s="15">
        <v>1</v>
      </c>
    </row>
    <row r="739" spans="13:14">
      <c r="M739" s="10" t="s">
        <v>1387</v>
      </c>
      <c r="N739" s="15">
        <v>1</v>
      </c>
    </row>
    <row r="740" spans="13:14">
      <c r="M740" s="10" t="s">
        <v>467</v>
      </c>
      <c r="N740" s="15">
        <v>1</v>
      </c>
    </row>
    <row r="741" spans="13:14">
      <c r="M741" s="10" t="s">
        <v>1123</v>
      </c>
      <c r="N741" s="15">
        <v>1</v>
      </c>
    </row>
    <row r="742" spans="13:14">
      <c r="M742" s="10" t="s">
        <v>1458</v>
      </c>
      <c r="N742" s="15">
        <v>1</v>
      </c>
    </row>
    <row r="743" spans="13:14">
      <c r="M743" s="10" t="s">
        <v>344</v>
      </c>
      <c r="N743" s="15">
        <v>1</v>
      </c>
    </row>
    <row r="744" spans="13:14">
      <c r="M744" s="10" t="s">
        <v>815</v>
      </c>
      <c r="N744" s="15">
        <v>1</v>
      </c>
    </row>
    <row r="745" spans="13:14">
      <c r="M745" s="10" t="s">
        <v>1054</v>
      </c>
      <c r="N745" s="15">
        <v>1</v>
      </c>
    </row>
    <row r="746" spans="13:14">
      <c r="M746" s="10" t="s">
        <v>251</v>
      </c>
      <c r="N746" s="15">
        <v>1</v>
      </c>
    </row>
    <row r="747" spans="13:14">
      <c r="M747" s="10" t="s">
        <v>888</v>
      </c>
      <c r="N747" s="15">
        <v>1</v>
      </c>
    </row>
    <row r="748" spans="13:14">
      <c r="M748" s="10" t="s">
        <v>1298</v>
      </c>
      <c r="N748" s="15">
        <v>1</v>
      </c>
    </row>
    <row r="749" spans="13:14">
      <c r="M749" s="10" t="s">
        <v>954</v>
      </c>
      <c r="N749" s="15">
        <v>1</v>
      </c>
    </row>
    <row r="750" spans="13:14">
      <c r="M750" s="10" t="s">
        <v>413</v>
      </c>
      <c r="N750" s="15">
        <v>1</v>
      </c>
    </row>
    <row r="751" spans="13:14">
      <c r="M751" s="10" t="s">
        <v>865</v>
      </c>
      <c r="N751" s="15">
        <v>1</v>
      </c>
    </row>
    <row r="752" spans="13:14">
      <c r="M752" s="10" t="s">
        <v>1586</v>
      </c>
      <c r="N752" s="15">
        <v>750</v>
      </c>
    </row>
    <row r="754" spans="14:14">
      <c r="N754">
        <f>GETPIVOTDATA("Order ID",$M$1)</f>
        <v>750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8EB23-5A1E-432B-A0C1-FB3CA78343F9}">
  <dimension ref="Y24"/>
  <sheetViews>
    <sheetView showGridLines="0" tabSelected="1" zoomScale="90" zoomScaleNormal="90" workbookViewId="0">
      <selection activeCell="S24" sqref="S24"/>
    </sheetView>
  </sheetViews>
  <sheetFormatPr defaultRowHeight="14.4"/>
  <cols>
    <col min="1" max="16384" width="8.88671875" style="12"/>
  </cols>
  <sheetData>
    <row r="24" spans="25:25">
      <c r="Y24" s="12" t="s">
        <v>1591</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A030-256A-4939-BD84-CB89241B92C5}">
  <dimension ref="A1:C15"/>
  <sheetViews>
    <sheetView zoomScale="66" workbookViewId="0">
      <selection activeCell="H19" sqref="H19"/>
    </sheetView>
  </sheetViews>
  <sheetFormatPr defaultRowHeight="14.4"/>
  <cols>
    <col min="1" max="1" width="35" customWidth="1"/>
    <col min="2" max="2" width="27.44140625" customWidth="1"/>
    <col min="3" max="3" width="26.5546875" customWidth="1"/>
  </cols>
  <sheetData>
    <row r="1" spans="1:3">
      <c r="A1" s="4" t="s">
        <v>1528</v>
      </c>
    </row>
    <row r="3" spans="1:3">
      <c r="A3" s="5" t="s">
        <v>1529</v>
      </c>
      <c r="B3" s="5" t="s">
        <v>1530</v>
      </c>
      <c r="C3" s="5" t="s">
        <v>1531</v>
      </c>
    </row>
    <row r="4" spans="1:3">
      <c r="A4" s="2" t="s">
        <v>1532</v>
      </c>
      <c r="B4" s="3" t="s">
        <v>1533</v>
      </c>
      <c r="C4" s="2" t="s">
        <v>1534</v>
      </c>
    </row>
    <row r="5" spans="1:3">
      <c r="A5" s="2" t="s">
        <v>1535</v>
      </c>
      <c r="B5" s="3" t="s">
        <v>1536</v>
      </c>
      <c r="C5" s="2" t="s">
        <v>1537</v>
      </c>
    </row>
    <row r="6" spans="1:3" ht="28.8">
      <c r="A6" s="2" t="s">
        <v>1538</v>
      </c>
      <c r="B6" s="3" t="s">
        <v>1539</v>
      </c>
      <c r="C6" s="2" t="s">
        <v>1540</v>
      </c>
    </row>
    <row r="7" spans="1:3">
      <c r="A7" s="2" t="s">
        <v>1541</v>
      </c>
      <c r="B7" s="3" t="s">
        <v>1542</v>
      </c>
      <c r="C7" s="2" t="s">
        <v>1543</v>
      </c>
    </row>
    <row r="8" spans="1:3">
      <c r="A8" s="2" t="s">
        <v>1544</v>
      </c>
      <c r="B8" s="3" t="s">
        <v>1545</v>
      </c>
      <c r="C8" s="2" t="s">
        <v>1546</v>
      </c>
    </row>
    <row r="10" spans="1:3">
      <c r="A10" s="5" t="s">
        <v>1547</v>
      </c>
      <c r="B10" s="5" t="s">
        <v>1527</v>
      </c>
    </row>
    <row r="11" spans="1:3" ht="28.8">
      <c r="A11" s="2" t="s">
        <v>1548</v>
      </c>
      <c r="B11" s="2" t="s">
        <v>1549</v>
      </c>
    </row>
    <row r="12" spans="1:3">
      <c r="A12" s="2" t="s">
        <v>1550</v>
      </c>
      <c r="B12" s="2" t="s">
        <v>1551</v>
      </c>
    </row>
    <row r="13" spans="1:3" ht="28.8">
      <c r="A13" s="2" t="s">
        <v>1552</v>
      </c>
      <c r="B13" s="2" t="s">
        <v>1553</v>
      </c>
    </row>
    <row r="14" spans="1:3" ht="28.8">
      <c r="A14" s="2" t="s">
        <v>1554</v>
      </c>
      <c r="B14" s="2" t="s">
        <v>1555</v>
      </c>
    </row>
    <row r="15" spans="1:3" ht="28.8">
      <c r="A15" s="2" t="s">
        <v>1556</v>
      </c>
      <c r="B15" s="2" t="s">
        <v>1557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4773C-B5E0-42BB-ADAC-80FC972894FE}">
  <dimension ref="A1:K6"/>
  <sheetViews>
    <sheetView workbookViewId="0">
      <selection activeCell="G13" sqref="G13"/>
    </sheetView>
  </sheetViews>
  <sheetFormatPr defaultRowHeight="14.4"/>
  <cols>
    <col min="1" max="1" width="19" customWidth="1"/>
    <col min="2" max="2" width="23.88671875" customWidth="1"/>
    <col min="4" max="4" width="16.5546875" customWidth="1"/>
    <col min="5" max="5" width="19" customWidth="1"/>
    <col min="7" max="7" width="16.77734375" customWidth="1"/>
    <col min="8" max="8" width="15.77734375" customWidth="1"/>
    <col min="10" max="10" width="18" customWidth="1"/>
    <col min="11" max="11" width="16.88671875" customWidth="1"/>
  </cols>
  <sheetData>
    <row r="1" spans="1:11">
      <c r="A1" s="5" t="s">
        <v>14</v>
      </c>
      <c r="B1" s="5" t="s">
        <v>1532</v>
      </c>
      <c r="D1" s="5" t="s">
        <v>11</v>
      </c>
      <c r="E1" s="5" t="s">
        <v>1532</v>
      </c>
      <c r="G1" s="5" t="s">
        <v>7</v>
      </c>
      <c r="H1" s="5" t="s">
        <v>1535</v>
      </c>
      <c r="J1" s="5" t="s">
        <v>14</v>
      </c>
      <c r="K1" s="5" t="s">
        <v>1584</v>
      </c>
    </row>
    <row r="2" spans="1:11">
      <c r="A2" s="2" t="s">
        <v>44</v>
      </c>
      <c r="B2" s="2">
        <f>SUMIF('Raw Data'!O:O,A2,'Raw Data'!R:R)</f>
        <v>9604965.2599999998</v>
      </c>
      <c r="D2" s="2" t="s">
        <v>63</v>
      </c>
      <c r="E2" s="2">
        <f>SUMIF('Raw Data'!L:L,D2,'Raw Data'!R:R)</f>
        <v>2622001.1700000009</v>
      </c>
      <c r="G2" s="2" t="s">
        <v>51</v>
      </c>
      <c r="H2" s="2">
        <f>SUMIF('Raw Data'!H:H,G2,'Raw Data'!U:U)</f>
        <v>521751.35000000003</v>
      </c>
      <c r="J2" s="2" t="s">
        <v>44</v>
      </c>
      <c r="K2" s="2">
        <f>SUMIF('Raw Data'!O:O,J2,'Raw Data'!S:S)</f>
        <v>500</v>
      </c>
    </row>
    <row r="3" spans="1:11" ht="25.8" customHeight="1">
      <c r="A3" s="2" t="s">
        <v>83</v>
      </c>
      <c r="B3" s="2">
        <f>SUMIF('Raw Data'!O:O,A3,'Raw Data'!R:R)</f>
        <v>684144.41999999993</v>
      </c>
      <c r="D3" s="2" t="s">
        <v>29</v>
      </c>
      <c r="E3" s="2">
        <f>SUMIF('Raw Data'!L:L,D3,'Raw Data'!R:R)</f>
        <v>4332640.8499999996</v>
      </c>
      <c r="G3" s="2" t="s">
        <v>25</v>
      </c>
      <c r="H3" s="2">
        <f>SUMIF('Raw Data'!H:H,G3,'Raw Data'!U:U)</f>
        <v>256305.35000000003</v>
      </c>
      <c r="J3" s="2" t="s">
        <v>83</v>
      </c>
      <c r="K3" s="2">
        <f>SUMIF('Raw Data'!O:O,J3,'Raw Data'!S:S)</f>
        <v>312</v>
      </c>
    </row>
    <row r="4" spans="1:11" ht="31.8" customHeight="1">
      <c r="A4" s="2" t="s">
        <v>55</v>
      </c>
      <c r="B4" s="2">
        <f>SUMIF('Raw Data'!O:O,A4,'Raw Data'!R:R)</f>
        <v>2996961.0200000014</v>
      </c>
      <c r="D4" s="2" t="s">
        <v>41</v>
      </c>
      <c r="E4" s="2">
        <f>SUMIF('Raw Data'!L:L,D4,'Raw Data'!R:R)</f>
        <v>3618500.330000001</v>
      </c>
      <c r="G4" s="2" t="s">
        <v>108</v>
      </c>
      <c r="H4" s="2">
        <f>SUMIF('Raw Data'!H:H,G4,'Raw Data'!U:U)</f>
        <v>138780.12999999998</v>
      </c>
      <c r="J4" s="2" t="s">
        <v>55</v>
      </c>
      <c r="K4" s="2">
        <f>SUMIF('Raw Data'!O:O,J4,'Raw Data'!S:S)</f>
        <v>472</v>
      </c>
    </row>
    <row r="5" spans="1:11">
      <c r="A5" s="2" t="s">
        <v>138</v>
      </c>
      <c r="B5" s="2">
        <f>SUMIF('Raw Data'!O:O,A5,'Raw Data'!R:R)</f>
        <v>293052.81999999995</v>
      </c>
      <c r="D5" s="2" t="s">
        <v>92</v>
      </c>
      <c r="E5" s="2">
        <f>SUMIF('Raw Data'!L:L,D5,'Raw Data'!R:R)</f>
        <v>4295165.46</v>
      </c>
      <c r="J5" s="2" t="s">
        <v>138</v>
      </c>
      <c r="K5" s="2">
        <f>SUMIF('Raw Data'!O:O,J5,'Raw Data'!S:S)</f>
        <v>607</v>
      </c>
    </row>
    <row r="6" spans="1:11" ht="30.6" customHeight="1">
      <c r="A6" s="2" t="s">
        <v>188</v>
      </c>
      <c r="B6" s="2">
        <f>SUMIF('Raw Data'!O:O,A6,'Raw Data'!R:R)</f>
        <v>647905.26000000036</v>
      </c>
      <c r="J6" s="2" t="s">
        <v>188</v>
      </c>
      <c r="K6" s="2">
        <f>SUMIF('Raw Data'!O:O,J6,'Raw Data'!S:S)</f>
        <v>174</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06483A-F0EC-424A-B7C9-BF084CEE7D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cleaned data</vt:lpstr>
      <vt:lpstr>pivot analysis</vt:lpstr>
      <vt:lpstr>Dashboard</vt:lpstr>
      <vt:lpstr>Retail Domain &amp; KPIs</vt:lpstr>
      <vt:lpstr>Basic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Thoyyiba Rzk</cp:lastModifiedBy>
  <dcterms:created xsi:type="dcterms:W3CDTF">2026-10-05T04:40:47Z</dcterms:created>
  <dcterms:modified xsi:type="dcterms:W3CDTF">2026-10-22T04:33:35Z</dcterms:modified>
</cp:coreProperties>
</file>