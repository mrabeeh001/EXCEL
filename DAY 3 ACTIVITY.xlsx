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df879055b430355/Desktop/EXCEL/"/>
    </mc:Choice>
  </mc:AlternateContent>
  <xr:revisionPtr revIDLastSave="34" documentId="8_{1D5639D1-2B78-4AE1-95CD-D40E064557F3}" xr6:coauthVersionLast="47" xr6:coauthVersionMax="47" xr10:uidLastSave="{BC51ED42-6E8A-4A10-9E46-EFA835B7D723}"/>
  <bookViews>
    <workbookView xWindow="-96" yWindow="0" windowWidth="11712" windowHeight="12336" xr2:uid="{453AD17C-A46C-447C-A05A-34FB87DA31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9" i="1" l="1"/>
  <c r="V6" i="1"/>
  <c r="N4" i="1"/>
  <c r="M9" i="1" s="1"/>
  <c r="J5" i="1"/>
  <c r="J10" i="1" s="1"/>
  <c r="F6" i="1"/>
  <c r="F5" i="1"/>
  <c r="F7" i="1" s="1"/>
  <c r="B8" i="1"/>
  <c r="B9" i="1" s="1"/>
  <c r="B7" i="1"/>
  <c r="B10" i="1" l="1"/>
</calcChain>
</file>

<file path=xl/sharedStrings.xml><?xml version="1.0" encoding="utf-8"?>
<sst xmlns="http://schemas.openxmlformats.org/spreadsheetml/2006/main" count="39" uniqueCount="23">
  <si>
    <t>Description</t>
  </si>
  <si>
    <t>Value</t>
  </si>
  <si>
    <t>Selling Price per Unit</t>
  </si>
  <si>
    <t>Cost per Unit</t>
  </si>
  <si>
    <t>Fixed Costs</t>
  </si>
  <si>
    <t>Target Profit</t>
  </si>
  <si>
    <t>Number of Units to Sell</t>
  </si>
  <si>
    <t>Total Revenue</t>
  </si>
  <si>
    <t>Total Variable Costs</t>
  </si>
  <si>
    <t>Total Costs</t>
  </si>
  <si>
    <t>Profit</t>
  </si>
  <si>
    <t>Loan Amount</t>
  </si>
  <si>
    <t>Annual Interest Rate</t>
  </si>
  <si>
    <t>Loan Term (Years)</t>
  </si>
  <si>
    <t>Monthly Interest Rate</t>
  </si>
  <si>
    <t>Number of Payments</t>
  </si>
  <si>
    <t>Monthly Payment</t>
  </si>
  <si>
    <t>Interest Rate</t>
  </si>
  <si>
    <t>Unit Sales Price</t>
  </si>
  <si>
    <t>Unit Sales Volume</t>
  </si>
  <si>
    <t>COGS</t>
  </si>
  <si>
    <t>Units Sold</t>
  </si>
  <si>
    <t>Total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</si>
</sst>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9" fontId="0" fillId="0" borderId="0" xfId="0" applyNumberFormat="1" applyAlignment="1">
      <alignment horizontal="right" vertical="center" wrapText="1"/>
    </xf>
    <xf numFmtId="8" fontId="0" fillId="0" borderId="0" xfId="0" applyNumberFormat="1" applyAlignment="1">
      <alignment horizontal="right" vertical="center" wrapText="1"/>
    </xf>
    <xf numFmtId="0" fontId="1" fillId="0" borderId="0" xfId="0" applyFont="1" applyAlignment="1">
      <alignment vertical="center" wrapText="1"/>
    </xf>
    <xf numFmtId="8" fontId="0" fillId="0" borderId="0" xfId="0" applyNumberFormat="1"/>
    <xf numFmtId="9" fontId="0" fillId="0" borderId="0" xfId="0" applyNumberFormat="1" applyAlignment="1">
      <alignment vertical="center" wrapText="1"/>
    </xf>
    <xf numFmtId="10" fontId="0" fillId="0" borderId="0" xfId="0" applyNumberFormat="1" applyAlignment="1">
      <alignment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3E48A-42B2-4C5F-A7BD-948398828451}">
  <dimension ref="A1:Z19"/>
  <sheetViews>
    <sheetView tabSelected="1" topLeftCell="S1" workbookViewId="0">
      <selection activeCell="W21" sqref="W21"/>
    </sheetView>
  </sheetViews>
  <sheetFormatPr defaultRowHeight="14.4" x14ac:dyDescent="0.3"/>
  <cols>
    <col min="1" max="1" width="31.6640625" customWidth="1"/>
    <col min="2" max="2" width="8.88671875" customWidth="1"/>
    <col min="5" max="5" width="25.33203125" customWidth="1"/>
    <col min="6" max="6" width="16.109375" customWidth="1"/>
    <col min="9" max="9" width="20.44140625" customWidth="1"/>
    <col min="10" max="10" width="19.6640625" customWidth="1"/>
    <col min="13" max="13" width="16" customWidth="1"/>
    <col min="21" max="21" width="20.6640625" customWidth="1"/>
  </cols>
  <sheetData>
    <row r="1" spans="1:26" x14ac:dyDescent="0.3">
      <c r="A1" s="1" t="s">
        <v>0</v>
      </c>
      <c r="B1" s="3" t="s">
        <v>1</v>
      </c>
      <c r="E1" s="1" t="s">
        <v>0</v>
      </c>
      <c r="F1" s="3" t="s">
        <v>1</v>
      </c>
      <c r="I1" s="7" t="s">
        <v>0</v>
      </c>
      <c r="J1" s="7" t="s">
        <v>1</v>
      </c>
      <c r="M1" s="4" t="s">
        <v>0</v>
      </c>
      <c r="N1" s="4" t="s">
        <v>1</v>
      </c>
      <c r="U1" s="7" t="s">
        <v>0</v>
      </c>
      <c r="V1" s="7" t="s">
        <v>1</v>
      </c>
    </row>
    <row r="2" spans="1:26" x14ac:dyDescent="0.3">
      <c r="A2" s="4" t="s">
        <v>2</v>
      </c>
      <c r="B2" s="3">
        <v>50</v>
      </c>
      <c r="E2" s="4" t="s">
        <v>11</v>
      </c>
      <c r="F2" s="3">
        <v>20000</v>
      </c>
      <c r="I2" s="4" t="s">
        <v>11</v>
      </c>
      <c r="J2" s="4">
        <v>15000</v>
      </c>
      <c r="M2" s="4" t="s">
        <v>18</v>
      </c>
      <c r="N2" s="4">
        <v>25</v>
      </c>
      <c r="U2" s="4" t="s">
        <v>2</v>
      </c>
      <c r="V2" s="4">
        <v>50</v>
      </c>
    </row>
    <row r="3" spans="1:26" x14ac:dyDescent="0.3">
      <c r="A3" s="4" t="s">
        <v>3</v>
      </c>
      <c r="B3" s="3">
        <v>30</v>
      </c>
      <c r="E3" s="4" t="s">
        <v>12</v>
      </c>
      <c r="F3" s="5">
        <v>0.06</v>
      </c>
      <c r="I3" s="4" t="s">
        <v>17</v>
      </c>
      <c r="J3" s="9">
        <v>0.04</v>
      </c>
      <c r="M3" s="4" t="s">
        <v>19</v>
      </c>
      <c r="N3" s="4">
        <v>500</v>
      </c>
      <c r="U3" s="4" t="s">
        <v>4</v>
      </c>
      <c r="V3" s="4">
        <v>1000</v>
      </c>
    </row>
    <row r="4" spans="1:26" x14ac:dyDescent="0.3">
      <c r="A4" s="4" t="s">
        <v>4</v>
      </c>
      <c r="B4" s="3">
        <v>4000</v>
      </c>
      <c r="E4" s="4" t="s">
        <v>13</v>
      </c>
      <c r="F4" s="2">
        <v>5</v>
      </c>
      <c r="I4" s="4" t="s">
        <v>13</v>
      </c>
      <c r="J4" s="4">
        <v>5</v>
      </c>
      <c r="M4" s="4" t="s">
        <v>7</v>
      </c>
      <c r="N4">
        <f>N2*N3</f>
        <v>12500</v>
      </c>
      <c r="U4" s="4" t="s">
        <v>20</v>
      </c>
      <c r="V4" s="4">
        <v>20</v>
      </c>
    </row>
    <row r="5" spans="1:26" x14ac:dyDescent="0.3">
      <c r="A5" s="4" t="s">
        <v>5</v>
      </c>
      <c r="B5" s="3">
        <v>10000</v>
      </c>
      <c r="E5" s="4" t="s">
        <v>14</v>
      </c>
      <c r="F5" s="2">
        <f>F3/12</f>
        <v>5.0000000000000001E-3</v>
      </c>
      <c r="I5" s="4" t="s">
        <v>16</v>
      </c>
      <c r="J5" s="8">
        <f>PMT(J3/12,J4*12,-J2)</f>
        <v>276.24783082899529</v>
      </c>
      <c r="U5" s="4" t="s">
        <v>21</v>
      </c>
      <c r="V5" s="4">
        <v>500</v>
      </c>
    </row>
    <row r="6" spans="1:26" x14ac:dyDescent="0.3">
      <c r="A6" s="4" t="s">
        <v>6</v>
      </c>
      <c r="B6" s="2">
        <v>700</v>
      </c>
      <c r="E6" s="4" t="s">
        <v>15</v>
      </c>
      <c r="F6" s="2">
        <f>F4*12</f>
        <v>60</v>
      </c>
      <c r="U6" s="4" t="s">
        <v>22</v>
      </c>
      <c r="V6">
        <f>(V2-V4)*V5-V3</f>
        <v>14000</v>
      </c>
    </row>
    <row r="7" spans="1:26" x14ac:dyDescent="0.3">
      <c r="A7" s="4" t="s">
        <v>7</v>
      </c>
      <c r="B7" s="2">
        <f>B2*B6</f>
        <v>35000</v>
      </c>
      <c r="E7" s="4" t="s">
        <v>16</v>
      </c>
      <c r="F7" s="6">
        <f>PMT(F5,F6,-F2)</f>
        <v>386.65603058855828</v>
      </c>
    </row>
    <row r="8" spans="1:26" x14ac:dyDescent="0.3">
      <c r="A8" s="4" t="s">
        <v>8</v>
      </c>
      <c r="B8" s="2">
        <f>B3*B6</f>
        <v>21000</v>
      </c>
    </row>
    <row r="9" spans="1:26" x14ac:dyDescent="0.3">
      <c r="A9" s="4" t="s">
        <v>9</v>
      </c>
      <c r="B9" s="2">
        <f>B8+B4</f>
        <v>25000</v>
      </c>
      <c r="I9" s="11" t="s">
        <v>17</v>
      </c>
      <c r="J9" s="11" t="s">
        <v>16</v>
      </c>
      <c r="M9">
        <f>N4</f>
        <v>12500</v>
      </c>
      <c r="N9" s="7">
        <v>20</v>
      </c>
      <c r="O9" s="7">
        <v>25</v>
      </c>
      <c r="P9" s="7">
        <v>30</v>
      </c>
      <c r="Q9" s="7">
        <v>35</v>
      </c>
      <c r="R9" s="7">
        <v>40</v>
      </c>
      <c r="U9">
        <f>V6</f>
        <v>14000</v>
      </c>
      <c r="V9">
        <v>20</v>
      </c>
      <c r="W9">
        <v>25</v>
      </c>
      <c r="X9">
        <v>30</v>
      </c>
      <c r="Y9">
        <v>35</v>
      </c>
      <c r="Z9">
        <v>40</v>
      </c>
    </row>
    <row r="10" spans="1:26" x14ac:dyDescent="0.3">
      <c r="A10" s="4" t="s">
        <v>10</v>
      </c>
      <c r="B10" s="2">
        <f>+B7-B9</f>
        <v>10000</v>
      </c>
      <c r="J10" s="8">
        <f>J5</f>
        <v>276.24783082899529</v>
      </c>
      <c r="M10" s="7">
        <v>300</v>
      </c>
      <c r="N10" s="4">
        <f t="dataTable" ref="N10:R14" dt2D="1" dtr="1" r1="N2" r2="N3"/>
        <v>6000</v>
      </c>
      <c r="O10" s="4">
        <v>7500</v>
      </c>
      <c r="P10" s="4">
        <v>9000</v>
      </c>
      <c r="Q10" s="4">
        <v>10500</v>
      </c>
      <c r="R10" s="4">
        <v>12000</v>
      </c>
      <c r="U10">
        <v>300</v>
      </c>
      <c r="V10">
        <f t="dataTable" ref="V10:Z14" dt2D="1" dtr="1" r1="V4" r2="V5"/>
        <v>8000</v>
      </c>
      <c r="W10">
        <v>6500</v>
      </c>
      <c r="X10">
        <v>5000</v>
      </c>
      <c r="Y10">
        <v>3500</v>
      </c>
      <c r="Z10">
        <v>2000</v>
      </c>
    </row>
    <row r="11" spans="1:26" x14ac:dyDescent="0.3">
      <c r="I11" s="9">
        <v>0.04</v>
      </c>
      <c r="J11">
        <f t="dataTable" ref="J11:J19" dt2D="0" dtr="0" r1="J3"/>
        <v>276.24783082899529</v>
      </c>
      <c r="M11" s="7">
        <v>400</v>
      </c>
      <c r="N11" s="4">
        <v>8000</v>
      </c>
      <c r="O11" s="4">
        <v>10000</v>
      </c>
      <c r="P11" s="4">
        <v>12000</v>
      </c>
      <c r="Q11" s="4">
        <v>14000</v>
      </c>
      <c r="R11" s="4">
        <v>16000</v>
      </c>
      <c r="U11">
        <v>400</v>
      </c>
      <c r="V11">
        <v>11000</v>
      </c>
      <c r="W11">
        <v>9000</v>
      </c>
      <c r="X11">
        <v>7000</v>
      </c>
      <c r="Y11">
        <v>5000</v>
      </c>
      <c r="Z11">
        <v>3000</v>
      </c>
    </row>
    <row r="12" spans="1:26" x14ac:dyDescent="0.3">
      <c r="I12" s="10">
        <v>4.4999999999999998E-2</v>
      </c>
      <c r="J12">
        <v>279.64528862274972</v>
      </c>
      <c r="M12" s="7">
        <v>500</v>
      </c>
      <c r="N12" s="4">
        <v>10000</v>
      </c>
      <c r="O12" s="4">
        <v>12500</v>
      </c>
      <c r="P12" s="4">
        <v>15000</v>
      </c>
      <c r="Q12" s="4">
        <v>17500</v>
      </c>
      <c r="R12" s="4">
        <v>20000</v>
      </c>
      <c r="U12">
        <v>500</v>
      </c>
      <c r="V12">
        <v>14000</v>
      </c>
      <c r="W12">
        <v>11500</v>
      </c>
      <c r="X12">
        <v>9000</v>
      </c>
      <c r="Y12">
        <v>6500</v>
      </c>
      <c r="Z12">
        <v>4000</v>
      </c>
    </row>
    <row r="13" spans="1:26" x14ac:dyDescent="0.3">
      <c r="I13" s="9">
        <v>0.05</v>
      </c>
      <c r="J13">
        <v>283.06850466016402</v>
      </c>
      <c r="M13" s="7">
        <v>600</v>
      </c>
      <c r="N13" s="4">
        <v>12000</v>
      </c>
      <c r="O13" s="4">
        <v>15000</v>
      </c>
      <c r="P13" s="4">
        <v>18000</v>
      </c>
      <c r="Q13" s="4">
        <v>21000</v>
      </c>
      <c r="R13" s="4">
        <v>24000</v>
      </c>
      <c r="U13">
        <v>600</v>
      </c>
      <c r="V13">
        <v>17000</v>
      </c>
      <c r="W13">
        <v>14000</v>
      </c>
      <c r="X13">
        <v>11000</v>
      </c>
      <c r="Y13">
        <v>8000</v>
      </c>
      <c r="Z13">
        <v>5000</v>
      </c>
    </row>
    <row r="14" spans="1:26" x14ac:dyDescent="0.3">
      <c r="I14" s="10">
        <v>5.5E-2</v>
      </c>
      <c r="J14">
        <v>286.51743257673365</v>
      </c>
      <c r="M14" s="7">
        <v>700</v>
      </c>
      <c r="N14" s="4">
        <v>14000</v>
      </c>
      <c r="O14" s="4">
        <v>17500</v>
      </c>
      <c r="P14" s="4">
        <v>21000</v>
      </c>
      <c r="Q14" s="4">
        <v>24500</v>
      </c>
      <c r="R14" s="4">
        <v>28000</v>
      </c>
      <c r="U14">
        <v>700</v>
      </c>
      <c r="V14">
        <v>20000</v>
      </c>
      <c r="W14">
        <v>16500</v>
      </c>
      <c r="X14">
        <v>13000</v>
      </c>
      <c r="Y14">
        <v>9500</v>
      </c>
      <c r="Z14">
        <v>6000</v>
      </c>
    </row>
    <row r="15" spans="1:26" x14ac:dyDescent="0.3">
      <c r="I15" s="9">
        <v>0.06</v>
      </c>
      <c r="J15">
        <v>289.99202294141872</v>
      </c>
    </row>
    <row r="16" spans="1:26" x14ac:dyDescent="0.3">
      <c r="I16" s="10">
        <v>6.5000000000000002E-2</v>
      </c>
      <c r="J16">
        <v>293.4922232809281</v>
      </c>
    </row>
    <row r="17" spans="9:10" x14ac:dyDescent="0.3">
      <c r="I17" s="9">
        <v>7.0000000000000007E-2</v>
      </c>
      <c r="J17">
        <v>297.01797810524306</v>
      </c>
    </row>
    <row r="18" spans="9:10" x14ac:dyDescent="0.3">
      <c r="I18" s="10">
        <v>7.4999999999999997E-2</v>
      </c>
      <c r="J18">
        <v>300.56922893435649</v>
      </c>
    </row>
    <row r="19" spans="9:10" x14ac:dyDescent="0.3">
      <c r="I19" s="9">
        <v>0.08</v>
      </c>
      <c r="J19">
        <v>304.14591432620523</v>
      </c>
    </row>
  </sheetData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Thoyyiba Rzk</dc:creator>
  <cp:lastModifiedBy>Thoyyiba Rzk</cp:lastModifiedBy>
  <dcterms:created xsi:type="dcterms:W3CDTF">2026-10-03T09:11:29Z</dcterms:created>
  <dcterms:modified xsi:type="dcterms:W3CDTF">2026-10-03T10:39:10Z</dcterms:modified>
</cp:coreProperties>
</file>